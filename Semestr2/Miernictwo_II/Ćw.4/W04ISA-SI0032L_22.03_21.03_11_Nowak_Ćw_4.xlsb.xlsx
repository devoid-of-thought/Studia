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\Documents\Miernictwo\"/>
    </mc:Choice>
  </mc:AlternateContent>
  <xr:revisionPtr revIDLastSave="0" documentId="13_ncr:1_{B6F145D9-A2DF-4280-A429-ED99672A60FF}" xr6:coauthVersionLast="47" xr6:coauthVersionMax="47" xr10:uidLastSave="{00000000-0000-0000-0000-000000000000}"/>
  <bookViews>
    <workbookView xWindow="-120" yWindow="-120" windowWidth="29040" windowHeight="16440" activeTab="1" xr2:uid="{EA733854-7B63-40E6-8862-0AF54EFD609B}"/>
  </bookViews>
  <sheets>
    <sheet name="Zad1" sheetId="3" r:id="rId1"/>
    <sheet name="Zad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" i="3" l="1"/>
  <c r="S18" i="3"/>
  <c r="S19" i="3"/>
  <c r="D26" i="2"/>
  <c r="D27" i="2"/>
  <c r="D25" i="2"/>
  <c r="D21" i="2"/>
  <c r="D22" i="2"/>
  <c r="D20" i="2"/>
  <c r="F16" i="2"/>
  <c r="F17" i="2"/>
  <c r="F15" i="2"/>
  <c r="G13" i="3"/>
  <c r="G12" i="3"/>
  <c r="G18" i="3"/>
  <c r="G19" i="3"/>
  <c r="G17" i="3"/>
  <c r="G11" i="3"/>
  <c r="G6" i="3"/>
  <c r="G7" i="3"/>
  <c r="G5" i="3"/>
  <c r="P25" i="3" l="1"/>
  <c r="R25" i="3" s="1"/>
  <c r="P24" i="3"/>
  <c r="R24" i="3" s="1"/>
  <c r="P23" i="3"/>
  <c r="R23" i="3" s="1"/>
  <c r="P18" i="3"/>
  <c r="R18" i="3" s="1"/>
  <c r="P19" i="3"/>
  <c r="R19" i="3" s="1"/>
  <c r="P17" i="3"/>
  <c r="P12" i="3"/>
  <c r="P13" i="3"/>
  <c r="P11" i="3"/>
  <c r="P6" i="3"/>
  <c r="P7" i="3"/>
  <c r="P5" i="3"/>
  <c r="O25" i="3"/>
  <c r="M25" i="3"/>
  <c r="Q25" i="3" s="1"/>
  <c r="O24" i="3"/>
  <c r="M24" i="3"/>
  <c r="Q24" i="3" s="1"/>
  <c r="O23" i="3"/>
  <c r="M23" i="3"/>
  <c r="O19" i="3"/>
  <c r="M19" i="3"/>
  <c r="F19" i="3"/>
  <c r="D19" i="3"/>
  <c r="H19" i="3" s="1"/>
  <c r="O18" i="3"/>
  <c r="M18" i="3"/>
  <c r="Q18" i="3" s="1"/>
  <c r="F18" i="3"/>
  <c r="D18" i="3"/>
  <c r="H18" i="3" s="1"/>
  <c r="O17" i="3"/>
  <c r="M17" i="3"/>
  <c r="Q17" i="3" s="1"/>
  <c r="F17" i="3"/>
  <c r="D17" i="3"/>
  <c r="O13" i="3"/>
  <c r="M13" i="3"/>
  <c r="Q13" i="3" s="1"/>
  <c r="F13" i="3"/>
  <c r="D13" i="3"/>
  <c r="O12" i="3"/>
  <c r="M12" i="3"/>
  <c r="F12" i="3"/>
  <c r="D12" i="3"/>
  <c r="H12" i="3" s="1"/>
  <c r="O11" i="3"/>
  <c r="M11" i="3"/>
  <c r="F11" i="3"/>
  <c r="D11" i="3"/>
  <c r="O7" i="3"/>
  <c r="M7" i="3"/>
  <c r="F7" i="3"/>
  <c r="D7" i="3"/>
  <c r="O6" i="3"/>
  <c r="M6" i="3"/>
  <c r="F6" i="3"/>
  <c r="D6" i="3"/>
  <c r="H6" i="3" s="1"/>
  <c r="O5" i="3"/>
  <c r="M5" i="3"/>
  <c r="Q5" i="3" s="1"/>
  <c r="F5" i="3"/>
  <c r="D5" i="3"/>
  <c r="H5" i="3" s="1"/>
  <c r="D16" i="2"/>
  <c r="D17" i="2"/>
  <c r="D15" i="2"/>
  <c r="F27" i="2"/>
  <c r="F26" i="2"/>
  <c r="F25" i="2"/>
  <c r="F21" i="2"/>
  <c r="F20" i="2"/>
  <c r="E22" i="2"/>
  <c r="F22" i="2" s="1"/>
  <c r="R17" i="3" l="1"/>
  <c r="H13" i="3"/>
  <c r="H7" i="3"/>
  <c r="Q7" i="3"/>
  <c r="Q6" i="3"/>
  <c r="Q11" i="3"/>
  <c r="Q19" i="3"/>
  <c r="Q23" i="3"/>
  <c r="H11" i="3"/>
  <c r="Q12" i="3"/>
  <c r="H17" i="3"/>
</calcChain>
</file>

<file path=xl/sharedStrings.xml><?xml version="1.0" encoding="utf-8"?>
<sst xmlns="http://schemas.openxmlformats.org/spreadsheetml/2006/main" count="86" uniqueCount="26">
  <si>
    <t>Zad 1</t>
  </si>
  <si>
    <t>Zad 2</t>
  </si>
  <si>
    <t>R1</t>
  </si>
  <si>
    <t>U[V]</t>
  </si>
  <si>
    <t>u[U]</t>
  </si>
  <si>
    <t>I[mA]</t>
  </si>
  <si>
    <t>u[I]</t>
  </si>
  <si>
    <t>R[Ω]</t>
  </si>
  <si>
    <t>u[R]</t>
  </si>
  <si>
    <t>f[Hz]</t>
  </si>
  <si>
    <t>R2</t>
  </si>
  <si>
    <t>Cewka</t>
  </si>
  <si>
    <t>Z[Ω]</t>
  </si>
  <si>
    <t>Kondensator</t>
  </si>
  <si>
    <t>Źródło[V]</t>
  </si>
  <si>
    <t>Frequency</t>
  </si>
  <si>
    <t>u[Z]</t>
  </si>
  <si>
    <t>100Hz</t>
  </si>
  <si>
    <t>1kHz</t>
  </si>
  <si>
    <t>10 kHz</t>
  </si>
  <si>
    <t xml:space="preserve">Kondensator </t>
  </si>
  <si>
    <t>C[nF]</t>
  </si>
  <si>
    <t>u[C]</t>
  </si>
  <si>
    <t>Z[kΩ]</t>
  </si>
  <si>
    <t>L[mH]</t>
  </si>
  <si>
    <t>u[L]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</si>
</sst>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0000E+00"/>
    <numFmt numFmtId="172" formatCode="0.00000"/>
    <numFmt numFmtId="174" formatCode="0.000"/>
    <numFmt numFmtId="182" formatCode="0.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Border="1"/>
    <xf numFmtId="0" fontId="0" fillId="2" borderId="0" xfId="0" applyFill="1" applyBorder="1"/>
    <xf numFmtId="0" fontId="0" fillId="0" borderId="1" xfId="0" applyFill="1" applyBorder="1"/>
    <xf numFmtId="172" fontId="0" fillId="0" borderId="1" xfId="0" applyNumberFormat="1" applyBorder="1"/>
    <xf numFmtId="174" fontId="0" fillId="0" borderId="1" xfId="0" applyNumberFormat="1" applyBorder="1"/>
    <xf numFmtId="0" fontId="0" fillId="2" borderId="0" xfId="0" applyFill="1"/>
    <xf numFmtId="168" fontId="0" fillId="2" borderId="0" xfId="0" applyNumberFormat="1" applyFill="1"/>
    <xf numFmtId="0" fontId="1" fillId="2" borderId="0" xfId="0" applyFont="1" applyFill="1"/>
    <xf numFmtId="2" fontId="0" fillId="0" borderId="1" xfId="0" applyNumberFormat="1" applyBorder="1"/>
    <xf numFmtId="182" fontId="0" fillId="0" borderId="1" xfId="0" applyNumberFormat="1" applyBorder="1" applyAlignment="1">
      <alignment horizontal="right" indent="1"/>
    </xf>
    <xf numFmtId="0" fontId="0" fillId="2" borderId="0" xfId="0" applyFill="1" applyBorder="1" applyAlignment="1">
      <alignment horizontal="center"/>
    </xf>
    <xf numFmtId="172" fontId="0" fillId="2" borderId="0" xfId="0" applyNumberForma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80A7-7FA2-4709-94C6-0FBEE546C2E1}">
  <dimension ref="A1:V36"/>
  <sheetViews>
    <sheetView workbookViewId="0">
      <selection activeCell="H5" sqref="H5"/>
    </sheetView>
  </sheetViews>
  <sheetFormatPr defaultRowHeight="15" x14ac:dyDescent="0.25"/>
  <cols>
    <col min="1" max="1" width="9.140625" style="16"/>
    <col min="9" max="9" width="9.140625" style="16"/>
    <col min="18" max="19" width="10.7109375" customWidth="1"/>
    <col min="21" max="21" width="9.42578125" bestFit="1" customWidth="1"/>
  </cols>
  <sheetData>
    <row r="1" spans="2:21" ht="15.75" thickBot="1" x14ac:dyDescent="0.3">
      <c r="B1" s="16"/>
      <c r="C1" s="16"/>
      <c r="D1" s="16"/>
      <c r="E1" s="16"/>
      <c r="F1" s="16"/>
      <c r="G1" s="16"/>
      <c r="H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2:21" ht="15.75" thickBot="1" x14ac:dyDescent="0.3">
      <c r="B2" s="16"/>
      <c r="C2" s="4" t="s">
        <v>0</v>
      </c>
      <c r="D2" s="5"/>
      <c r="E2" s="5"/>
      <c r="F2" s="5"/>
      <c r="G2" s="5"/>
      <c r="H2" s="6"/>
      <c r="J2" s="16"/>
      <c r="K2" s="4" t="s">
        <v>1</v>
      </c>
      <c r="L2" s="5"/>
      <c r="M2" s="5"/>
      <c r="N2" s="5"/>
      <c r="O2" s="5"/>
      <c r="P2" s="5"/>
      <c r="Q2" s="6"/>
      <c r="T2" s="16"/>
      <c r="U2" s="16"/>
    </row>
    <row r="3" spans="2:21" x14ac:dyDescent="0.25">
      <c r="B3" s="16"/>
      <c r="C3" s="3" t="s">
        <v>2</v>
      </c>
      <c r="D3" s="3"/>
      <c r="E3" s="3"/>
      <c r="F3" s="3"/>
      <c r="G3" s="3"/>
      <c r="H3" s="3"/>
      <c r="J3" s="16"/>
      <c r="K3" s="3" t="s">
        <v>2</v>
      </c>
      <c r="L3" s="3"/>
      <c r="M3" s="3"/>
      <c r="N3" s="3"/>
      <c r="O3" s="3"/>
      <c r="P3" s="3"/>
      <c r="Q3" s="3"/>
      <c r="R3" s="16"/>
      <c r="S3" s="16"/>
      <c r="T3" s="16"/>
      <c r="U3" s="16"/>
    </row>
    <row r="4" spans="2:21" x14ac:dyDescent="0.25">
      <c r="B4" s="2" t="s">
        <v>14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J4" s="16"/>
      <c r="K4" s="2" t="s">
        <v>9</v>
      </c>
      <c r="L4" s="2" t="s">
        <v>3</v>
      </c>
      <c r="M4" s="2" t="s">
        <v>4</v>
      </c>
      <c r="N4" s="2" t="s">
        <v>5</v>
      </c>
      <c r="O4" s="2" t="s">
        <v>6</v>
      </c>
      <c r="P4" s="2" t="s">
        <v>7</v>
      </c>
      <c r="Q4" s="2" t="s">
        <v>8</v>
      </c>
      <c r="R4" s="16"/>
      <c r="S4" s="16"/>
      <c r="T4" s="16"/>
      <c r="U4" s="16"/>
    </row>
    <row r="5" spans="2:21" x14ac:dyDescent="0.25">
      <c r="B5" s="2">
        <v>5.0999999999999996</v>
      </c>
      <c r="C5" s="2">
        <v>6.4299999999999996E-2</v>
      </c>
      <c r="D5" s="2">
        <f>(C5*0.0005+5*0.0001)/SQRT(3)</f>
        <v>3.0723694574925935E-4</v>
      </c>
      <c r="E5" s="2">
        <v>0.93500000000000005</v>
      </c>
      <c r="F5" s="2">
        <f>(E5*0.002+10*0.0001)/SQRT(3)</f>
        <v>1.6569952725742261E-3</v>
      </c>
      <c r="G5" s="2">
        <f>C5/(E5*0.001-C5/10000000)</f>
        <v>68.770526411213709</v>
      </c>
      <c r="H5" s="2">
        <f t="shared" ref="H5:H7" si="0">SQRT(((D5/(E5*0.001))^2)+((-C5*(F5/1000))/((E5*0.001)^2))^2)</f>
        <v>0.35046860394542012</v>
      </c>
      <c r="J5" s="16"/>
      <c r="K5" s="2">
        <v>100</v>
      </c>
      <c r="L5" s="2">
        <v>1.2784</v>
      </c>
      <c r="M5" s="2">
        <f>(L5*0.005+50*0.0001)/SQRT(3)</f>
        <v>6.5771742666082171E-3</v>
      </c>
      <c r="N5" s="2">
        <v>18.600000000000001</v>
      </c>
      <c r="O5" s="2">
        <f>(N5*0.002+10*0.0001)/SQRT(3)</f>
        <v>2.205478028304371E-2</v>
      </c>
      <c r="P5" s="2">
        <f>L5/(N5*0.001)</f>
        <v>68.731182795698913</v>
      </c>
      <c r="Q5" s="2">
        <f t="shared" ref="Q5:Q7" si="1">SQRT(((M5/(N5*0.001))^2)+((-L5*(O5/1000))/((N5*0.001)^2))^2)</f>
        <v>0.36288142506114002</v>
      </c>
      <c r="R5" s="16"/>
      <c r="S5" s="16"/>
      <c r="T5" s="16"/>
      <c r="U5" s="16"/>
    </row>
    <row r="6" spans="2:21" x14ac:dyDescent="0.25">
      <c r="B6" s="2">
        <v>9.9</v>
      </c>
      <c r="C6" s="2">
        <v>0.11799999999999999</v>
      </c>
      <c r="D6" s="2">
        <f>(C6*0.0005+5*0.0001)/SQRT(3)</f>
        <v>3.2273880047700086E-4</v>
      </c>
      <c r="E6" s="2">
        <v>1.722</v>
      </c>
      <c r="F6" s="2">
        <f t="shared" ref="F6:F7" si="2">(E6*0.002+10*0.0001)/SQRT(3)</f>
        <v>2.565744596278697E-3</v>
      </c>
      <c r="G6" s="2">
        <f t="shared" ref="G6:G7" si="3">C6/(E6*0.001-C6/10000000)</f>
        <v>68.525440534377637</v>
      </c>
      <c r="H6" s="2">
        <f t="shared" si="0"/>
        <v>0.21342719838407656</v>
      </c>
      <c r="J6" s="16"/>
      <c r="K6" s="2">
        <v>1000</v>
      </c>
      <c r="L6" s="2">
        <v>1.2704</v>
      </c>
      <c r="M6" s="2">
        <f t="shared" ref="M6:M7" si="4">(L6*0.005+50*0.0001)/SQRT(3)</f>
        <v>6.5540802558406329E-3</v>
      </c>
      <c r="N6" s="2">
        <v>18.489000000000001</v>
      </c>
      <c r="O6" s="2">
        <f t="shared" ref="O6:O7" si="5">(N6*0.002+10*0.0001)/SQRT(3)</f>
        <v>2.1926608523283611E-2</v>
      </c>
      <c r="P6" s="2">
        <f t="shared" ref="P6:P7" si="6">L6/(N6*0.001)</f>
        <v>68.711125534101342</v>
      </c>
      <c r="Q6" s="2">
        <f t="shared" si="1"/>
        <v>0.36373055912433699</v>
      </c>
      <c r="R6" s="16"/>
      <c r="S6" s="16"/>
      <c r="T6" s="16"/>
      <c r="U6" s="16"/>
    </row>
    <row r="7" spans="2:21" x14ac:dyDescent="0.25">
      <c r="B7" s="2">
        <v>14.8</v>
      </c>
      <c r="C7" s="2">
        <v>0.17249999999999999</v>
      </c>
      <c r="D7" s="2">
        <f>(C7*0.0005+5*0.0001)/SQRT(3)</f>
        <v>3.3847159531241809E-4</v>
      </c>
      <c r="E7" s="2">
        <v>2.5099999999999998</v>
      </c>
      <c r="F7" s="2">
        <f t="shared" si="2"/>
        <v>3.4756486205215469E-3</v>
      </c>
      <c r="G7" s="2">
        <f t="shared" si="3"/>
        <v>68.725571918771166</v>
      </c>
      <c r="H7" s="2">
        <f t="shared" si="0"/>
        <v>0.16504758786715312</v>
      </c>
      <c r="J7" s="16"/>
      <c r="K7" s="2">
        <v>10000</v>
      </c>
      <c r="L7" s="2">
        <v>1.2701</v>
      </c>
      <c r="M7" s="2">
        <f t="shared" si="4"/>
        <v>6.5532142304368475E-3</v>
      </c>
      <c r="N7" s="2">
        <v>18.62</v>
      </c>
      <c r="O7" s="2">
        <f t="shared" si="5"/>
        <v>2.2077874293811292E-2</v>
      </c>
      <c r="P7" s="2">
        <f t="shared" si="6"/>
        <v>68.211600429645543</v>
      </c>
      <c r="Q7" s="2">
        <f t="shared" si="1"/>
        <v>0.36111858708566125</v>
      </c>
      <c r="R7" s="16"/>
      <c r="S7" s="16"/>
      <c r="T7" s="16"/>
      <c r="U7" s="16"/>
    </row>
    <row r="8" spans="2:21" x14ac:dyDescent="0.25">
      <c r="B8" s="16"/>
      <c r="C8" s="16"/>
      <c r="D8" s="16"/>
      <c r="E8" s="16"/>
      <c r="F8" s="16"/>
      <c r="G8" s="16"/>
      <c r="H8" s="16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6"/>
    </row>
    <row r="9" spans="2:21" x14ac:dyDescent="0.25">
      <c r="B9" s="16"/>
      <c r="C9" s="7" t="s">
        <v>10</v>
      </c>
      <c r="D9" s="8"/>
      <c r="E9" s="8"/>
      <c r="F9" s="8"/>
      <c r="G9" s="8"/>
      <c r="H9" s="9"/>
      <c r="J9" s="16"/>
      <c r="K9" s="1" t="s">
        <v>10</v>
      </c>
      <c r="L9" s="1"/>
      <c r="M9" s="1"/>
      <c r="N9" s="1"/>
      <c r="O9" s="1"/>
      <c r="P9" s="1"/>
      <c r="Q9" s="1"/>
      <c r="R9" s="16"/>
      <c r="S9" s="16"/>
      <c r="T9" s="16"/>
      <c r="U9" s="16"/>
    </row>
    <row r="10" spans="2:21" x14ac:dyDescent="0.25">
      <c r="B10" s="2" t="s">
        <v>14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J10" s="16"/>
      <c r="K10" s="2" t="s">
        <v>9</v>
      </c>
      <c r="L10" s="2" t="s">
        <v>3</v>
      </c>
      <c r="M10" s="2" t="s">
        <v>4</v>
      </c>
      <c r="N10" s="2" t="s">
        <v>5</v>
      </c>
      <c r="O10" s="2" t="s">
        <v>6</v>
      </c>
      <c r="P10" s="2" t="s">
        <v>7</v>
      </c>
      <c r="Q10" s="2" t="s">
        <v>8</v>
      </c>
      <c r="R10" s="16"/>
      <c r="S10" s="16"/>
      <c r="T10" s="16"/>
      <c r="U10" s="16"/>
    </row>
    <row r="11" spans="2:21" x14ac:dyDescent="0.25">
      <c r="B11" s="2">
        <v>5.0999999999999996</v>
      </c>
      <c r="C11" s="2">
        <v>0.10680000000000001</v>
      </c>
      <c r="D11" s="2">
        <f>(C11*0.0005+5*0.0001)/SQRT(3)</f>
        <v>3.1950563896953894E-4</v>
      </c>
      <c r="E11" s="2">
        <v>3.5999999999999997E-2</v>
      </c>
      <c r="F11" s="2">
        <f>(E11*0.002+10*0.0001)/SQRT(3)</f>
        <v>6.1891948857127892E-4</v>
      </c>
      <c r="G11" s="2">
        <f>C11/(E11*0.001-C11/10000000)</f>
        <v>2967.54703895489</v>
      </c>
      <c r="H11" s="2">
        <f t="shared" ref="H11:H13" si="7">SQRT(((D11/(E11*0.001))^2)+((-C11*(F11/1000))/((E11*0.001)^2))^2)</f>
        <v>51.769977434391308</v>
      </c>
      <c r="J11" s="16"/>
      <c r="K11" s="2">
        <v>100</v>
      </c>
      <c r="L11" s="2">
        <v>2.1150000000000002</v>
      </c>
      <c r="M11" s="2">
        <f>(L11*0.005+50*0.0001)/SQRT(3)</f>
        <v>8.9922304426284221E-3</v>
      </c>
      <c r="N11" s="2">
        <v>0.79400000000000004</v>
      </c>
      <c r="O11" s="2">
        <f>(N11*0.002+10*0.0001)/SQRT(3)</f>
        <v>1.4941824966627517E-3</v>
      </c>
      <c r="P11" s="2">
        <f>L11/(N11*0.001)</f>
        <v>2663.7279596977328</v>
      </c>
      <c r="Q11" s="2">
        <f>SQRT(((M11/(N11*0.001))^2)+((L11*(O11/1000))/((N11*0.001)^2))^2)</f>
        <v>12.384994303540026</v>
      </c>
      <c r="R11" s="16"/>
      <c r="S11" s="16"/>
      <c r="T11" s="16"/>
      <c r="U11" s="16"/>
    </row>
    <row r="12" spans="2:21" x14ac:dyDescent="0.25">
      <c r="B12" s="2">
        <v>9.9</v>
      </c>
      <c r="C12" s="2">
        <v>0.19600000000000001</v>
      </c>
      <c r="D12" s="2">
        <f t="shared" ref="D12:D13" si="8">(C12*0.0005+5*0.0001)/SQRT(3)</f>
        <v>3.4525546097539624E-4</v>
      </c>
      <c r="E12" s="2">
        <v>7.0000000000000007E-2</v>
      </c>
      <c r="F12" s="2">
        <f t="shared" ref="F12:F13" si="9">(E12*0.002+10*0.0001)/SQRT(3)</f>
        <v>6.581793068761734E-4</v>
      </c>
      <c r="G12" s="2">
        <f t="shared" ref="G12:G13" si="10">C12/(E12*0.001-C12/10000000)</f>
        <v>2800.7842195814828</v>
      </c>
      <c r="H12" s="2">
        <f t="shared" si="7"/>
        <v>26.785197455331335</v>
      </c>
      <c r="J12" s="16"/>
      <c r="K12" s="2">
        <v>1000</v>
      </c>
      <c r="L12" s="2">
        <v>2.1040000000000001</v>
      </c>
      <c r="M12" s="2">
        <f t="shared" ref="M12:M13" si="11">(L12*0.005+50*0.0001)/SQRT(3)</f>
        <v>8.9604761778229926E-3</v>
      </c>
      <c r="N12" s="2">
        <v>0.78800000000000003</v>
      </c>
      <c r="O12" s="2">
        <f t="shared" ref="O12:O13" si="12">(N12*0.002+10*0.0001)/SQRT(3)</f>
        <v>1.4872542934324762E-3</v>
      </c>
      <c r="P12" s="2">
        <f t="shared" ref="P12:P13" si="13">L12/(N12*0.001)</f>
        <v>2670.0507614213197</v>
      </c>
      <c r="Q12" s="2">
        <f t="shared" ref="Q12:Q13" si="14">SQRT(((M12/(N12*0.001))^2)+((-L12*(O12/1000))/((N12*0.001)^2))^2)</f>
        <v>12.437799547632922</v>
      </c>
      <c r="R12" s="16"/>
      <c r="S12" s="16"/>
      <c r="T12" s="16"/>
      <c r="U12" s="16"/>
    </row>
    <row r="13" spans="2:21" x14ac:dyDescent="0.25">
      <c r="B13" s="2">
        <v>14.8</v>
      </c>
      <c r="C13" s="2">
        <v>0.28599999999999998</v>
      </c>
      <c r="D13" s="2">
        <f t="shared" si="8"/>
        <v>3.7123622308892938E-4</v>
      </c>
      <c r="E13" s="2">
        <v>0.105</v>
      </c>
      <c r="F13" s="2">
        <f t="shared" si="9"/>
        <v>6.9859382571944731E-4</v>
      </c>
      <c r="G13" s="2">
        <f t="shared" si="10"/>
        <v>2724.5516397799779</v>
      </c>
      <c r="H13" s="2">
        <f t="shared" si="7"/>
        <v>18.463921157133917</v>
      </c>
      <c r="J13" s="16"/>
      <c r="K13" s="2">
        <v>10000</v>
      </c>
      <c r="L13" s="2">
        <v>2.1071</v>
      </c>
      <c r="M13" s="2">
        <f t="shared" si="11"/>
        <v>8.9694251069954312E-3</v>
      </c>
      <c r="N13" s="2">
        <v>0.65700000000000003</v>
      </c>
      <c r="O13" s="2">
        <f t="shared" si="12"/>
        <v>1.3359885229047941E-3</v>
      </c>
      <c r="P13" s="2">
        <f t="shared" si="13"/>
        <v>3207.1537290715369</v>
      </c>
      <c r="Q13" s="2">
        <f t="shared" si="14"/>
        <v>15.129821321769914</v>
      </c>
      <c r="R13" s="16"/>
      <c r="S13" s="16"/>
      <c r="T13" s="16"/>
      <c r="U13" s="16"/>
    </row>
    <row r="14" spans="2:21" x14ac:dyDescent="0.25">
      <c r="B14" s="16"/>
      <c r="C14" s="16"/>
      <c r="D14" s="16"/>
      <c r="E14" s="16"/>
      <c r="F14" s="16"/>
      <c r="G14" s="16"/>
      <c r="H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2:21" x14ac:dyDescent="0.25">
      <c r="B15" s="16"/>
      <c r="C15" s="7" t="s">
        <v>11</v>
      </c>
      <c r="D15" s="8"/>
      <c r="E15" s="8"/>
      <c r="F15" s="8"/>
      <c r="G15" s="8"/>
      <c r="H15" s="9"/>
      <c r="J15" s="16"/>
      <c r="K15" s="1" t="s">
        <v>11</v>
      </c>
      <c r="L15" s="1"/>
      <c r="M15" s="1"/>
      <c r="N15" s="1"/>
      <c r="O15" s="1"/>
      <c r="P15" s="1"/>
      <c r="Q15" s="1"/>
      <c r="R15" s="1"/>
      <c r="S15" s="1"/>
      <c r="T15" s="16"/>
      <c r="U15" s="16"/>
    </row>
    <row r="16" spans="2:21" x14ac:dyDescent="0.25">
      <c r="B16" s="2" t="s">
        <v>14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J16" s="16"/>
      <c r="K16" s="2" t="s">
        <v>9</v>
      </c>
      <c r="L16" s="2" t="s">
        <v>3</v>
      </c>
      <c r="M16" s="2" t="s">
        <v>4</v>
      </c>
      <c r="N16" s="2" t="s">
        <v>5</v>
      </c>
      <c r="O16" s="2" t="s">
        <v>6</v>
      </c>
      <c r="P16" s="2" t="s">
        <v>12</v>
      </c>
      <c r="Q16" s="2" t="s">
        <v>16</v>
      </c>
      <c r="R16" s="13" t="s">
        <v>24</v>
      </c>
      <c r="S16" s="13" t="s">
        <v>25</v>
      </c>
      <c r="T16" s="16"/>
      <c r="U16" s="16"/>
    </row>
    <row r="17" spans="2:22" x14ac:dyDescent="0.25">
      <c r="B17" s="2">
        <v>5.0999999999999996</v>
      </c>
      <c r="C17" s="2">
        <v>7.6999999999999999E-2</v>
      </c>
      <c r="D17" s="2">
        <f>(C17*0.0005+5*0.0001)/SQRT(3)</f>
        <v>3.1090311995861353E-4</v>
      </c>
      <c r="E17" s="2">
        <v>0.65100000000000002</v>
      </c>
      <c r="F17" s="2">
        <f>(E17*0.002+10*0.0001)/SQRT(3)</f>
        <v>1.3290603196745188E-3</v>
      </c>
      <c r="G17" s="2">
        <f>C17/(E17*0.001-C17/10000000)</f>
        <v>118.28096891468608</v>
      </c>
      <c r="H17" s="2">
        <f t="shared" ref="H17:H19" si="15">SQRT(((D17/(E17*0.001))^2)+((-C17*(F17/1000))/((E17*0.001)^2))^2)</f>
        <v>0.53515514533617936</v>
      </c>
      <c r="J17" s="16"/>
      <c r="K17" s="2">
        <v>100</v>
      </c>
      <c r="L17" s="2">
        <v>1.5680000000000001</v>
      </c>
      <c r="M17" s="2">
        <f>(L17*0.005+50*0.0001)/SQRT(3)</f>
        <v>7.413177456394796E-3</v>
      </c>
      <c r="N17" s="2">
        <v>12.73</v>
      </c>
      <c r="O17" s="2">
        <f>(N17*0.002+10*0.0001)/SQRT(3)</f>
        <v>1.5276688122757499E-2</v>
      </c>
      <c r="P17" s="2">
        <f>L17/(N17*0.001)</f>
        <v>123.17360565593087</v>
      </c>
      <c r="Q17" s="2">
        <f t="shared" ref="Q17:Q18" si="16">SQRT(((M17/(N17*0.001))^2)+((-L17*(O17/1000))/((N17*0.001)^2))^2)</f>
        <v>0.60080626031782469</v>
      </c>
      <c r="R17" s="14">
        <f>(1/(2*PI()*K17))*SQRT(P17^2-(AVERAGE($G$17:$G$19))^2)*1000</f>
        <v>51.844408397895421</v>
      </c>
      <c r="S17" s="14">
        <f>(P17/(SQRT(P17^2-AVERAGE($G$17:$G$19))^2*Q17))+(AVERAGE($G$17:$G$19)/(SQRT(P17^2-AVERAGE($G$17:$G$19))^2*Q17))^2*AVERAGE($H$17:$H$19)+(K17*0.0005+2)/(2*PI())</f>
        <v>0.33995262203069065</v>
      </c>
      <c r="T17" s="16"/>
      <c r="U17" s="16"/>
    </row>
    <row r="18" spans="2:22" x14ac:dyDescent="0.25">
      <c r="B18" s="2">
        <v>9.9</v>
      </c>
      <c r="C18" s="2">
        <v>0.14280000000000001</v>
      </c>
      <c r="D18" s="2">
        <f t="shared" ref="D18:D19" si="17">(C18*0.0005+5*0.0001)/SQRT(3)</f>
        <v>3.2989794381495219E-4</v>
      </c>
      <c r="E18" s="2">
        <v>1.198</v>
      </c>
      <c r="F18" s="2">
        <f t="shared" ref="F18:F19" si="18">(E18*0.002+10*0.0001)/SQRT(3)</f>
        <v>1.9606815141679692E-3</v>
      </c>
      <c r="G18" s="2">
        <f t="shared" ref="G18:G19" si="19">C18/(E18*0.001-C18/10000000)</f>
        <v>119.20008528983134</v>
      </c>
      <c r="H18" s="2">
        <f t="shared" si="15"/>
        <v>0.33747378060973443</v>
      </c>
      <c r="J18" s="16"/>
      <c r="K18" s="2">
        <v>1000</v>
      </c>
      <c r="L18" s="2">
        <v>2.024</v>
      </c>
      <c r="M18" s="2">
        <f t="shared" ref="M18:M19" si="20">(L18*0.005+50*0.0001)/SQRT(3)</f>
        <v>8.7295360701471428E-3</v>
      </c>
      <c r="N18" s="2">
        <v>6.0439999999999996</v>
      </c>
      <c r="O18" s="2">
        <f t="shared" ref="O18:O19" si="21">(N18*0.002+10*0.0001)/SQRT(3)</f>
        <v>7.5563603231538221E-3</v>
      </c>
      <c r="P18" s="2">
        <f t="shared" ref="P18:P19" si="22">L18/(N18*0.001)</f>
        <v>334.87756452680344</v>
      </c>
      <c r="Q18" s="2">
        <f t="shared" si="16"/>
        <v>1.5037879898953255</v>
      </c>
      <c r="R18" s="14">
        <f t="shared" ref="R18:R19" si="23">(1/(2*PI()*K18))*SQRT(P18^2-(AVERAGE($G$17:$G$19))^2)*1000</f>
        <v>49.831604280598164</v>
      </c>
      <c r="S18" s="14">
        <f t="shared" ref="S18:S19" si="24">(P18/(SQRT(P18^2-AVERAGE($G$17:$G$19))^2*Q18))+(AVERAGE($G$17:$G$19)/(SQRT(P18^2-AVERAGE($G$17:$G$19))^2*Q18))^2*AVERAGE($H$17:$H$19)+(K18*0.0005+0.2)/(2*PI())</f>
        <v>0.11339651717201177</v>
      </c>
      <c r="T18" s="16"/>
      <c r="U18" s="16"/>
    </row>
    <row r="19" spans="2:22" x14ac:dyDescent="0.25">
      <c r="B19" s="2">
        <v>14.8</v>
      </c>
      <c r="C19" s="2">
        <v>0.2084</v>
      </c>
      <c r="D19" s="2">
        <f t="shared" si="17"/>
        <v>3.4883503264437194E-4</v>
      </c>
      <c r="E19" s="2">
        <v>1.7529999999999999</v>
      </c>
      <c r="F19" s="2">
        <f t="shared" si="18"/>
        <v>2.6015403129684535E-3</v>
      </c>
      <c r="G19" s="2">
        <f t="shared" si="19"/>
        <v>118.88333002201806</v>
      </c>
      <c r="H19" s="2">
        <f t="shared" si="15"/>
        <v>0.26594112566916084</v>
      </c>
      <c r="J19" s="16"/>
      <c r="K19" s="2">
        <v>10000</v>
      </c>
      <c r="L19" s="2">
        <v>2.1421999999999999</v>
      </c>
      <c r="M19" s="2">
        <f t="shared" si="20"/>
        <v>9.0707500792382104E-3</v>
      </c>
      <c r="N19" s="2">
        <v>0.55400000000000005</v>
      </c>
      <c r="O19" s="2">
        <f t="shared" si="21"/>
        <v>1.2170543674517311E-3</v>
      </c>
      <c r="P19" s="2">
        <f t="shared" si="22"/>
        <v>3866.7870036101081</v>
      </c>
      <c r="Q19" s="2">
        <f>SQRT(((M19/(N19*0.001))^2)+((-L19*(O19/1000))/((N19*0.001)^2))^2)</f>
        <v>18.445656651638899</v>
      </c>
      <c r="R19" s="14">
        <f t="shared" si="23"/>
        <v>61.512780408364485</v>
      </c>
      <c r="S19" s="14">
        <f t="shared" si="24"/>
        <v>0.82761972443516729</v>
      </c>
      <c r="T19" s="16"/>
      <c r="U19" s="16"/>
    </row>
    <row r="20" spans="2:22" x14ac:dyDescent="0.25">
      <c r="B20" s="16"/>
      <c r="C20" s="16"/>
      <c r="D20" s="16"/>
      <c r="E20" s="16"/>
      <c r="F20" s="16"/>
      <c r="G20" s="16"/>
      <c r="H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2:22" x14ac:dyDescent="0.25">
      <c r="B21" s="16"/>
      <c r="C21" s="16"/>
      <c r="D21" s="16"/>
      <c r="E21" s="16"/>
      <c r="F21" s="16"/>
      <c r="G21" s="16"/>
      <c r="H21" s="16"/>
      <c r="J21" s="16"/>
      <c r="K21" s="1" t="s">
        <v>13</v>
      </c>
      <c r="L21" s="1"/>
      <c r="M21" s="1"/>
      <c r="N21" s="1"/>
      <c r="O21" s="1"/>
      <c r="P21" s="1"/>
      <c r="Q21" s="1"/>
      <c r="R21" s="1"/>
      <c r="S21" s="21"/>
      <c r="T21" s="16"/>
      <c r="U21" s="16"/>
    </row>
    <row r="22" spans="2:22" x14ac:dyDescent="0.25">
      <c r="B22" s="16"/>
      <c r="C22" s="16"/>
      <c r="D22" s="16"/>
      <c r="E22" s="16"/>
      <c r="F22" s="16"/>
      <c r="G22" s="16"/>
      <c r="H22" s="16"/>
      <c r="J22" s="16"/>
      <c r="K22" s="2" t="s">
        <v>9</v>
      </c>
      <c r="L22" s="2" t="s">
        <v>3</v>
      </c>
      <c r="M22" s="2" t="s">
        <v>4</v>
      </c>
      <c r="N22" s="2" t="s">
        <v>5</v>
      </c>
      <c r="O22" s="2" t="s">
        <v>6</v>
      </c>
      <c r="P22" s="2" t="s">
        <v>12</v>
      </c>
      <c r="Q22" s="2" t="s">
        <v>16</v>
      </c>
      <c r="R22" s="13" t="s">
        <v>21</v>
      </c>
      <c r="S22" s="12"/>
      <c r="T22" s="16"/>
      <c r="U22" s="16"/>
    </row>
    <row r="23" spans="2:22" x14ac:dyDescent="0.25">
      <c r="J23" s="16"/>
      <c r="K23" s="2">
        <v>100</v>
      </c>
      <c r="L23" s="2">
        <v>2.1520999999999999</v>
      </c>
      <c r="M23" s="2">
        <f>(L23*0.005+50*0.0001)/SQRT(3)</f>
        <v>9.099328917563097E-3</v>
      </c>
      <c r="N23" s="2">
        <v>0.08</v>
      </c>
      <c r="O23" s="2">
        <f>(N23*0.002+10*0.0001)/SQRT(3)</f>
        <v>6.6972631225996598E-4</v>
      </c>
      <c r="P23" s="2">
        <f t="shared" ref="P23:P25" si="25">L23/(N23*0.001)</f>
        <v>26901.249999999996</v>
      </c>
      <c r="Q23" s="2">
        <f t="shared" ref="Q23:Q25" si="26">SQRT(((M23/(N23*0.001))^2)+((-L23*(O23/1000))/((N23*0.001)^2))^2)</f>
        <v>252.29916414188278</v>
      </c>
      <c r="R23" s="14">
        <f>(1/(P23*2*PI()*K23))*1000000000</f>
        <v>59.16265715975851</v>
      </c>
      <c r="S23" s="22"/>
      <c r="T23" s="16"/>
      <c r="U23" s="16"/>
    </row>
    <row r="24" spans="2:22" x14ac:dyDescent="0.25">
      <c r="J24" s="16"/>
      <c r="K24" s="2">
        <v>1000</v>
      </c>
      <c r="L24" s="2">
        <v>2.1415000000000002</v>
      </c>
      <c r="M24" s="2">
        <f t="shared" ref="M24:M25" si="27">(L24*0.005+50*0.0001)/SQRT(3)</f>
        <v>9.068729353296048E-3</v>
      </c>
      <c r="N24" s="2">
        <v>0.625</v>
      </c>
      <c r="O24" s="2">
        <f t="shared" ref="O24:O25" si="28">(N24*0.002+10*0.0001)/SQRT(3)</f>
        <v>1.2990381056766582E-3</v>
      </c>
      <c r="P24" s="2">
        <f t="shared" si="25"/>
        <v>3426.4</v>
      </c>
      <c r="Q24" s="2">
        <f t="shared" si="26"/>
        <v>16.16344265930168</v>
      </c>
      <c r="R24" s="14">
        <f t="shared" ref="R24" si="29">(1/(P24*2*PI()*K24))*1000000000</f>
        <v>46.449609821356333</v>
      </c>
      <c r="S24" s="22"/>
      <c r="T24" s="16"/>
      <c r="U24" s="16"/>
    </row>
    <row r="25" spans="2:22" x14ac:dyDescent="0.25">
      <c r="J25" s="16"/>
      <c r="K25" s="2">
        <v>10000</v>
      </c>
      <c r="L25" s="2">
        <v>2.1227</v>
      </c>
      <c r="M25" s="2">
        <f t="shared" si="27"/>
        <v>9.014458427992221E-3</v>
      </c>
      <c r="N25" s="2">
        <v>6.1269999999999998</v>
      </c>
      <c r="O25" s="2">
        <f t="shared" si="28"/>
        <v>7.652200467839299E-3</v>
      </c>
      <c r="P25" s="2">
        <f t="shared" si="25"/>
        <v>346.4501387302106</v>
      </c>
      <c r="Q25" s="2">
        <f t="shared" si="26"/>
        <v>1.533574872434128</v>
      </c>
      <c r="R25" s="14">
        <f>(1/(P25*2*PI()*K25))*1000000000</f>
        <v>45.938773087296497</v>
      </c>
      <c r="S25" s="22"/>
      <c r="T25" s="16"/>
      <c r="U25" s="16"/>
    </row>
    <row r="26" spans="2:22" x14ac:dyDescent="0.25">
      <c r="J26" s="16"/>
      <c r="K26" s="16"/>
      <c r="L26" s="16"/>
      <c r="M26" s="16"/>
      <c r="N26" s="16"/>
      <c r="O26" s="16"/>
      <c r="P26" s="16"/>
      <c r="Q26" s="16"/>
      <c r="R26" s="17"/>
      <c r="S26" s="17"/>
      <c r="T26" s="16"/>
      <c r="U26" s="16"/>
      <c r="V26" s="16"/>
    </row>
    <row r="27" spans="2:22" x14ac:dyDescent="0.25"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2:22" x14ac:dyDescent="0.25"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2:22" x14ac:dyDescent="0.25"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2:22" x14ac:dyDescent="0.25"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2:22" x14ac:dyDescent="0.25"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2:22" x14ac:dyDescent="0.25"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0:22" x14ac:dyDescent="0.25"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0:22" x14ac:dyDescent="0.25"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0:22" x14ac:dyDescent="0.25"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0:22" x14ac:dyDescent="0.25"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</sheetData>
  <mergeCells count="9">
    <mergeCell ref="C15:H15"/>
    <mergeCell ref="K21:R21"/>
    <mergeCell ref="K15:S15"/>
    <mergeCell ref="C2:H2"/>
    <mergeCell ref="K2:Q2"/>
    <mergeCell ref="C3:H3"/>
    <mergeCell ref="K3:Q3"/>
    <mergeCell ref="C9:H9"/>
    <mergeCell ref="K9:Q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FDFB-CBA2-4CAE-9225-DFB822E41B13}">
  <dimension ref="A9:M31"/>
  <sheetViews>
    <sheetView tabSelected="1" workbookViewId="0">
      <selection activeCell="H4" sqref="H4:Q24"/>
    </sheetView>
  </sheetViews>
  <sheetFormatPr defaultRowHeight="15" x14ac:dyDescent="0.25"/>
  <cols>
    <col min="2" max="2" width="11.28515625" customWidth="1"/>
    <col min="9" max="9" width="9.140625" style="16"/>
  </cols>
  <sheetData>
    <row r="9" spans="1:11" x14ac:dyDescent="0.25">
      <c r="A9" s="16"/>
      <c r="B9" s="16"/>
      <c r="C9" s="16"/>
      <c r="D9" s="16"/>
      <c r="E9" s="16"/>
      <c r="F9" s="16"/>
    </row>
    <row r="10" spans="1:11" x14ac:dyDescent="0.25">
      <c r="A10" s="16"/>
      <c r="B10" s="16"/>
      <c r="C10" s="16"/>
      <c r="D10" s="16"/>
      <c r="E10" s="16"/>
      <c r="F10" s="16"/>
      <c r="K10" s="10"/>
    </row>
    <row r="11" spans="1:11" x14ac:dyDescent="0.25">
      <c r="A11" s="16"/>
      <c r="B11" s="16"/>
      <c r="C11" s="16"/>
      <c r="D11" s="16"/>
      <c r="E11" s="16"/>
      <c r="F11" s="16"/>
      <c r="G11" s="16"/>
    </row>
    <row r="12" spans="1:11" x14ac:dyDescent="0.25">
      <c r="A12" s="16"/>
      <c r="B12" s="16"/>
      <c r="C12" s="16"/>
      <c r="D12" s="16"/>
      <c r="E12" s="16"/>
      <c r="F12" s="16"/>
      <c r="G12" s="16"/>
    </row>
    <row r="13" spans="1:11" x14ac:dyDescent="0.25">
      <c r="A13" s="16"/>
      <c r="B13" s="16"/>
      <c r="C13" s="1" t="s">
        <v>2</v>
      </c>
      <c r="D13" s="1"/>
      <c r="E13" s="1"/>
      <c r="F13" s="1"/>
      <c r="G13" s="16"/>
    </row>
    <row r="14" spans="1:11" x14ac:dyDescent="0.25">
      <c r="A14" s="16"/>
      <c r="B14" s="2" t="s">
        <v>15</v>
      </c>
      <c r="C14" s="2" t="s">
        <v>7</v>
      </c>
      <c r="D14" s="2" t="s">
        <v>8</v>
      </c>
      <c r="E14" s="2" t="s">
        <v>12</v>
      </c>
      <c r="F14" s="2" t="s">
        <v>16</v>
      </c>
      <c r="G14" s="16"/>
    </row>
    <row r="15" spans="1:11" x14ac:dyDescent="0.25">
      <c r="A15" s="16"/>
      <c r="B15" s="2" t="s">
        <v>17</v>
      </c>
      <c r="C15" s="2">
        <v>65.27</v>
      </c>
      <c r="D15" s="2">
        <f>(C15*0.0025+0.02)/SQRT(3)</f>
        <v>0.10575613555880969</v>
      </c>
      <c r="E15" s="2">
        <v>65.290000000000006</v>
      </c>
      <c r="F15" s="2">
        <f>(E15*0.0025+0.02)/SQRT(3)</f>
        <v>0.10578500307226919</v>
      </c>
      <c r="G15" s="16"/>
    </row>
    <row r="16" spans="1:11" x14ac:dyDescent="0.25">
      <c r="A16" s="16"/>
      <c r="B16" s="2" t="s">
        <v>18</v>
      </c>
      <c r="C16" s="2">
        <v>67.75</v>
      </c>
      <c r="D16" s="2">
        <f t="shared" ref="D16:D17" si="0">(C16*0.0025+0.02)/SQRT(3)</f>
        <v>0.10933570722778538</v>
      </c>
      <c r="E16" s="2">
        <v>67.75</v>
      </c>
      <c r="F16" s="2">
        <f t="shared" ref="F16:F17" si="1">(E16*0.0025+0.02)/SQRT(3)</f>
        <v>0.10933570722778538</v>
      </c>
      <c r="G16" s="16"/>
    </row>
    <row r="17" spans="1:13" x14ac:dyDescent="0.25">
      <c r="A17" s="16"/>
      <c r="B17" s="2" t="s">
        <v>19</v>
      </c>
      <c r="C17" s="2">
        <v>68.459999999999994</v>
      </c>
      <c r="D17" s="2">
        <f t="shared" si="0"/>
        <v>0.11036050395559696</v>
      </c>
      <c r="E17" s="2">
        <v>68.47</v>
      </c>
      <c r="F17" s="2">
        <f t="shared" si="1"/>
        <v>0.1103749377123267</v>
      </c>
      <c r="G17" s="16"/>
    </row>
    <row r="18" spans="1:13" x14ac:dyDescent="0.25">
      <c r="A18" s="16"/>
      <c r="B18" s="16"/>
      <c r="C18" s="1" t="s">
        <v>20</v>
      </c>
      <c r="D18" s="1"/>
      <c r="E18" s="1"/>
      <c r="F18" s="1"/>
      <c r="G18" s="16"/>
    </row>
    <row r="19" spans="1:13" x14ac:dyDescent="0.25">
      <c r="A19" s="16"/>
      <c r="B19" s="16"/>
      <c r="C19" s="2" t="s">
        <v>21</v>
      </c>
      <c r="D19" s="2" t="s">
        <v>22</v>
      </c>
      <c r="E19" s="2" t="s">
        <v>23</v>
      </c>
      <c r="F19" s="2" t="s">
        <v>16</v>
      </c>
      <c r="G19" s="16"/>
    </row>
    <row r="20" spans="1:13" x14ac:dyDescent="0.25">
      <c r="A20" s="16"/>
      <c r="B20" s="2" t="s">
        <v>17</v>
      </c>
      <c r="C20" s="2">
        <v>46.39</v>
      </c>
      <c r="D20" s="2">
        <f>(C20*0.004+2*0.04)/SQRT(3)</f>
        <v>0.15332113748599704</v>
      </c>
      <c r="E20" s="20">
        <v>34.299999999999997</v>
      </c>
      <c r="F20" s="2">
        <f>(E20*0.0025)/SQRT(3)</f>
        <v>4.9507785583010409E-2</v>
      </c>
      <c r="G20" s="16"/>
      <c r="H20" s="11"/>
      <c r="I20" s="12"/>
      <c r="J20" s="11"/>
      <c r="K20" s="11"/>
      <c r="L20" s="11"/>
      <c r="M20" s="11"/>
    </row>
    <row r="21" spans="1:13" x14ac:dyDescent="0.25">
      <c r="A21" s="16"/>
      <c r="B21" s="2" t="s">
        <v>18</v>
      </c>
      <c r="C21" s="2">
        <v>46.21</v>
      </c>
      <c r="D21" s="2">
        <f t="shared" ref="D21:D22" si="2">(C21*0.004+2*0.04)/SQRT(3)</f>
        <v>0.1529054452921805</v>
      </c>
      <c r="E21" s="19">
        <v>3.4441999999999999</v>
      </c>
      <c r="F21" s="2">
        <f t="shared" ref="F21" si="3">(E21*0.0025)/SQRT(3)</f>
        <v>4.9712744928572727E-3</v>
      </c>
      <c r="G21" s="16"/>
      <c r="H21" s="11"/>
      <c r="I21" s="12"/>
      <c r="J21" s="11"/>
      <c r="K21" s="11"/>
      <c r="L21" s="11"/>
      <c r="M21" s="11"/>
    </row>
    <row r="22" spans="1:13" x14ac:dyDescent="0.25">
      <c r="A22" s="16"/>
      <c r="B22" s="2" t="s">
        <v>19</v>
      </c>
      <c r="C22" s="2">
        <v>45.83</v>
      </c>
      <c r="D22" s="2">
        <f t="shared" si="2"/>
        <v>0.15202787288301225</v>
      </c>
      <c r="E22" s="15">
        <f>0.001*347.32</f>
        <v>0.34732000000000002</v>
      </c>
      <c r="F22" s="2">
        <f t="shared" ref="F22" si="4">(E22*0.0025)/SQRT(3)</f>
        <v>5.0131323873735213E-4</v>
      </c>
      <c r="G22" s="16"/>
      <c r="H22" s="11"/>
      <c r="I22" s="12"/>
      <c r="J22" s="11"/>
      <c r="K22" s="11"/>
      <c r="L22" s="11"/>
      <c r="M22" s="11"/>
    </row>
    <row r="23" spans="1:13" x14ac:dyDescent="0.25">
      <c r="A23" s="16"/>
      <c r="B23" s="16"/>
      <c r="C23" s="1" t="s">
        <v>11</v>
      </c>
      <c r="D23" s="1"/>
      <c r="E23" s="1"/>
      <c r="F23" s="1"/>
      <c r="G23" s="16"/>
      <c r="H23" s="11"/>
      <c r="I23" s="12"/>
      <c r="J23" s="11"/>
      <c r="K23" s="11"/>
      <c r="L23" s="11"/>
      <c r="M23" s="11"/>
    </row>
    <row r="24" spans="1:13" x14ac:dyDescent="0.25">
      <c r="A24" s="16"/>
      <c r="B24" s="16"/>
      <c r="C24" s="2" t="s">
        <v>24</v>
      </c>
      <c r="D24" s="2" t="s">
        <v>25</v>
      </c>
      <c r="E24" s="2" t="s">
        <v>12</v>
      </c>
      <c r="F24" s="2" t="s">
        <v>16</v>
      </c>
      <c r="G24" s="16"/>
      <c r="H24" s="11"/>
      <c r="I24" s="12"/>
      <c r="J24" s="11"/>
      <c r="K24" s="11"/>
      <c r="L24" s="11"/>
      <c r="M24" s="11"/>
    </row>
    <row r="25" spans="1:13" x14ac:dyDescent="0.25">
      <c r="A25" s="16"/>
      <c r="B25" s="2" t="s">
        <v>17</v>
      </c>
      <c r="C25" s="2">
        <v>50.05</v>
      </c>
      <c r="D25" s="2">
        <f>(C25*0.004+2*0.004)/SQRT(3)</f>
        <v>0.12020432604528009</v>
      </c>
      <c r="E25" s="2">
        <v>122.76</v>
      </c>
      <c r="F25" s="2">
        <f>(E25*0.0025)/SQRT(3)</f>
        <v>0.17718879761429615</v>
      </c>
      <c r="G25" s="16"/>
      <c r="H25" s="11"/>
      <c r="I25" s="12"/>
      <c r="J25" s="11"/>
      <c r="K25" s="11"/>
      <c r="L25" s="11"/>
      <c r="M25" s="11"/>
    </row>
    <row r="26" spans="1:13" x14ac:dyDescent="0.25">
      <c r="A26" s="16"/>
      <c r="B26" s="2" t="s">
        <v>18</v>
      </c>
      <c r="C26" s="2">
        <v>50.01</v>
      </c>
      <c r="D26" s="2">
        <f t="shared" ref="D26:D27" si="5">(C26*0.004+2*0.004)/SQRT(3)</f>
        <v>0.12011195000220976</v>
      </c>
      <c r="E26" s="2">
        <v>335.86</v>
      </c>
      <c r="F26" s="2">
        <f t="shared" ref="F26" si="6">(E26*0.0025)/SQRT(3)</f>
        <v>0.4847721535250693</v>
      </c>
      <c r="G26" s="16"/>
      <c r="H26" s="11"/>
      <c r="I26" s="12"/>
      <c r="J26" s="11"/>
      <c r="K26" s="11"/>
      <c r="L26" s="11"/>
      <c r="M26" s="11"/>
    </row>
    <row r="27" spans="1:13" x14ac:dyDescent="0.25">
      <c r="A27" s="16"/>
      <c r="B27" s="2" t="s">
        <v>19</v>
      </c>
      <c r="C27" s="2">
        <v>50.46</v>
      </c>
      <c r="D27" s="2">
        <f t="shared" si="5"/>
        <v>0.12115118048675109</v>
      </c>
      <c r="E27" s="2">
        <v>3173.5</v>
      </c>
      <c r="F27" s="2">
        <f t="shared" ref="F27" si="7">(E27*0.0025)/SQRT(3)</f>
        <v>4.5805526981831939</v>
      </c>
      <c r="G27" s="16"/>
      <c r="H27" s="11"/>
      <c r="I27" s="12"/>
      <c r="J27" s="11"/>
      <c r="K27" s="11"/>
      <c r="L27" s="11"/>
      <c r="M27" s="11"/>
    </row>
    <row r="28" spans="1:13" x14ac:dyDescent="0.25">
      <c r="A28" s="16"/>
      <c r="B28" s="16"/>
      <c r="C28" s="16"/>
      <c r="D28" s="16"/>
      <c r="E28" s="16"/>
      <c r="F28" s="16"/>
      <c r="G28" s="16"/>
      <c r="H28" s="11"/>
      <c r="I28" s="12"/>
      <c r="J28" s="11"/>
      <c r="K28" s="11"/>
      <c r="L28" s="11"/>
      <c r="M28" s="11"/>
    </row>
    <row r="29" spans="1:13" x14ac:dyDescent="0.25">
      <c r="A29" s="16"/>
      <c r="B29" s="16"/>
      <c r="C29" s="16"/>
      <c r="D29" s="16"/>
      <c r="E29" s="16"/>
      <c r="F29" s="16"/>
      <c r="G29" s="16"/>
      <c r="H29" s="11"/>
      <c r="I29" s="12"/>
      <c r="J29" s="11"/>
      <c r="K29" s="11"/>
      <c r="L29" s="11"/>
      <c r="M29" s="11"/>
    </row>
    <row r="30" spans="1:13" x14ac:dyDescent="0.25">
      <c r="A30" s="16"/>
      <c r="B30" s="16"/>
      <c r="C30" s="16"/>
      <c r="D30" s="16"/>
      <c r="E30" s="16"/>
      <c r="F30" s="16"/>
      <c r="G30" s="16"/>
      <c r="H30" s="11"/>
      <c r="I30" s="12"/>
      <c r="J30" s="11"/>
      <c r="K30" s="11"/>
      <c r="L30" s="11"/>
      <c r="M30" s="11"/>
    </row>
    <row r="31" spans="1:13" x14ac:dyDescent="0.25">
      <c r="A31" s="16"/>
      <c r="B31" s="16"/>
      <c r="C31" s="16"/>
      <c r="D31" s="16"/>
      <c r="E31" s="16"/>
      <c r="F31" s="16"/>
      <c r="G31" s="16"/>
    </row>
  </sheetData>
  <mergeCells count="3">
    <mergeCell ref="C13:F13"/>
    <mergeCell ref="C18:F18"/>
    <mergeCell ref="C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Zad1</vt:lpstr>
      <vt:lpstr>Zad2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Mikołaj Nowak (280082)</dc:creator>
  <cp:lastModifiedBy>Mikołaj Nowak (280082)</cp:lastModifiedBy>
  <dcterms:created xsi:type="dcterms:W3CDTF">2024-03-21T15:58:06Z</dcterms:created>
  <dcterms:modified xsi:type="dcterms:W3CDTF">2024-03-22T01:46:22Z</dcterms:modified>
</cp:coreProperties>
</file>