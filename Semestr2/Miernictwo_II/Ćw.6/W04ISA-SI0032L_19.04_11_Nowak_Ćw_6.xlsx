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\Documents\Miernictwo\"/>
    </mc:Choice>
  </mc:AlternateContent>
  <xr:revisionPtr revIDLastSave="0" documentId="8_{DD7C8EA2-1308-435B-B061-D5C865F36B11}" xr6:coauthVersionLast="47" xr6:coauthVersionMax="47" xr10:uidLastSave="{00000000-0000-0000-0000-000000000000}"/>
  <bookViews>
    <workbookView xWindow="-120" yWindow="-120" windowWidth="29040" windowHeight="16440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" i="1"/>
  <c r="J28" i="1"/>
  <c r="K33" i="1"/>
  <c r="M31" i="1"/>
  <c r="L31" i="1"/>
  <c r="K31" i="1"/>
  <c r="J31" i="1"/>
  <c r="K30" i="1"/>
  <c r="L30" i="1"/>
  <c r="L33" i="1" s="1"/>
  <c r="M30" i="1"/>
  <c r="M33" i="1" s="1"/>
  <c r="J30" i="1"/>
  <c r="J33" i="1" s="1"/>
  <c r="M29" i="1"/>
  <c r="L29" i="1"/>
  <c r="K29" i="1"/>
  <c r="J29" i="1"/>
  <c r="M28" i="1"/>
  <c r="L28" i="1"/>
  <c r="K28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<sst xmlns="http://schemas.openxmlformats.org/spreadsheetml/2006/main" count="63" uniqueCount="50">
  <si>
    <t>W KiloOhmach [kΩ]</t>
  </si>
  <si>
    <t>Multimetr  VC10T</t>
  </si>
  <si>
    <t>Multimetr V543</t>
  </si>
  <si>
    <t>Δ(R1) VC10T</t>
  </si>
  <si>
    <t>Δ(R2) V543</t>
  </si>
  <si>
    <t>W Ohmach [Ω] I V</t>
  </si>
  <si>
    <t>Mostek napięcie</t>
  </si>
  <si>
    <t>Rezystancja mostek</t>
  </si>
  <si>
    <r>
      <t>Δ</t>
    </r>
    <r>
      <rPr>
        <sz val="10"/>
        <color theme="1"/>
        <rFont val="Liberation Sans1"/>
      </rPr>
      <t>(R1)</t>
    </r>
  </si>
  <si>
    <t>Podzakresy:</t>
  </si>
  <si>
    <t>Czułość</t>
  </si>
  <si>
    <r>
      <t>0-0,2 k</t>
    </r>
    <r>
      <rPr>
        <sz val="10"/>
        <color theme="1"/>
        <rFont val="Liberation Sans1"/>
      </rPr>
      <t>Ω</t>
    </r>
  </si>
  <si>
    <t>0,1Ω</t>
  </si>
  <si>
    <r>
      <t>0,1-1 k</t>
    </r>
    <r>
      <rPr>
        <sz val="10"/>
        <color theme="1"/>
        <rFont val="Liberation Sans1"/>
      </rPr>
      <t>Ω</t>
    </r>
  </si>
  <si>
    <t>0-2 kΩ</t>
  </si>
  <si>
    <t>1Ω</t>
  </si>
  <si>
    <t>1-10 kΩ</t>
  </si>
  <si>
    <t>0-20 kΩ</t>
  </si>
  <si>
    <t>10Ω</t>
  </si>
  <si>
    <t>10 -100 kΩ</t>
  </si>
  <si>
    <t>0-200 kΩ</t>
  </si>
  <si>
    <t>100Ω</t>
  </si>
  <si>
    <t>100 -10 MΩ</t>
  </si>
  <si>
    <t>0-2000 kΩ</t>
  </si>
  <si>
    <t>1kΩ</t>
  </si>
  <si>
    <t>Dokładność +/- 0,2% wartości mierzonej +/- 0,1 %podzakresu</t>
  </si>
  <si>
    <t>Dokładność +/- 0,05% wartości mierzonej +/- 0,01 % wartości maksymalenej podzakresu</t>
  </si>
  <si>
    <t>10 µV – 100 mV</t>
  </si>
  <si>
    <t>100µ – 1V</t>
  </si>
  <si>
    <t>1mV – 10V</t>
  </si>
  <si>
    <t>10mV – 100V</t>
  </si>
  <si>
    <t>100mV-1000V</t>
  </si>
  <si>
    <t>Rezystor dekadowy</t>
  </si>
  <si>
    <t>0.1Ωx10</t>
  </si>
  <si>
    <t>Rbd</t>
  </si>
  <si>
    <t>1Ωx10</t>
  </si>
  <si>
    <t>10Ωx10</t>
  </si>
  <si>
    <t>100Ωx10</t>
  </si>
  <si>
    <t>1000Ωx10</t>
  </si>
  <si>
    <t>10000Ωx10</t>
  </si>
  <si>
    <r>
      <t>R</t>
    </r>
    <r>
      <rPr>
        <vertAlign val="subscript"/>
        <sz val="11"/>
        <color theme="1"/>
        <rFont val="Aptos Narrow"/>
        <family val="2"/>
        <charset val="238"/>
        <scheme val="minor"/>
      </rPr>
      <t>śr</t>
    </r>
  </si>
  <si>
    <t>S(R)</t>
  </si>
  <si>
    <r>
      <t>S(R</t>
    </r>
    <r>
      <rPr>
        <vertAlign val="subscript"/>
        <sz val="11"/>
        <color theme="1"/>
        <rFont val="Aptos Narrow"/>
        <family val="2"/>
        <charset val="238"/>
        <scheme val="minor"/>
      </rPr>
      <t>śr</t>
    </r>
    <r>
      <rPr>
        <sz val="11"/>
        <color theme="1"/>
        <rFont val="Aptos Narrow"/>
        <family val="2"/>
        <charset val="238"/>
        <scheme val="minor"/>
      </rPr>
      <t>)</t>
    </r>
  </si>
  <si>
    <r>
      <t>D</t>
    </r>
    <r>
      <rPr>
        <sz val="11"/>
        <color theme="1"/>
        <rFont val="Aptos Narrow"/>
        <family val="2"/>
        <charset val="238"/>
        <scheme val="minor"/>
      </rPr>
      <t>R</t>
    </r>
  </si>
  <si>
    <r>
      <t>D</t>
    </r>
    <r>
      <rPr>
        <sz val="11"/>
        <color theme="1"/>
        <rFont val="Aptos Narrow"/>
        <family val="2"/>
        <charset val="238"/>
        <scheme val="minor"/>
      </rPr>
      <t>R</t>
    </r>
    <r>
      <rPr>
        <vertAlign val="subscript"/>
        <sz val="11"/>
        <color theme="1"/>
        <rFont val="Aptos Narrow"/>
        <family val="2"/>
        <charset val="238"/>
        <scheme val="minor"/>
      </rPr>
      <t>e</t>
    </r>
  </si>
  <si>
    <r>
      <t>U</t>
    </r>
    <r>
      <rPr>
        <vertAlign val="subscript"/>
        <sz val="11"/>
        <color theme="1"/>
        <rFont val="Aptos Narrow"/>
        <family val="2"/>
        <charset val="238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>(R)</t>
    </r>
  </si>
  <si>
    <t>seria 1</t>
  </si>
  <si>
    <t>seria 2</t>
  </si>
  <si>
    <t>V543</t>
  </si>
  <si>
    <t>VC-10T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</si>
</sst>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"/>
    <numFmt numFmtId="165" formatCode="0.0000"/>
    <numFmt numFmtId="166" formatCode="0.000"/>
    <numFmt numFmtId="167" formatCode="0.0"/>
  </numFmts>
  <fonts count="23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theme="1"/>
      <name val="Liberation Sans1"/>
    </font>
    <font>
      <sz val="10"/>
      <color theme="1"/>
      <name val="Liberation Sans2"/>
    </font>
    <font>
      <sz val="10"/>
      <color theme="1"/>
      <name val="Liberation Serif"/>
    </font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charset val="238"/>
      <scheme val="minor"/>
    </font>
    <font>
      <sz val="11"/>
      <color theme="1"/>
      <name val="Symbol"/>
      <family val="1"/>
      <charset val="2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0" borderId="0" applyNumberFormat="0" applyFont="0" applyFill="0" applyBorder="0" applyAlignment="0" applyProtection="0"/>
    <xf numFmtId="0" fontId="3" fillId="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10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11" borderId="0" applyNumberFormat="0" applyBorder="0" applyAlignment="0" applyProtection="0"/>
    <xf numFmtId="0" fontId="12" fillId="11" borderId="1" applyNumberFormat="0" applyAlignment="0" applyProtection="0"/>
    <xf numFmtId="0" fontId="13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</cellStyleXfs>
  <cellXfs count="57">
    <xf numFmtId="0" fontId="0" fillId="0" borderId="0" xfId="0"/>
    <xf numFmtId="0" fontId="1" fillId="0" borderId="0" xfId="6"/>
    <xf numFmtId="0" fontId="1" fillId="0" borderId="0" xfId="6"/>
    <xf numFmtId="0" fontId="1" fillId="0" borderId="2" xfId="6" applyBorder="1"/>
    <xf numFmtId="164" fontId="0" fillId="0" borderId="2" xfId="6" applyNumberFormat="1" applyFont="1" applyBorder="1"/>
    <xf numFmtId="0" fontId="16" fillId="0" borderId="2" xfId="6" applyFont="1" applyBorder="1" applyAlignment="1">
      <alignment wrapText="1"/>
    </xf>
    <xf numFmtId="10" fontId="16" fillId="0" borderId="2" xfId="6" applyNumberFormat="1" applyFont="1" applyBorder="1" applyAlignment="1">
      <alignment wrapText="1"/>
    </xf>
    <xf numFmtId="0" fontId="1" fillId="0" borderId="2" xfId="6" applyBorder="1"/>
    <xf numFmtId="164" fontId="0" fillId="0" borderId="4" xfId="6" applyNumberFormat="1" applyFont="1" applyBorder="1"/>
    <xf numFmtId="0" fontId="1" fillId="0" borderId="5" xfId="6" applyBorder="1"/>
    <xf numFmtId="0" fontId="14" fillId="0" borderId="5" xfId="6" applyFont="1" applyBorder="1"/>
    <xf numFmtId="0" fontId="14" fillId="0" borderId="6" xfId="6" applyFont="1" applyBorder="1"/>
    <xf numFmtId="0" fontId="15" fillId="0" borderId="6" xfId="6" applyFont="1" applyBorder="1"/>
    <xf numFmtId="0" fontId="1" fillId="0" borderId="7" xfId="6" applyBorder="1"/>
    <xf numFmtId="0" fontId="1" fillId="0" borderId="8" xfId="6" applyBorder="1"/>
    <xf numFmtId="0" fontId="1" fillId="0" borderId="9" xfId="6" applyBorder="1"/>
    <xf numFmtId="0" fontId="1" fillId="0" borderId="3" xfId="6" applyBorder="1"/>
    <xf numFmtId="0" fontId="1" fillId="0" borderId="10" xfId="6" applyBorder="1"/>
    <xf numFmtId="0" fontId="1" fillId="0" borderId="11" xfId="6" applyBorder="1"/>
    <xf numFmtId="0" fontId="1" fillId="0" borderId="12" xfId="6" applyBorder="1"/>
    <xf numFmtId="0" fontId="0" fillId="12" borderId="0" xfId="0" applyFill="1"/>
    <xf numFmtId="0" fontId="1" fillId="12" borderId="0" xfId="6" applyFill="1"/>
    <xf numFmtId="0" fontId="0" fillId="12" borderId="0" xfId="0" applyFill="1"/>
    <xf numFmtId="0" fontId="1" fillId="12" borderId="13" xfId="6" applyFill="1" applyBorder="1"/>
    <xf numFmtId="0" fontId="1" fillId="12" borderId="14" xfId="6" applyFill="1" applyBorder="1"/>
    <xf numFmtId="0" fontId="1" fillId="12" borderId="15" xfId="6" applyFill="1" applyBorder="1"/>
    <xf numFmtId="0" fontId="1" fillId="12" borderId="16" xfId="6" applyFill="1" applyBorder="1"/>
    <xf numFmtId="165" fontId="1" fillId="0" borderId="4" xfId="6" applyNumberFormat="1" applyBorder="1"/>
    <xf numFmtId="166" fontId="1" fillId="0" borderId="4" xfId="6" applyNumberFormat="1" applyBorder="1"/>
    <xf numFmtId="166" fontId="1" fillId="0" borderId="2" xfId="6" applyNumberFormat="1" applyBorder="1"/>
    <xf numFmtId="2" fontId="1" fillId="0" borderId="8" xfId="6" applyNumberFormat="1" applyBorder="1"/>
    <xf numFmtId="2" fontId="1" fillId="0" borderId="9" xfId="6" applyNumberFormat="1" applyBorder="1"/>
    <xf numFmtId="0" fontId="17" fillId="0" borderId="2" xfId="20" applyBorder="1"/>
    <xf numFmtId="0" fontId="17" fillId="0" borderId="18" xfId="20" applyBorder="1"/>
    <xf numFmtId="0" fontId="17" fillId="0" borderId="19" xfId="20" applyBorder="1"/>
    <xf numFmtId="0" fontId="17" fillId="0" borderId="20" xfId="20" applyBorder="1"/>
    <xf numFmtId="0" fontId="17" fillId="0" borderId="15" xfId="20" applyBorder="1"/>
    <xf numFmtId="0" fontId="17" fillId="0" borderId="16" xfId="20" applyBorder="1"/>
    <xf numFmtId="165" fontId="17" fillId="0" borderId="13" xfId="20" applyNumberFormat="1" applyBorder="1"/>
    <xf numFmtId="0" fontId="0" fillId="0" borderId="23" xfId="0" applyBorder="1" applyAlignment="1">
      <alignment horizontal="center"/>
    </xf>
    <xf numFmtId="0" fontId="17" fillId="0" borderId="24" xfId="20" applyBorder="1"/>
    <xf numFmtId="0" fontId="17" fillId="0" borderId="25" xfId="20" applyBorder="1"/>
    <xf numFmtId="0" fontId="19" fillId="0" borderId="25" xfId="20" applyFont="1" applyBorder="1"/>
    <xf numFmtId="0" fontId="17" fillId="0" borderId="26" xfId="20" applyBorder="1"/>
    <xf numFmtId="164" fontId="17" fillId="0" borderId="2" xfId="20" applyNumberFormat="1" applyBorder="1"/>
    <xf numFmtId="0" fontId="0" fillId="0" borderId="15" xfId="0" applyBorder="1"/>
    <xf numFmtId="0" fontId="0" fillId="0" borderId="18" xfId="0" applyBorder="1"/>
    <xf numFmtId="0" fontId="0" fillId="0" borderId="16" xfId="0" applyBorder="1"/>
    <xf numFmtId="165" fontId="17" fillId="0" borderId="17" xfId="20" applyNumberFormat="1" applyBorder="1"/>
    <xf numFmtId="165" fontId="17" fillId="0" borderId="14" xfId="20" applyNumberFormat="1" applyBorder="1"/>
    <xf numFmtId="164" fontId="17" fillId="0" borderId="19" xfId="20" applyNumberFormat="1" applyBorder="1"/>
    <xf numFmtId="164" fontId="17" fillId="0" borderId="20" xfId="20" applyNumberFormat="1" applyBorder="1"/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167" fontId="1" fillId="0" borderId="4" xfId="6" applyNumberFormat="1" applyBorder="1"/>
    <xf numFmtId="167" fontId="1" fillId="0" borderId="2" xfId="6" applyNumberFormat="1" applyBorder="1"/>
  </cellXfs>
  <cellStyles count="24">
    <cellStyle name="Accent" xfId="1"/>
    <cellStyle name="Accent 1" xfId="2"/>
    <cellStyle name="Accent 2" xfId="3"/>
    <cellStyle name="Accent 3" xfId="4"/>
    <cellStyle name="Bad" xfId="5"/>
    <cellStyle name="Default" xfId="6"/>
    <cellStyle name="Dobry 2" xfId="21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eutralny 2" xfId="23"/>
    <cellStyle name="Normalny" xfId="0" builtinId="0" customBuiltin="1"/>
    <cellStyle name="Normalny 2" xfId="20"/>
    <cellStyle name="Note" xfId="15"/>
    <cellStyle name="Result" xfId="16"/>
    <cellStyle name="Status" xfId="17"/>
    <cellStyle name="Text" xfId="18"/>
    <cellStyle name="Warning" xfId="19"/>
    <cellStyle name="Zły 2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aseline="0"/>
              <a:t>Seria nr 1 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Multimetr  VC10T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Sheet1!$C$3:$C$22</c:f>
              <c:numCache>
                <c:formatCode>0.00</c:formatCode>
                <c:ptCount val="20"/>
                <c:pt idx="0">
                  <c:v>6.1</c:v>
                </c:pt>
                <c:pt idx="1">
                  <c:v>6.23</c:v>
                </c:pt>
                <c:pt idx="2">
                  <c:v>6.09</c:v>
                </c:pt>
                <c:pt idx="3">
                  <c:v>6.13</c:v>
                </c:pt>
                <c:pt idx="4">
                  <c:v>6.1</c:v>
                </c:pt>
                <c:pt idx="5">
                  <c:v>6.9</c:v>
                </c:pt>
                <c:pt idx="6">
                  <c:v>6.09</c:v>
                </c:pt>
                <c:pt idx="7">
                  <c:v>6</c:v>
                </c:pt>
                <c:pt idx="8">
                  <c:v>6.06</c:v>
                </c:pt>
                <c:pt idx="9">
                  <c:v>6.09</c:v>
                </c:pt>
                <c:pt idx="10">
                  <c:v>6.1</c:v>
                </c:pt>
                <c:pt idx="11">
                  <c:v>6.08</c:v>
                </c:pt>
                <c:pt idx="12">
                  <c:v>6.08</c:v>
                </c:pt>
                <c:pt idx="13">
                  <c:v>6.13</c:v>
                </c:pt>
                <c:pt idx="14">
                  <c:v>6.05</c:v>
                </c:pt>
                <c:pt idx="15">
                  <c:v>6.26</c:v>
                </c:pt>
                <c:pt idx="16">
                  <c:v>6.11</c:v>
                </c:pt>
                <c:pt idx="17">
                  <c:v>6.09</c:v>
                </c:pt>
                <c:pt idx="18">
                  <c:v>6.05</c:v>
                </c:pt>
                <c:pt idx="19">
                  <c:v>6.16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90-4ED2-9BCF-F118CA64F42E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Multimetr V543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Sheet1!$D$3:$D$22</c:f>
              <c:numCache>
                <c:formatCode>0.000</c:formatCode>
                <c:ptCount val="20"/>
                <c:pt idx="0">
                  <c:v>6.2450000000000001</c:v>
                </c:pt>
                <c:pt idx="1">
                  <c:v>6.3780000000000001</c:v>
                </c:pt>
                <c:pt idx="2">
                  <c:v>6.2309999999999999</c:v>
                </c:pt>
                <c:pt idx="3">
                  <c:v>6.2750000000000004</c:v>
                </c:pt>
                <c:pt idx="4">
                  <c:v>6.2460000000000004</c:v>
                </c:pt>
                <c:pt idx="5">
                  <c:v>6.7460000000000004</c:v>
                </c:pt>
                <c:pt idx="6">
                  <c:v>6.226</c:v>
                </c:pt>
                <c:pt idx="7">
                  <c:v>6.14</c:v>
                </c:pt>
                <c:pt idx="8">
                  <c:v>6.1980000000000004</c:v>
                </c:pt>
                <c:pt idx="9">
                  <c:v>6.2320000000000002</c:v>
                </c:pt>
                <c:pt idx="10">
                  <c:v>6.242</c:v>
                </c:pt>
                <c:pt idx="11">
                  <c:v>6.2249999999999996</c:v>
                </c:pt>
                <c:pt idx="12">
                  <c:v>6.2140000000000004</c:v>
                </c:pt>
                <c:pt idx="13">
                  <c:v>6.2649999999999997</c:v>
                </c:pt>
                <c:pt idx="14">
                  <c:v>6.1779999999999999</c:v>
                </c:pt>
                <c:pt idx="15">
                  <c:v>6.39</c:v>
                </c:pt>
                <c:pt idx="16">
                  <c:v>6.2530000000000001</c:v>
                </c:pt>
                <c:pt idx="17">
                  <c:v>6.2169999999999996</c:v>
                </c:pt>
                <c:pt idx="18">
                  <c:v>6.1870000000000003</c:v>
                </c:pt>
                <c:pt idx="19">
                  <c:v>6.3040000000000003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90-4ED2-9BCF-F118CA64F42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22058096"/>
        <c:axId val="2022042736"/>
      </c:scatterChart>
      <c:valAx>
        <c:axId val="2022058096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mierzonego</a:t>
                </a:r>
                <a:r>
                  <a:rPr lang="pl-PL" baseline="0"/>
                  <a:t> rezystora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2042736"/>
        <c:crosses val="autoZero"/>
        <c:crossBetween val="midCat"/>
      </c:valAx>
      <c:valAx>
        <c:axId val="20220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Rezystancja</a:t>
                </a:r>
                <a:r>
                  <a:rPr lang="pl-PL" baseline="0"/>
                  <a:t> [k</a:t>
                </a:r>
                <a:r>
                  <a:rPr lang="el-GR" sz="1000" b="0" i="0" u="none" strike="noStrike" baseline="0">
                    <a:effectLst/>
                  </a:rPr>
                  <a:t>Ω</a:t>
                </a:r>
                <a:r>
                  <a:rPr lang="pl-PL" sz="1000" b="0" i="0" u="none" strike="noStrike" baseline="0">
                    <a:effectLst/>
                  </a:rPr>
                  <a:t>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205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Seria</a:t>
            </a:r>
            <a:r>
              <a:rPr lang="pl-PL" baseline="0"/>
              <a:t> nr 2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9525371828521433E-2"/>
          <c:y val="0.11920242277407632"/>
          <c:w val="0.7147170680601943"/>
          <c:h val="0.7337258227336969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Multimetr  VC10T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Sheet1!$J$3:$J$22</c:f>
              <c:numCache>
                <c:formatCode>0.00</c:formatCode>
                <c:ptCount val="20"/>
                <c:pt idx="0">
                  <c:v>6.11</c:v>
                </c:pt>
                <c:pt idx="1">
                  <c:v>6.23</c:v>
                </c:pt>
                <c:pt idx="2">
                  <c:v>6.09</c:v>
                </c:pt>
                <c:pt idx="3">
                  <c:v>6.13</c:v>
                </c:pt>
                <c:pt idx="4">
                  <c:v>6.11</c:v>
                </c:pt>
                <c:pt idx="5">
                  <c:v>6.89</c:v>
                </c:pt>
                <c:pt idx="6">
                  <c:v>6.09</c:v>
                </c:pt>
                <c:pt idx="7">
                  <c:v>6.01</c:v>
                </c:pt>
                <c:pt idx="8">
                  <c:v>6.06</c:v>
                </c:pt>
                <c:pt idx="9">
                  <c:v>6.09</c:v>
                </c:pt>
                <c:pt idx="10">
                  <c:v>6.1</c:v>
                </c:pt>
                <c:pt idx="11">
                  <c:v>6.09</c:v>
                </c:pt>
                <c:pt idx="12">
                  <c:v>6.07</c:v>
                </c:pt>
                <c:pt idx="13">
                  <c:v>6.13</c:v>
                </c:pt>
                <c:pt idx="14">
                  <c:v>6.05</c:v>
                </c:pt>
                <c:pt idx="15">
                  <c:v>6.27</c:v>
                </c:pt>
                <c:pt idx="16">
                  <c:v>6.11</c:v>
                </c:pt>
                <c:pt idx="17">
                  <c:v>6.09</c:v>
                </c:pt>
                <c:pt idx="18">
                  <c:v>6.06</c:v>
                </c:pt>
                <c:pt idx="19">
                  <c:v>6.16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E-4815-BC35-9CEB8C72B12C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Multimetr V543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Sheet1!$K$3:$K$22</c:f>
              <c:numCache>
                <c:formatCode>0.000</c:formatCode>
                <c:ptCount val="20"/>
                <c:pt idx="0">
                  <c:v>6.2469999999999999</c:v>
                </c:pt>
                <c:pt idx="1">
                  <c:v>6.3760000000000003</c:v>
                </c:pt>
                <c:pt idx="2">
                  <c:v>6.2309999999999999</c:v>
                </c:pt>
                <c:pt idx="3">
                  <c:v>6.2759999999999998</c:v>
                </c:pt>
                <c:pt idx="4">
                  <c:v>6.2480000000000002</c:v>
                </c:pt>
                <c:pt idx="5">
                  <c:v>6.7430000000000003</c:v>
                </c:pt>
                <c:pt idx="6">
                  <c:v>6.2270000000000003</c:v>
                </c:pt>
                <c:pt idx="7">
                  <c:v>6.141</c:v>
                </c:pt>
                <c:pt idx="8">
                  <c:v>6.2</c:v>
                </c:pt>
                <c:pt idx="9">
                  <c:v>6.2309999999999999</c:v>
                </c:pt>
                <c:pt idx="10">
                  <c:v>6.2430000000000003</c:v>
                </c:pt>
                <c:pt idx="11">
                  <c:v>6.226</c:v>
                </c:pt>
                <c:pt idx="12">
                  <c:v>6.2119999999999997</c:v>
                </c:pt>
                <c:pt idx="13">
                  <c:v>6.2640000000000002</c:v>
                </c:pt>
                <c:pt idx="14">
                  <c:v>6.1790000000000003</c:v>
                </c:pt>
                <c:pt idx="15">
                  <c:v>6.391</c:v>
                </c:pt>
                <c:pt idx="16">
                  <c:v>6.2519999999999998</c:v>
                </c:pt>
                <c:pt idx="17">
                  <c:v>6.2190000000000003</c:v>
                </c:pt>
                <c:pt idx="18">
                  <c:v>6.1879999999999997</c:v>
                </c:pt>
                <c:pt idx="19">
                  <c:v>6.3029999999999999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EE-4815-BC35-9CEB8C72B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45632"/>
        <c:axId val="1925943232"/>
      </c:scatterChart>
      <c:valAx>
        <c:axId val="1925945632"/>
        <c:scaling>
          <c:orientation val="minMax"/>
          <c:max val="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mierzonego rezystora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5943232"/>
        <c:crosses val="autoZero"/>
        <c:crossBetween val="midCat"/>
      </c:valAx>
      <c:valAx>
        <c:axId val="19259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Rezystancja</a:t>
                </a:r>
                <a:r>
                  <a:rPr lang="pl-PL" baseline="0"/>
                  <a:t> [k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Ω</a:t>
                </a:r>
                <a:r>
                  <a:rPr lang="pl-PL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]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1.9255575218412587E-2"/>
              <c:y val="0.38298996562544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594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86869672264417"/>
          <c:y val="0.5007156687165365"/>
          <c:w val="0.16742583944043701"/>
          <c:h val="0.13846250757116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38</xdr:row>
      <xdr:rowOff>33337</xdr:rowOff>
    </xdr:from>
    <xdr:to>
      <xdr:col>7</xdr:col>
      <xdr:colOff>123825</xdr:colOff>
      <xdr:row>57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45202C2-5DB6-C8E3-DC10-26D7F4C72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304799</xdr:colOff>
      <xdr:row>36</xdr:row>
      <xdr:rowOff>9525</xdr:rowOff>
    </xdr:from>
    <xdr:to>
      <xdr:col>15</xdr:col>
      <xdr:colOff>85725</xdr:colOff>
      <xdr:row>55</xdr:row>
      <xdr:rowOff>28575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B81D6D2-7729-1E96-C3F1-C40FEF1E7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5"/>
  <sheetViews>
    <sheetView tabSelected="1" topLeftCell="H1" workbookViewId="0">
      <selection activeCell="U26" sqref="U26"/>
    </sheetView>
  </sheetViews>
  <sheetFormatPr defaultRowHeight="12.75"/>
  <cols>
    <col min="1" max="1" width="9.140625" style="20"/>
    <col min="2" max="2" width="11.42578125" customWidth="1"/>
    <col min="3" max="6" width="15.42578125" customWidth="1"/>
    <col min="7" max="8" width="11.140625" style="20" customWidth="1"/>
    <col min="9" max="13" width="13.85546875" style="20" customWidth="1"/>
    <col min="14" max="16" width="11.140625" style="20" customWidth="1"/>
    <col min="17" max="17" width="18.140625" customWidth="1"/>
    <col min="18" max="18" width="17.28515625" customWidth="1"/>
    <col min="19" max="19" width="19.140625" customWidth="1"/>
    <col min="20" max="20" width="23.140625" customWidth="1"/>
    <col min="21" max="21" width="22" style="20" customWidth="1"/>
    <col min="22" max="22" width="12.140625" style="20" customWidth="1"/>
    <col min="23" max="23" width="16.7109375" style="20" customWidth="1"/>
    <col min="24" max="24" width="16.7109375" customWidth="1"/>
    <col min="25" max="25" width="12.140625" customWidth="1"/>
    <col min="26" max="26" width="27.42578125" customWidth="1"/>
    <col min="27" max="27" width="12.140625" customWidth="1"/>
    <col min="28" max="28" width="14.42578125" customWidth="1"/>
    <col min="29" max="29" width="12.140625" customWidth="1"/>
    <col min="30" max="30" width="53.5703125" customWidth="1"/>
  </cols>
  <sheetData>
    <row r="1" spans="2:30" s="20" customFormat="1" ht="13.5" thickBot="1"/>
    <row r="2" spans="2:30" ht="13.5" thickBot="1">
      <c r="B2" s="16" t="s">
        <v>0</v>
      </c>
      <c r="C2" s="13" t="s">
        <v>1</v>
      </c>
      <c r="D2" s="9" t="s">
        <v>2</v>
      </c>
      <c r="E2" s="10" t="s">
        <v>3</v>
      </c>
      <c r="F2" s="11" t="s">
        <v>4</v>
      </c>
      <c r="G2" s="21"/>
      <c r="H2" s="21"/>
      <c r="I2" s="16" t="s">
        <v>0</v>
      </c>
      <c r="J2" s="13" t="s">
        <v>1</v>
      </c>
      <c r="K2" s="9" t="s">
        <v>2</v>
      </c>
      <c r="L2" s="10" t="s">
        <v>3</v>
      </c>
      <c r="M2" s="11" t="s">
        <v>4</v>
      </c>
      <c r="N2" s="21"/>
      <c r="O2" s="21"/>
      <c r="P2" s="21"/>
      <c r="Q2" s="16" t="s">
        <v>5</v>
      </c>
      <c r="R2" s="13" t="s">
        <v>6</v>
      </c>
      <c r="S2" s="9" t="s">
        <v>7</v>
      </c>
      <c r="T2" s="12" t="s">
        <v>8</v>
      </c>
      <c r="U2" s="21"/>
      <c r="V2" s="21"/>
      <c r="W2" s="21"/>
      <c r="X2" s="3" t="s">
        <v>1</v>
      </c>
      <c r="Y2" s="3"/>
      <c r="Z2" s="3"/>
      <c r="AA2" s="1"/>
      <c r="AB2" s="3" t="s">
        <v>2</v>
      </c>
      <c r="AC2" s="1"/>
      <c r="AD2" s="1"/>
    </row>
    <row r="3" spans="2:30">
      <c r="B3" s="17">
        <v>1</v>
      </c>
      <c r="C3" s="30">
        <v>6.1</v>
      </c>
      <c r="D3" s="28">
        <v>6.2450000000000001</v>
      </c>
      <c r="E3" s="8">
        <f t="shared" ref="E3:E22" si="0">(C3*0.2%)+(0.1%*20)</f>
        <v>3.2199999999999999E-2</v>
      </c>
      <c r="F3" s="8">
        <f t="shared" ref="F3:F22" si="1">(D3*0.05%)+(0.01%*10)</f>
        <v>4.1225000000000003E-3</v>
      </c>
      <c r="G3" s="21"/>
      <c r="H3" s="21"/>
      <c r="I3" s="17">
        <v>1</v>
      </c>
      <c r="J3" s="30">
        <v>6.11</v>
      </c>
      <c r="K3" s="28">
        <v>6.2469999999999999</v>
      </c>
      <c r="L3" s="8">
        <f t="shared" ref="L3:L22" si="2">(J3*0.2%)+(0.1%*20)</f>
        <v>3.2219999999999999E-2</v>
      </c>
      <c r="M3" s="8">
        <f t="shared" ref="M3:M22" si="3">(K3*0.05%)+(0.01%*10)</f>
        <v>4.1235000000000004E-3</v>
      </c>
      <c r="N3" s="21"/>
      <c r="O3" s="21"/>
      <c r="P3" s="21"/>
      <c r="Q3" s="17">
        <v>1</v>
      </c>
      <c r="R3" s="14">
        <v>0.41699999999999998</v>
      </c>
      <c r="S3" s="55">
        <v>6237.5</v>
      </c>
      <c r="T3" s="27">
        <f>SQRT((((MID(S3,1,1)*$S$33*1000)/SQRT(3)))*(((MID(S3,1,1)*$S$33*1000)/SQRT(3)))+(((MID(S3,2,1)*$S$32*100)/SQRT(3)))*(((MID(S3,2,1)*$S$32*100)/SQRT(3)))+(((MID(S3,3,1)*$S$31*10)/SQRT(3)))*(((MID(S3,3,1)*$S$31*10)/SQRT(3)))+(((MID(S3,4,1)*$S$30)/SQRT(3)))*(((MID(S3,4,1)*$S$30)/SQRT(3))))</f>
        <v>3.5170821239582493</v>
      </c>
      <c r="U3" s="21"/>
      <c r="V3" s="21"/>
      <c r="W3" s="21"/>
      <c r="X3" s="3" t="s">
        <v>9</v>
      </c>
      <c r="Y3" s="3" t="s">
        <v>10</v>
      </c>
      <c r="Z3" s="3"/>
      <c r="AA3" s="1"/>
      <c r="AB3" s="3" t="s">
        <v>9</v>
      </c>
      <c r="AC3" s="1"/>
      <c r="AD3" s="1"/>
    </row>
    <row r="4" spans="2:30">
      <c r="B4" s="18">
        <v>2</v>
      </c>
      <c r="C4" s="31">
        <v>6.23</v>
      </c>
      <c r="D4" s="29">
        <v>6.3780000000000001</v>
      </c>
      <c r="E4" s="4">
        <f t="shared" si="0"/>
        <v>3.2460000000000003E-2</v>
      </c>
      <c r="F4" s="4">
        <f t="shared" si="1"/>
        <v>4.189E-3</v>
      </c>
      <c r="G4" s="21"/>
      <c r="H4" s="21"/>
      <c r="I4" s="18">
        <v>2</v>
      </c>
      <c r="J4" s="31">
        <v>6.23</v>
      </c>
      <c r="K4" s="29">
        <v>6.3760000000000003</v>
      </c>
      <c r="L4" s="4">
        <f t="shared" si="2"/>
        <v>3.2460000000000003E-2</v>
      </c>
      <c r="M4" s="4">
        <f t="shared" si="3"/>
        <v>4.1880000000000007E-3</v>
      </c>
      <c r="N4" s="21"/>
      <c r="O4" s="21"/>
      <c r="P4" s="21"/>
      <c r="Q4" s="18">
        <v>2</v>
      </c>
      <c r="R4" s="15">
        <v>0.41899999999999998</v>
      </c>
      <c r="S4" s="56">
        <v>6378</v>
      </c>
      <c r="T4" s="27">
        <f t="shared" ref="T4:T22" si="4">SQRT((((MID(S4,1,1)*$S$33*1000)/SQRT(3)))*(((MID(S4,1,1)*$S$33*1000)/SQRT(3)))+(((MID(S4,2,1)*$S$32*100)/SQRT(3)))*(((MID(S4,2,1)*$S$32*100)/SQRT(3)))+(((MID(S4,3,1)*$S$31*10)/SQRT(3)))*(((MID(S4,3,1)*$S$31*10)/SQRT(3)))+(((MID(S4,4,1)*$S$30)/SQRT(3)))*(((MID(S4,4,1)*$S$30)/SQRT(3))))</f>
        <v>3.594699802023344</v>
      </c>
      <c r="U4" s="21"/>
      <c r="V4" s="21"/>
      <c r="W4" s="21"/>
      <c r="X4" s="3" t="s">
        <v>11</v>
      </c>
      <c r="Y4" s="3" t="s">
        <v>12</v>
      </c>
      <c r="Z4" s="3"/>
      <c r="AA4" s="1"/>
      <c r="AB4" s="3" t="s">
        <v>13</v>
      </c>
      <c r="AC4" s="1"/>
      <c r="AD4" s="1"/>
    </row>
    <row r="5" spans="2:30">
      <c r="B5" s="18">
        <v>3</v>
      </c>
      <c r="C5" s="31">
        <v>6.09</v>
      </c>
      <c r="D5" s="29">
        <v>6.2309999999999999</v>
      </c>
      <c r="E5" s="4">
        <f t="shared" si="0"/>
        <v>3.218E-2</v>
      </c>
      <c r="F5" s="4">
        <f t="shared" si="1"/>
        <v>4.1155000000000002E-3</v>
      </c>
      <c r="G5" s="21"/>
      <c r="H5" s="21"/>
      <c r="I5" s="18">
        <v>3</v>
      </c>
      <c r="J5" s="31">
        <v>6.09</v>
      </c>
      <c r="K5" s="29">
        <v>6.2309999999999999</v>
      </c>
      <c r="L5" s="4">
        <f t="shared" si="2"/>
        <v>3.218E-2</v>
      </c>
      <c r="M5" s="4">
        <f t="shared" si="3"/>
        <v>4.1155000000000002E-3</v>
      </c>
      <c r="N5" s="21"/>
      <c r="O5" s="21"/>
      <c r="P5" s="21"/>
      <c r="Q5" s="18">
        <v>3</v>
      </c>
      <c r="R5" s="15">
        <v>0.41599999999999998</v>
      </c>
      <c r="S5" s="56">
        <v>6225.5</v>
      </c>
      <c r="T5" s="27">
        <f t="shared" si="4"/>
        <v>3.5142566781611162</v>
      </c>
      <c r="U5" s="21"/>
      <c r="V5" s="21"/>
      <c r="W5" s="21"/>
      <c r="X5" s="3" t="s">
        <v>14</v>
      </c>
      <c r="Y5" s="3" t="s">
        <v>15</v>
      </c>
      <c r="Z5" s="3"/>
      <c r="AA5" s="1"/>
      <c r="AB5" s="3" t="s">
        <v>16</v>
      </c>
      <c r="AC5" s="1"/>
      <c r="AD5" s="1"/>
    </row>
    <row r="6" spans="2:30">
      <c r="B6" s="18">
        <v>4</v>
      </c>
      <c r="C6" s="31">
        <v>6.13</v>
      </c>
      <c r="D6" s="29">
        <v>6.2750000000000004</v>
      </c>
      <c r="E6" s="4">
        <f t="shared" si="0"/>
        <v>3.2259999999999997E-2</v>
      </c>
      <c r="F6" s="4">
        <f t="shared" si="1"/>
        <v>4.1375000000000006E-3</v>
      </c>
      <c r="G6" s="21"/>
      <c r="H6" s="21"/>
      <c r="I6" s="18">
        <v>4</v>
      </c>
      <c r="J6" s="31">
        <v>6.13</v>
      </c>
      <c r="K6" s="29">
        <v>6.2759999999999998</v>
      </c>
      <c r="L6" s="4">
        <f t="shared" si="2"/>
        <v>3.2259999999999997E-2</v>
      </c>
      <c r="M6" s="4">
        <f t="shared" si="3"/>
        <v>4.1380000000000002E-3</v>
      </c>
      <c r="N6" s="21"/>
      <c r="O6" s="21"/>
      <c r="P6" s="21"/>
      <c r="Q6" s="18">
        <v>4</v>
      </c>
      <c r="R6" s="15">
        <v>0.41699999999999998</v>
      </c>
      <c r="S6" s="56">
        <v>6269</v>
      </c>
      <c r="T6" s="27">
        <f t="shared" si="4"/>
        <v>3.5304579495206192</v>
      </c>
      <c r="U6" s="21"/>
      <c r="V6" s="21"/>
      <c r="W6" s="21"/>
      <c r="X6" s="3" t="s">
        <v>17</v>
      </c>
      <c r="Y6" s="3" t="s">
        <v>18</v>
      </c>
      <c r="Z6" s="3"/>
      <c r="AA6" s="1"/>
      <c r="AB6" s="3" t="s">
        <v>19</v>
      </c>
      <c r="AC6" s="1"/>
      <c r="AD6" s="1"/>
    </row>
    <row r="7" spans="2:30">
      <c r="B7" s="18">
        <v>5</v>
      </c>
      <c r="C7" s="31">
        <v>6.1</v>
      </c>
      <c r="D7" s="29">
        <v>6.2460000000000004</v>
      </c>
      <c r="E7" s="4">
        <f t="shared" si="0"/>
        <v>3.2199999999999999E-2</v>
      </c>
      <c r="F7" s="4">
        <f t="shared" si="1"/>
        <v>4.1229999999999999E-3</v>
      </c>
      <c r="G7" s="21"/>
      <c r="H7" s="21"/>
      <c r="I7" s="18">
        <v>5</v>
      </c>
      <c r="J7" s="31">
        <v>6.11</v>
      </c>
      <c r="K7" s="29">
        <v>6.2480000000000002</v>
      </c>
      <c r="L7" s="4">
        <f t="shared" si="2"/>
        <v>3.2219999999999999E-2</v>
      </c>
      <c r="M7" s="4">
        <f t="shared" si="3"/>
        <v>4.1240000000000001E-3</v>
      </c>
      <c r="N7" s="21"/>
      <c r="O7" s="21"/>
      <c r="P7" s="21"/>
      <c r="Q7" s="18">
        <v>5</v>
      </c>
      <c r="R7" s="15">
        <v>0.41699999999999998</v>
      </c>
      <c r="S7" s="56">
        <v>6241</v>
      </c>
      <c r="T7" s="27">
        <f t="shared" si="4"/>
        <v>3.5194885992143807</v>
      </c>
      <c r="U7" s="21"/>
      <c r="V7" s="21"/>
      <c r="W7" s="21"/>
      <c r="X7" s="3" t="s">
        <v>20</v>
      </c>
      <c r="Y7" s="3" t="s">
        <v>21</v>
      </c>
      <c r="Z7" s="3"/>
      <c r="AA7" s="1"/>
      <c r="AB7" s="3" t="s">
        <v>22</v>
      </c>
      <c r="AC7" s="1"/>
      <c r="AD7" s="1"/>
    </row>
    <row r="8" spans="2:30">
      <c r="B8" s="18">
        <v>6</v>
      </c>
      <c r="C8" s="31">
        <v>6.9</v>
      </c>
      <c r="D8" s="29">
        <v>6.7460000000000004</v>
      </c>
      <c r="E8" s="4">
        <f t="shared" si="0"/>
        <v>3.3800000000000004E-2</v>
      </c>
      <c r="F8" s="4">
        <f t="shared" si="1"/>
        <v>4.3730000000000002E-3</v>
      </c>
      <c r="G8" s="21"/>
      <c r="H8" s="21"/>
      <c r="I8" s="18">
        <v>6</v>
      </c>
      <c r="J8" s="31">
        <v>6.89</v>
      </c>
      <c r="K8" s="29">
        <v>6.7430000000000003</v>
      </c>
      <c r="L8" s="4">
        <f t="shared" si="2"/>
        <v>3.3779999999999998E-2</v>
      </c>
      <c r="M8" s="4">
        <f t="shared" si="3"/>
        <v>4.3715000000000004E-3</v>
      </c>
      <c r="N8" s="21"/>
      <c r="O8" s="21"/>
      <c r="P8" s="21"/>
      <c r="Q8" s="18">
        <v>6</v>
      </c>
      <c r="R8" s="15">
        <v>0.42099999999999999</v>
      </c>
      <c r="S8" s="56">
        <v>6740</v>
      </c>
      <c r="T8" s="27">
        <f t="shared" si="4"/>
        <v>4.0170470082719554</v>
      </c>
      <c r="U8" s="21"/>
      <c r="V8" s="21"/>
      <c r="W8" s="21"/>
      <c r="X8" s="3" t="s">
        <v>23</v>
      </c>
      <c r="Y8" s="3" t="s">
        <v>24</v>
      </c>
      <c r="Z8" s="3"/>
      <c r="AA8" s="1"/>
      <c r="AB8" s="1"/>
      <c r="AC8" s="1"/>
      <c r="AD8" s="1"/>
    </row>
    <row r="9" spans="2:30">
      <c r="B9" s="18">
        <v>7</v>
      </c>
      <c r="C9" s="31">
        <v>6.09</v>
      </c>
      <c r="D9" s="29">
        <v>6.226</v>
      </c>
      <c r="E9" s="4">
        <f t="shared" si="0"/>
        <v>3.218E-2</v>
      </c>
      <c r="F9" s="4">
        <f t="shared" si="1"/>
        <v>4.1130000000000003E-3</v>
      </c>
      <c r="G9" s="21"/>
      <c r="H9" s="21"/>
      <c r="I9" s="18">
        <v>7</v>
      </c>
      <c r="J9" s="31">
        <v>6.09</v>
      </c>
      <c r="K9" s="29">
        <v>6.2270000000000003</v>
      </c>
      <c r="L9" s="4">
        <f t="shared" si="2"/>
        <v>3.218E-2</v>
      </c>
      <c r="M9" s="4">
        <f t="shared" si="3"/>
        <v>4.1135000000000008E-3</v>
      </c>
      <c r="N9" s="21"/>
      <c r="O9" s="21"/>
      <c r="P9" s="21"/>
      <c r="Q9" s="18">
        <v>7</v>
      </c>
      <c r="R9" s="15">
        <v>0.41599999999999998</v>
      </c>
      <c r="S9" s="56">
        <v>6221</v>
      </c>
      <c r="T9" s="27">
        <f t="shared" si="4"/>
        <v>3.5138013603503548</v>
      </c>
      <c r="U9" s="21"/>
      <c r="V9" s="21"/>
      <c r="W9" s="21"/>
      <c r="X9" s="3"/>
      <c r="Y9" s="3"/>
      <c r="Z9" s="3"/>
      <c r="AA9" s="1"/>
      <c r="AB9" s="1"/>
      <c r="AC9" s="1"/>
      <c r="AD9" s="1"/>
    </row>
    <row r="10" spans="2:30">
      <c r="B10" s="18">
        <v>8</v>
      </c>
      <c r="C10" s="31">
        <v>6</v>
      </c>
      <c r="D10" s="29">
        <v>6.14</v>
      </c>
      <c r="E10" s="4">
        <f t="shared" si="0"/>
        <v>3.2000000000000001E-2</v>
      </c>
      <c r="F10" s="4">
        <f t="shared" si="1"/>
        <v>4.0699999999999998E-3</v>
      </c>
      <c r="G10" s="21"/>
      <c r="H10" s="21"/>
      <c r="I10" s="18">
        <v>8</v>
      </c>
      <c r="J10" s="31">
        <v>6.01</v>
      </c>
      <c r="K10" s="29">
        <v>6.141</v>
      </c>
      <c r="L10" s="4">
        <f t="shared" si="2"/>
        <v>3.202E-2</v>
      </c>
      <c r="M10" s="4">
        <f t="shared" si="3"/>
        <v>4.0704999999999995E-3</v>
      </c>
      <c r="N10" s="21"/>
      <c r="O10" s="21"/>
      <c r="P10" s="21"/>
      <c r="Q10" s="18">
        <v>8</v>
      </c>
      <c r="R10" s="15">
        <v>0.42</v>
      </c>
      <c r="S10" s="56">
        <v>6133</v>
      </c>
      <c r="T10" s="27">
        <f t="shared" si="4"/>
        <v>3.480593819067852</v>
      </c>
      <c r="U10" s="21"/>
      <c r="V10" s="21"/>
      <c r="W10" s="21"/>
      <c r="X10" s="7" t="s">
        <v>25</v>
      </c>
      <c r="Y10" s="7"/>
      <c r="Z10" s="7"/>
      <c r="AA10" s="1"/>
      <c r="AB10" s="2" t="s">
        <v>26</v>
      </c>
      <c r="AC10" s="2"/>
      <c r="AD10" s="2"/>
    </row>
    <row r="11" spans="2:30">
      <c r="B11" s="18">
        <v>9</v>
      </c>
      <c r="C11" s="31">
        <v>6.06</v>
      </c>
      <c r="D11" s="29">
        <v>6.1980000000000004</v>
      </c>
      <c r="E11" s="4">
        <f t="shared" si="0"/>
        <v>3.2119999999999996E-2</v>
      </c>
      <c r="F11" s="4">
        <f t="shared" si="1"/>
        <v>4.0990000000000002E-3</v>
      </c>
      <c r="G11" s="21"/>
      <c r="H11" s="21"/>
      <c r="I11" s="18">
        <v>9</v>
      </c>
      <c r="J11" s="31">
        <v>6.06</v>
      </c>
      <c r="K11" s="29">
        <v>6.2</v>
      </c>
      <c r="L11" s="4">
        <f t="shared" si="2"/>
        <v>3.2119999999999996E-2</v>
      </c>
      <c r="M11" s="4">
        <f t="shared" si="3"/>
        <v>4.1000000000000003E-3</v>
      </c>
      <c r="N11" s="21"/>
      <c r="O11" s="21"/>
      <c r="P11" s="21"/>
      <c r="Q11" s="18">
        <v>9</v>
      </c>
      <c r="R11" s="15">
        <v>0.41799999999999998</v>
      </c>
      <c r="S11" s="56">
        <v>6189</v>
      </c>
      <c r="T11" s="27">
        <f t="shared" si="4"/>
        <v>3.5081999182866799</v>
      </c>
      <c r="U11" s="21"/>
      <c r="V11" s="21"/>
      <c r="W11" s="21"/>
      <c r="X11" s="21"/>
      <c r="Y11" s="21"/>
      <c r="Z11" s="21"/>
      <c r="AA11" s="21"/>
      <c r="AB11" s="1"/>
      <c r="AC11" s="1"/>
      <c r="AD11" s="1"/>
    </row>
    <row r="12" spans="2:30">
      <c r="B12" s="18">
        <v>10</v>
      </c>
      <c r="C12" s="31">
        <v>6.09</v>
      </c>
      <c r="D12" s="29">
        <v>6.2320000000000002</v>
      </c>
      <c r="E12" s="4">
        <f t="shared" si="0"/>
        <v>3.218E-2</v>
      </c>
      <c r="F12" s="4">
        <f t="shared" si="1"/>
        <v>4.1159999999999999E-3</v>
      </c>
      <c r="G12" s="21"/>
      <c r="H12" s="21"/>
      <c r="I12" s="18">
        <v>10</v>
      </c>
      <c r="J12" s="31">
        <v>6.09</v>
      </c>
      <c r="K12" s="29">
        <v>6.2309999999999999</v>
      </c>
      <c r="L12" s="4">
        <f t="shared" si="2"/>
        <v>3.218E-2</v>
      </c>
      <c r="M12" s="4">
        <f t="shared" si="3"/>
        <v>4.1155000000000002E-3</v>
      </c>
      <c r="N12" s="21"/>
      <c r="O12" s="21"/>
      <c r="P12" s="21"/>
      <c r="Q12" s="18">
        <v>10</v>
      </c>
      <c r="R12" s="15">
        <v>0.57199999999999995</v>
      </c>
      <c r="S12" s="56">
        <v>6226.2</v>
      </c>
      <c r="T12" s="27">
        <f t="shared" si="4"/>
        <v>3.5144653457768893</v>
      </c>
      <c r="U12" s="21"/>
      <c r="V12" s="21"/>
      <c r="W12" s="21"/>
      <c r="X12" s="21"/>
      <c r="Y12" s="21"/>
      <c r="Z12" s="21"/>
      <c r="AA12" s="21"/>
      <c r="AB12" s="1"/>
      <c r="AC12" s="1"/>
      <c r="AD12" s="1"/>
    </row>
    <row r="13" spans="2:30">
      <c r="B13" s="18">
        <v>11</v>
      </c>
      <c r="C13" s="31">
        <v>6.1</v>
      </c>
      <c r="D13" s="29">
        <v>6.242</v>
      </c>
      <c r="E13" s="4">
        <f t="shared" si="0"/>
        <v>3.2199999999999999E-2</v>
      </c>
      <c r="F13" s="4">
        <f t="shared" si="1"/>
        <v>4.1209999999999997E-3</v>
      </c>
      <c r="G13" s="21"/>
      <c r="H13" s="21"/>
      <c r="I13" s="18">
        <v>11</v>
      </c>
      <c r="J13" s="31">
        <v>6.1</v>
      </c>
      <c r="K13" s="29">
        <v>6.2430000000000003</v>
      </c>
      <c r="L13" s="4">
        <f t="shared" si="2"/>
        <v>3.2199999999999999E-2</v>
      </c>
      <c r="M13" s="4">
        <f t="shared" si="3"/>
        <v>4.1215000000000002E-3</v>
      </c>
      <c r="N13" s="21"/>
      <c r="O13" s="21"/>
      <c r="P13" s="21"/>
      <c r="Q13" s="18">
        <v>11</v>
      </c>
      <c r="R13" s="15">
        <v>0.85199999999999998</v>
      </c>
      <c r="S13" s="56">
        <v>6235.3</v>
      </c>
      <c r="T13" s="27">
        <f t="shared" si="4"/>
        <v>3.516627171974116</v>
      </c>
      <c r="U13" s="21"/>
      <c r="V13" s="21"/>
      <c r="W13" s="21"/>
      <c r="X13" s="21"/>
      <c r="Y13" s="21"/>
      <c r="Z13" s="21"/>
      <c r="AA13" s="21"/>
      <c r="AB13" s="3" t="s">
        <v>9</v>
      </c>
      <c r="AC13" s="1"/>
      <c r="AD13" s="1"/>
    </row>
    <row r="14" spans="2:30">
      <c r="B14" s="18">
        <v>12</v>
      </c>
      <c r="C14" s="31">
        <v>6.08</v>
      </c>
      <c r="D14" s="29">
        <v>6.2249999999999996</v>
      </c>
      <c r="E14" s="4">
        <f t="shared" si="0"/>
        <v>3.2160000000000001E-2</v>
      </c>
      <c r="F14" s="4">
        <f t="shared" si="1"/>
        <v>4.1124999999999998E-3</v>
      </c>
      <c r="G14" s="21"/>
      <c r="H14" s="21"/>
      <c r="I14" s="18">
        <v>12</v>
      </c>
      <c r="J14" s="31">
        <v>6.09</v>
      </c>
      <c r="K14" s="29">
        <v>6.226</v>
      </c>
      <c r="L14" s="4">
        <f t="shared" si="2"/>
        <v>3.218E-2</v>
      </c>
      <c r="M14" s="4">
        <f t="shared" si="3"/>
        <v>4.1130000000000003E-3</v>
      </c>
      <c r="N14" s="21"/>
      <c r="O14" s="21"/>
      <c r="P14" s="21"/>
      <c r="Q14" s="18">
        <v>12</v>
      </c>
      <c r="R14" s="15">
        <v>0.72399999999999998</v>
      </c>
      <c r="S14" s="56">
        <v>6216</v>
      </c>
      <c r="T14" s="27">
        <f t="shared" si="4"/>
        <v>3.5130423661929653</v>
      </c>
      <c r="U14" s="21"/>
      <c r="V14" s="21"/>
      <c r="W14" s="21"/>
      <c r="X14" s="21"/>
      <c r="Y14" s="21"/>
      <c r="Z14" s="21"/>
      <c r="AA14" s="21"/>
      <c r="AB14" s="3" t="s">
        <v>27</v>
      </c>
      <c r="AC14" s="1"/>
      <c r="AD14" s="1"/>
    </row>
    <row r="15" spans="2:30">
      <c r="B15" s="18">
        <v>13</v>
      </c>
      <c r="C15" s="31">
        <v>6.08</v>
      </c>
      <c r="D15" s="29">
        <v>6.2140000000000004</v>
      </c>
      <c r="E15" s="4">
        <f t="shared" si="0"/>
        <v>3.2160000000000001E-2</v>
      </c>
      <c r="F15" s="4">
        <f t="shared" si="1"/>
        <v>4.1070000000000004E-3</v>
      </c>
      <c r="G15" s="21"/>
      <c r="H15" s="21"/>
      <c r="I15" s="18">
        <v>13</v>
      </c>
      <c r="J15" s="31">
        <v>6.07</v>
      </c>
      <c r="K15" s="29">
        <v>6.2119999999999997</v>
      </c>
      <c r="L15" s="4">
        <f t="shared" si="2"/>
        <v>3.2140000000000002E-2</v>
      </c>
      <c r="M15" s="4">
        <f t="shared" si="3"/>
        <v>4.1060000000000003E-3</v>
      </c>
      <c r="N15" s="21"/>
      <c r="O15" s="21"/>
      <c r="P15" s="21"/>
      <c r="Q15" s="18">
        <v>13</v>
      </c>
      <c r="R15" s="15">
        <v>4.4400000000000004</v>
      </c>
      <c r="S15" s="56">
        <v>6209.3</v>
      </c>
      <c r="T15" s="27">
        <f t="shared" si="4"/>
        <v>3.5134218837670685</v>
      </c>
      <c r="U15" s="21"/>
      <c r="V15" s="21"/>
      <c r="W15" s="21"/>
      <c r="X15" s="21"/>
      <c r="Y15" s="21"/>
      <c r="Z15" s="21"/>
      <c r="AA15" s="21"/>
      <c r="AB15" s="3" t="s">
        <v>28</v>
      </c>
      <c r="AC15" s="1"/>
      <c r="AD15" s="1"/>
    </row>
    <row r="16" spans="2:30">
      <c r="B16" s="18">
        <v>14</v>
      </c>
      <c r="C16" s="31">
        <v>6.13</v>
      </c>
      <c r="D16" s="29">
        <v>6.2649999999999997</v>
      </c>
      <c r="E16" s="4">
        <f t="shared" si="0"/>
        <v>3.2259999999999997E-2</v>
      </c>
      <c r="F16" s="4">
        <f t="shared" si="1"/>
        <v>4.1324999999999999E-3</v>
      </c>
      <c r="G16" s="21"/>
      <c r="H16" s="21"/>
      <c r="I16" s="18">
        <v>14</v>
      </c>
      <c r="J16" s="31">
        <v>6.13</v>
      </c>
      <c r="K16" s="29">
        <v>6.2640000000000002</v>
      </c>
      <c r="L16" s="4">
        <f t="shared" si="2"/>
        <v>3.2259999999999997E-2</v>
      </c>
      <c r="M16" s="4">
        <f t="shared" si="3"/>
        <v>4.1320000000000003E-3</v>
      </c>
      <c r="N16" s="21"/>
      <c r="O16" s="21"/>
      <c r="P16" s="21"/>
      <c r="Q16" s="18">
        <v>14</v>
      </c>
      <c r="R16" s="15">
        <v>0.88</v>
      </c>
      <c r="S16" s="56">
        <v>6259.3</v>
      </c>
      <c r="T16" s="27">
        <f t="shared" si="4"/>
        <v>3.5252612196355986</v>
      </c>
      <c r="U16" s="21"/>
      <c r="V16" s="21"/>
      <c r="W16" s="21"/>
      <c r="X16" s="21"/>
      <c r="Y16" s="21"/>
      <c r="Z16" s="21"/>
      <c r="AA16" s="21"/>
      <c r="AB16" s="3" t="s">
        <v>29</v>
      </c>
      <c r="AC16" s="1"/>
      <c r="AD16" s="1"/>
    </row>
    <row r="17" spans="2:30">
      <c r="B17" s="18">
        <v>15</v>
      </c>
      <c r="C17" s="31">
        <v>6.05</v>
      </c>
      <c r="D17" s="29">
        <v>6.1779999999999999</v>
      </c>
      <c r="E17" s="4">
        <f t="shared" si="0"/>
        <v>3.2100000000000004E-2</v>
      </c>
      <c r="F17" s="4">
        <f t="shared" si="1"/>
        <v>4.0890000000000006E-3</v>
      </c>
      <c r="G17" s="21"/>
      <c r="H17" s="21"/>
      <c r="I17" s="18">
        <v>15</v>
      </c>
      <c r="J17" s="31">
        <v>6.05</v>
      </c>
      <c r="K17" s="29">
        <v>6.1790000000000003</v>
      </c>
      <c r="L17" s="4">
        <f t="shared" si="2"/>
        <v>3.2100000000000004E-2</v>
      </c>
      <c r="M17" s="4">
        <f t="shared" si="3"/>
        <v>4.0895000000000003E-3</v>
      </c>
      <c r="N17" s="21"/>
      <c r="O17" s="21"/>
      <c r="P17" s="21"/>
      <c r="Q17" s="18">
        <v>15</v>
      </c>
      <c r="R17" s="15">
        <v>1.1040000000000001</v>
      </c>
      <c r="S17" s="56">
        <v>6172.7</v>
      </c>
      <c r="T17" s="27">
        <f t="shared" si="4"/>
        <v>3.4995999771402451</v>
      </c>
      <c r="U17" s="21"/>
      <c r="V17" s="21"/>
      <c r="W17" s="21"/>
      <c r="X17" s="21"/>
      <c r="Y17" s="21"/>
      <c r="Z17" s="21"/>
      <c r="AA17" s="21"/>
      <c r="AB17" s="3" t="s">
        <v>30</v>
      </c>
      <c r="AC17" s="1"/>
      <c r="AD17" s="1"/>
    </row>
    <row r="18" spans="2:30">
      <c r="B18" s="18">
        <v>16</v>
      </c>
      <c r="C18" s="31">
        <v>6.26</v>
      </c>
      <c r="D18" s="29">
        <v>6.39</v>
      </c>
      <c r="E18" s="4">
        <f t="shared" si="0"/>
        <v>3.252E-2</v>
      </c>
      <c r="F18" s="4">
        <f t="shared" si="1"/>
        <v>4.1949999999999999E-3</v>
      </c>
      <c r="G18" s="21"/>
      <c r="H18" s="21"/>
      <c r="I18" s="18">
        <v>16</v>
      </c>
      <c r="J18" s="31">
        <v>6.27</v>
      </c>
      <c r="K18" s="29">
        <v>6.391</v>
      </c>
      <c r="L18" s="4">
        <f t="shared" si="2"/>
        <v>3.2539999999999999E-2</v>
      </c>
      <c r="M18" s="4">
        <f t="shared" si="3"/>
        <v>4.1954999999999996E-3</v>
      </c>
      <c r="N18" s="21"/>
      <c r="O18" s="21"/>
      <c r="P18" s="21"/>
      <c r="Q18" s="18">
        <v>16</v>
      </c>
      <c r="R18" s="15">
        <v>0.66600000000000004</v>
      </c>
      <c r="S18" s="56">
        <v>6393.5</v>
      </c>
      <c r="T18" s="27">
        <f t="shared" si="4"/>
        <v>3.6084899889011748</v>
      </c>
      <c r="U18" s="21"/>
      <c r="V18" s="21"/>
      <c r="W18" s="21"/>
      <c r="X18" s="21"/>
      <c r="Y18" s="21"/>
      <c r="Z18" s="21"/>
      <c r="AA18" s="21"/>
      <c r="AB18" s="3" t="s">
        <v>31</v>
      </c>
      <c r="AC18" s="1"/>
      <c r="AD18" s="1"/>
    </row>
    <row r="19" spans="2:30">
      <c r="B19" s="18">
        <v>17</v>
      </c>
      <c r="C19" s="31">
        <v>6.11</v>
      </c>
      <c r="D19" s="29">
        <v>6.2530000000000001</v>
      </c>
      <c r="E19" s="4">
        <f t="shared" si="0"/>
        <v>3.2219999999999999E-2</v>
      </c>
      <c r="F19" s="4">
        <f t="shared" si="1"/>
        <v>4.1265E-3</v>
      </c>
      <c r="G19" s="21"/>
      <c r="H19" s="21"/>
      <c r="I19" s="18">
        <v>17</v>
      </c>
      <c r="J19" s="31">
        <v>6.11</v>
      </c>
      <c r="K19" s="29">
        <v>6.2519999999999998</v>
      </c>
      <c r="L19" s="4">
        <f t="shared" si="2"/>
        <v>3.2219999999999999E-2</v>
      </c>
      <c r="M19" s="4">
        <f t="shared" si="3"/>
        <v>4.1259999999999995E-3</v>
      </c>
      <c r="N19" s="21"/>
      <c r="O19" s="21"/>
      <c r="P19" s="21"/>
      <c r="Q19" s="18">
        <v>17</v>
      </c>
      <c r="R19" s="15">
        <v>1.1319999999999999</v>
      </c>
      <c r="S19" s="56">
        <v>6248</v>
      </c>
      <c r="T19" s="27">
        <f t="shared" si="4"/>
        <v>3.5206817521610785</v>
      </c>
      <c r="U19" s="21"/>
      <c r="V19" s="21"/>
      <c r="W19" s="21"/>
      <c r="X19" s="21"/>
      <c r="Y19" s="21"/>
      <c r="Z19" s="21"/>
      <c r="AA19" s="21"/>
      <c r="AB19" s="1"/>
      <c r="AC19" s="1"/>
      <c r="AD19" s="1"/>
    </row>
    <row r="20" spans="2:30">
      <c r="B20" s="18">
        <v>18</v>
      </c>
      <c r="C20" s="31">
        <v>6.09</v>
      </c>
      <c r="D20" s="29">
        <v>6.2169999999999996</v>
      </c>
      <c r="E20" s="4">
        <f t="shared" si="0"/>
        <v>3.218E-2</v>
      </c>
      <c r="F20" s="4">
        <f t="shared" si="1"/>
        <v>4.1084999999999993E-3</v>
      </c>
      <c r="G20" s="21"/>
      <c r="H20" s="21"/>
      <c r="I20" s="18">
        <v>18</v>
      </c>
      <c r="J20" s="31">
        <v>6.09</v>
      </c>
      <c r="K20" s="29">
        <v>6.2190000000000003</v>
      </c>
      <c r="L20" s="4">
        <f t="shared" si="2"/>
        <v>3.218E-2</v>
      </c>
      <c r="M20" s="4">
        <f t="shared" si="3"/>
        <v>4.1095000000000003E-3</v>
      </c>
      <c r="N20" s="21"/>
      <c r="O20" s="21"/>
      <c r="P20" s="21"/>
      <c r="Q20" s="18">
        <v>18</v>
      </c>
      <c r="R20" s="15">
        <v>0.72599999999999998</v>
      </c>
      <c r="S20" s="56">
        <v>6299.7</v>
      </c>
      <c r="T20" s="27">
        <f t="shared" si="4"/>
        <v>3.5516381197038269</v>
      </c>
      <c r="U20" s="21"/>
      <c r="V20" s="21"/>
      <c r="W20" s="21"/>
      <c r="X20" s="21"/>
      <c r="Y20" s="21"/>
      <c r="Z20" s="21"/>
      <c r="AA20" s="21"/>
      <c r="AB20" s="1" t="s">
        <v>26</v>
      </c>
      <c r="AC20" s="1"/>
      <c r="AD20" s="1"/>
    </row>
    <row r="21" spans="2:30">
      <c r="B21" s="18">
        <v>19</v>
      </c>
      <c r="C21" s="31">
        <v>6.05</v>
      </c>
      <c r="D21" s="29">
        <v>6.1870000000000003</v>
      </c>
      <c r="E21" s="4">
        <f t="shared" si="0"/>
        <v>3.2100000000000004E-2</v>
      </c>
      <c r="F21" s="4">
        <f t="shared" si="1"/>
        <v>4.0934999999999999E-3</v>
      </c>
      <c r="G21" s="21"/>
      <c r="H21" s="21"/>
      <c r="I21" s="18">
        <v>19</v>
      </c>
      <c r="J21" s="31">
        <v>6.06</v>
      </c>
      <c r="K21" s="29">
        <v>6.1879999999999997</v>
      </c>
      <c r="L21" s="4">
        <f t="shared" si="2"/>
        <v>3.2119999999999996E-2</v>
      </c>
      <c r="M21" s="4">
        <f t="shared" si="3"/>
        <v>4.0940000000000004E-3</v>
      </c>
      <c r="N21" s="21"/>
      <c r="O21" s="21"/>
      <c r="P21" s="21"/>
      <c r="Q21" s="18">
        <v>19</v>
      </c>
      <c r="R21" s="15">
        <v>4.4379999999999997</v>
      </c>
      <c r="S21" s="56">
        <v>6211.2</v>
      </c>
      <c r="T21" s="27">
        <f t="shared" si="4"/>
        <v>3.5123781117641655</v>
      </c>
      <c r="U21" s="21"/>
      <c r="V21" s="21"/>
      <c r="W21" s="21"/>
      <c r="X21" s="21"/>
      <c r="Y21" s="21"/>
      <c r="Z21" s="21"/>
      <c r="AA21" s="21"/>
      <c r="AB21" s="1"/>
      <c r="AC21" s="1"/>
      <c r="AD21" s="1"/>
    </row>
    <row r="22" spans="2:30" ht="13.5" thickBot="1">
      <c r="B22" s="19">
        <v>20</v>
      </c>
      <c r="C22" s="31">
        <v>6.16</v>
      </c>
      <c r="D22" s="29">
        <v>6.3040000000000003</v>
      </c>
      <c r="E22" s="4">
        <f t="shared" si="0"/>
        <v>3.2320000000000002E-2</v>
      </c>
      <c r="F22" s="4">
        <f t="shared" si="1"/>
        <v>4.1520000000000003E-3</v>
      </c>
      <c r="G22" s="21"/>
      <c r="H22" s="21"/>
      <c r="I22" s="19">
        <v>20</v>
      </c>
      <c r="J22" s="31">
        <v>6.16</v>
      </c>
      <c r="K22" s="29">
        <v>6.3029999999999999</v>
      </c>
      <c r="L22" s="4">
        <f t="shared" si="2"/>
        <v>3.2320000000000002E-2</v>
      </c>
      <c r="M22" s="4">
        <f t="shared" si="3"/>
        <v>4.1515000000000007E-3</v>
      </c>
      <c r="N22" s="21"/>
      <c r="O22" s="21"/>
      <c r="P22" s="21"/>
      <c r="Q22" s="19">
        <v>20</v>
      </c>
      <c r="R22" s="15">
        <v>0.51200000000000001</v>
      </c>
      <c r="S22" s="56">
        <v>6187.3</v>
      </c>
      <c r="T22" s="27">
        <f t="shared" si="4"/>
        <v>3.5075917664403309</v>
      </c>
      <c r="U22" s="21"/>
      <c r="V22" s="21"/>
      <c r="W22" s="21"/>
      <c r="X22" s="21"/>
      <c r="Y22" s="21"/>
      <c r="Z22" s="21"/>
      <c r="AA22" s="21"/>
      <c r="AB22" s="1"/>
      <c r="AC22" s="1"/>
      <c r="AD22" s="1"/>
    </row>
    <row r="23" spans="2:30" s="20" customFormat="1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2:30" s="20" customForma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2:30" s="20" customFormat="1" ht="13.5" thickBot="1">
      <c r="B25" s="21"/>
      <c r="C25" s="21"/>
      <c r="D25" s="21"/>
      <c r="E25" s="21"/>
      <c r="F25" s="21"/>
      <c r="G25" s="21"/>
      <c r="H25" s="21"/>
      <c r="I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2:30" s="20" customFormat="1">
      <c r="B26" s="21"/>
      <c r="C26" s="21"/>
      <c r="D26" s="21"/>
      <c r="E26" s="21"/>
      <c r="F26" s="21"/>
      <c r="G26" s="21"/>
      <c r="H26" s="21"/>
      <c r="I26" s="21"/>
      <c r="J26" s="52" t="s">
        <v>46</v>
      </c>
      <c r="K26" s="53"/>
      <c r="L26" s="39" t="s">
        <v>47</v>
      </c>
      <c r="M26" s="54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2:30" s="20" customFormat="1" ht="13.5" thickBot="1">
      <c r="B27" s="21"/>
      <c r="C27" s="21"/>
      <c r="D27" s="21"/>
      <c r="E27" s="21"/>
      <c r="F27" s="21"/>
      <c r="G27" s="21"/>
      <c r="H27" s="21"/>
      <c r="I27" s="21"/>
      <c r="J27" s="45" t="s">
        <v>49</v>
      </c>
      <c r="K27" s="46" t="s">
        <v>48</v>
      </c>
      <c r="L27" s="46" t="s">
        <v>49</v>
      </c>
      <c r="M27" s="47" t="s">
        <v>48</v>
      </c>
      <c r="N27" s="21"/>
      <c r="O27" s="21"/>
      <c r="P27" s="21"/>
      <c r="Q27" s="21"/>
      <c r="R27" s="22"/>
      <c r="S27" s="22"/>
      <c r="T27" s="22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2:30" ht="18">
      <c r="B28" s="21"/>
      <c r="C28" s="21"/>
      <c r="D28" s="21"/>
      <c r="E28" s="21"/>
      <c r="F28" s="21"/>
      <c r="G28" s="21"/>
      <c r="H28" s="21"/>
      <c r="I28" s="40" t="s">
        <v>40</v>
      </c>
      <c r="J28" s="38">
        <f>AVERAGE(C3:C22)</f>
        <v>6.1449999999999996</v>
      </c>
      <c r="K28" s="48">
        <f>AVERAGE(D3:D22)</f>
        <v>6.2695999999999996</v>
      </c>
      <c r="L28" s="48">
        <f>AVERAGE(J3:J22)</f>
        <v>6.1469999999999994</v>
      </c>
      <c r="M28" s="49">
        <f>AVERAGE(K3:K22)</f>
        <v>6.2698499999999999</v>
      </c>
      <c r="O28" s="21"/>
      <c r="P28" s="21"/>
      <c r="Q28" s="3" t="s">
        <v>32</v>
      </c>
      <c r="R28" s="3"/>
      <c r="S28" s="3"/>
      <c r="T28" s="21"/>
      <c r="U28" s="21"/>
      <c r="V28" s="21"/>
      <c r="W28" s="21"/>
      <c r="X28" s="21"/>
      <c r="Y28" s="21"/>
      <c r="Z28" s="21"/>
      <c r="AA28" s="21"/>
      <c r="AB28" s="1"/>
      <c r="AC28" s="1"/>
      <c r="AD28" s="1"/>
    </row>
    <row r="29" spans="2:30" ht="15.75" thickBot="1">
      <c r="B29" s="21"/>
      <c r="C29" s="21"/>
      <c r="D29" s="21"/>
      <c r="E29" s="21"/>
      <c r="F29" s="21"/>
      <c r="G29" s="21"/>
      <c r="H29" s="21"/>
      <c r="I29" s="41" t="s">
        <v>41</v>
      </c>
      <c r="J29" s="34">
        <f>STDEV(C3:C22)</f>
        <v>0.18712506372392837</v>
      </c>
      <c r="K29" s="32">
        <f>STDEV(D3:D22)</f>
        <v>0.1269945709573114</v>
      </c>
      <c r="L29" s="32">
        <f>STDEV(J3:J22)</f>
        <v>0.18447935271717364</v>
      </c>
      <c r="M29" s="35">
        <f>STDEV(K3:K22)</f>
        <v>0.12610992489845815</v>
      </c>
      <c r="O29" s="21"/>
      <c r="P29" s="21"/>
      <c r="Q29" s="3">
        <v>1</v>
      </c>
      <c r="R29" s="5" t="s">
        <v>33</v>
      </c>
      <c r="S29" s="6">
        <v>0.05</v>
      </c>
      <c r="T29" s="21"/>
      <c r="U29" s="21"/>
      <c r="V29" s="21"/>
      <c r="W29" s="21"/>
      <c r="X29" s="21"/>
      <c r="Y29" s="21"/>
      <c r="Z29" s="21"/>
      <c r="AA29" s="21"/>
      <c r="AB29" s="1"/>
      <c r="AC29" s="1"/>
      <c r="AD29" s="1"/>
    </row>
    <row r="30" spans="2:30" ht="18">
      <c r="B30" s="23" t="s">
        <v>34</v>
      </c>
      <c r="C30" s="24" t="s">
        <v>34</v>
      </c>
      <c r="D30" s="21"/>
      <c r="E30" s="21"/>
      <c r="F30" s="21"/>
      <c r="G30" s="21"/>
      <c r="H30" s="21"/>
      <c r="I30" s="41" t="s">
        <v>42</v>
      </c>
      <c r="J30" s="34">
        <f>J29/20</f>
        <v>9.3562531861964178E-3</v>
      </c>
      <c r="K30" s="32">
        <f t="shared" ref="K30:M30" si="5">K29/20</f>
        <v>6.3497285478655695E-3</v>
      </c>
      <c r="L30" s="32">
        <f t="shared" si="5"/>
        <v>9.2239676358586813E-3</v>
      </c>
      <c r="M30" s="35">
        <f t="shared" si="5"/>
        <v>6.3054962449229073E-3</v>
      </c>
      <c r="O30" s="21"/>
      <c r="P30" s="21"/>
      <c r="Q30" s="3">
        <v>2</v>
      </c>
      <c r="R30" s="5" t="s">
        <v>35</v>
      </c>
      <c r="S30" s="6">
        <v>0.02</v>
      </c>
      <c r="T30" s="21"/>
      <c r="U30" s="21"/>
      <c r="V30" s="21"/>
      <c r="W30" s="21"/>
      <c r="X30" s="21"/>
      <c r="Y30" s="21"/>
      <c r="Z30" s="21"/>
      <c r="AA30" s="21"/>
      <c r="AB30" s="1"/>
      <c r="AC30" s="1"/>
      <c r="AD30" s="1"/>
    </row>
    <row r="31" spans="2:30" ht="15.75" thickBot="1">
      <c r="B31" s="25">
        <v>1.47</v>
      </c>
      <c r="C31" s="26">
        <v>1.47</v>
      </c>
      <c r="D31" s="21"/>
      <c r="E31" s="21"/>
      <c r="F31" s="21"/>
      <c r="G31" s="21"/>
      <c r="H31" s="21"/>
      <c r="I31" s="42" t="s">
        <v>43</v>
      </c>
      <c r="J31" s="50">
        <f>AVERAGE(E3:E22)</f>
        <v>3.2289999999999999E-2</v>
      </c>
      <c r="K31" s="44">
        <f>AVERAGE(F3:F22)</f>
        <v>4.1348000000000001E-3</v>
      </c>
      <c r="L31" s="44">
        <f>AVERAGE(L3:L22)</f>
        <v>3.2294000000000003E-2</v>
      </c>
      <c r="M31" s="51">
        <f>AVERAGE(M3:M22)</f>
        <v>4.1349250000000002E-3</v>
      </c>
      <c r="O31" s="21"/>
      <c r="P31" s="21"/>
      <c r="Q31" s="3">
        <v>3</v>
      </c>
      <c r="R31" s="5" t="s">
        <v>36</v>
      </c>
      <c r="S31" s="6">
        <v>0.01</v>
      </c>
      <c r="T31" s="21"/>
      <c r="U31" s="21"/>
      <c r="V31" s="21"/>
      <c r="W31" s="21"/>
      <c r="X31" s="21"/>
      <c r="Y31" s="21"/>
      <c r="Z31" s="21"/>
      <c r="AA31" s="21"/>
      <c r="AB31" s="1"/>
      <c r="AC31" s="1"/>
      <c r="AD31" s="1"/>
    </row>
    <row r="32" spans="2:30" ht="18">
      <c r="B32" s="21"/>
      <c r="C32" s="21"/>
      <c r="D32" s="21"/>
      <c r="E32" s="21"/>
      <c r="F32" s="21"/>
      <c r="G32" s="21"/>
      <c r="H32" s="21"/>
      <c r="I32" s="42" t="s">
        <v>44</v>
      </c>
      <c r="J32" s="34">
        <v>0.01</v>
      </c>
      <c r="K32" s="32">
        <v>0.01</v>
      </c>
      <c r="L32" s="32">
        <v>0.01</v>
      </c>
      <c r="M32" s="35">
        <v>0.01</v>
      </c>
      <c r="O32" s="21"/>
      <c r="P32" s="21"/>
      <c r="Q32" s="3">
        <v>4</v>
      </c>
      <c r="R32" s="5" t="s">
        <v>37</v>
      </c>
      <c r="S32" s="6">
        <v>5.0000000000000001E-3</v>
      </c>
      <c r="T32" s="21"/>
      <c r="U32" s="21"/>
      <c r="V32" s="21"/>
      <c r="W32" s="21"/>
      <c r="X32" s="21"/>
      <c r="Y32" s="21"/>
      <c r="Z32" s="21"/>
      <c r="AA32" s="21"/>
      <c r="AB32" s="1"/>
      <c r="AC32" s="1"/>
      <c r="AD32" s="1"/>
    </row>
    <row r="33" spans="2:30" ht="18.75" thickBot="1">
      <c r="B33" s="21"/>
      <c r="C33" s="21"/>
      <c r="D33" s="21"/>
      <c r="E33" s="21"/>
      <c r="F33" s="21"/>
      <c r="G33" s="21"/>
      <c r="H33" s="21"/>
      <c r="I33" s="43" t="s">
        <v>45</v>
      </c>
      <c r="J33" s="36">
        <f>SQRT((J30*J30)+(J31*J31)/3+(J32*J32)/3)</f>
        <v>2.1643032143183572E-2</v>
      </c>
      <c r="K33" s="33">
        <f>SQRT((K30*K30)+(K31*K31)/3+(K32*K32)/3)</f>
        <v>8.9079314646131891E-3</v>
      </c>
      <c r="L33" s="33">
        <f t="shared" ref="K33:M33" si="6">SQRT((L30*L30)+(L31*L31)/3+(L32*L32)/3)</f>
        <v>2.1588169390062584E-2</v>
      </c>
      <c r="M33" s="37">
        <f t="shared" si="6"/>
        <v>8.8764755287939895E-3</v>
      </c>
      <c r="O33" s="21"/>
      <c r="P33" s="21"/>
      <c r="Q33" s="3">
        <v>5</v>
      </c>
      <c r="R33" s="5" t="s">
        <v>38</v>
      </c>
      <c r="S33" s="6">
        <v>1E-3</v>
      </c>
      <c r="T33" s="21"/>
      <c r="U33" s="21"/>
      <c r="V33" s="21"/>
      <c r="W33" s="21"/>
      <c r="X33" s="21"/>
      <c r="Y33" s="21"/>
      <c r="Z33" s="21"/>
      <c r="AA33" s="21"/>
      <c r="AB33" s="1"/>
      <c r="AC33" s="1"/>
      <c r="AD33" s="1"/>
    </row>
    <row r="34" spans="2:30">
      <c r="B34" s="21"/>
      <c r="C34" s="21"/>
      <c r="D34" s="21"/>
      <c r="E34" s="21"/>
      <c r="F34" s="21"/>
      <c r="G34" s="21"/>
      <c r="H34" s="21"/>
      <c r="I34" s="21"/>
      <c r="O34" s="21"/>
      <c r="P34" s="21"/>
      <c r="Q34" s="3">
        <v>6</v>
      </c>
      <c r="R34" s="5" t="s">
        <v>39</v>
      </c>
      <c r="S34" s="6">
        <v>1E-3</v>
      </c>
      <c r="T34" s="21"/>
      <c r="U34" s="21"/>
      <c r="V34" s="21"/>
      <c r="W34" s="21"/>
      <c r="X34" s="21"/>
      <c r="Y34" s="21"/>
      <c r="Z34" s="21"/>
      <c r="AA34" s="21"/>
      <c r="AB34" s="1"/>
      <c r="AC34" s="1"/>
      <c r="AD34" s="1"/>
    </row>
    <row r="35" spans="2:30">
      <c r="B35" s="20"/>
      <c r="C35" s="20"/>
      <c r="D35" s="20"/>
      <c r="E35" s="20"/>
      <c r="F35" s="20"/>
      <c r="Q35" s="20"/>
      <c r="R35" s="20"/>
      <c r="S35" s="20"/>
      <c r="T35" s="20"/>
      <c r="X35" s="20"/>
      <c r="Y35" s="20"/>
      <c r="Z35" s="20"/>
      <c r="AA35" s="20"/>
    </row>
    <row r="36" spans="2:30">
      <c r="B36" s="20"/>
      <c r="C36" s="20"/>
      <c r="D36" s="20"/>
      <c r="E36" s="20"/>
      <c r="F36" s="20"/>
      <c r="Q36" s="20"/>
      <c r="R36" s="20"/>
      <c r="S36" s="20"/>
      <c r="T36" s="20"/>
      <c r="X36" s="20"/>
      <c r="Y36" s="20"/>
      <c r="Z36" s="20"/>
      <c r="AA36" s="20"/>
    </row>
    <row r="37" spans="2:30">
      <c r="B37" s="20"/>
      <c r="C37" s="20"/>
      <c r="D37" s="20"/>
      <c r="E37" s="20"/>
      <c r="F37" s="20"/>
      <c r="Q37" s="20"/>
      <c r="R37" s="20"/>
      <c r="S37" s="20"/>
      <c r="T37" s="20"/>
      <c r="X37" s="20"/>
      <c r="Y37" s="20"/>
      <c r="Z37" s="20"/>
      <c r="AA37" s="20"/>
    </row>
    <row r="38" spans="2:30">
      <c r="B38" s="20"/>
      <c r="C38" s="20"/>
      <c r="D38" s="20"/>
      <c r="E38" s="20"/>
      <c r="F38" s="20"/>
      <c r="Q38" s="20"/>
      <c r="R38" s="20"/>
      <c r="S38" s="20"/>
      <c r="T38" s="20"/>
      <c r="X38" s="20"/>
      <c r="Y38" s="20"/>
      <c r="Z38" s="20"/>
      <c r="AA38" s="20"/>
    </row>
    <row r="39" spans="2:30">
      <c r="B39" s="20"/>
      <c r="C39" s="20"/>
      <c r="D39" s="20"/>
      <c r="E39" s="20"/>
      <c r="F39" s="20"/>
      <c r="Q39" s="20"/>
      <c r="R39" s="20"/>
      <c r="S39" s="20"/>
      <c r="T39" s="20"/>
      <c r="X39" s="20"/>
      <c r="Y39" s="20"/>
      <c r="Z39" s="20"/>
      <c r="AA39" s="20"/>
    </row>
    <row r="40" spans="2:30">
      <c r="B40" s="20"/>
      <c r="C40" s="20"/>
      <c r="D40" s="20"/>
      <c r="E40" s="20"/>
      <c r="F40" s="20"/>
      <c r="Q40" s="20"/>
      <c r="R40" s="20"/>
      <c r="S40" s="20"/>
      <c r="T40" s="20"/>
      <c r="X40" s="20"/>
      <c r="Y40" s="20"/>
      <c r="Z40" s="20"/>
      <c r="AA40" s="20"/>
    </row>
    <row r="41" spans="2:30">
      <c r="B41" s="20"/>
      <c r="C41" s="20"/>
      <c r="D41" s="20"/>
      <c r="E41" s="20"/>
      <c r="F41" s="20"/>
      <c r="Q41" s="20"/>
      <c r="R41" s="20"/>
      <c r="S41" s="20"/>
      <c r="T41" s="20"/>
      <c r="X41" s="20"/>
      <c r="Y41" s="20"/>
      <c r="Z41" s="20"/>
      <c r="AA41" s="20"/>
    </row>
    <row r="42" spans="2:30">
      <c r="B42" s="20"/>
      <c r="C42" s="20"/>
      <c r="D42" s="20"/>
      <c r="E42" s="20"/>
      <c r="F42" s="20"/>
      <c r="Q42" s="20"/>
      <c r="R42" s="20"/>
      <c r="S42" s="20"/>
      <c r="T42" s="20"/>
      <c r="X42" s="20"/>
      <c r="Y42" s="20"/>
      <c r="Z42" s="20"/>
      <c r="AA42" s="20"/>
    </row>
    <row r="43" spans="2:30">
      <c r="B43" s="20"/>
      <c r="C43" s="20"/>
      <c r="D43" s="20"/>
      <c r="E43" s="20"/>
      <c r="F43" s="20"/>
      <c r="Q43" s="20"/>
      <c r="R43" s="20"/>
      <c r="S43" s="20"/>
      <c r="T43" s="20"/>
      <c r="X43" s="20"/>
      <c r="Y43" s="20"/>
      <c r="Z43" s="20"/>
      <c r="AA43" s="20"/>
    </row>
    <row r="44" spans="2:30">
      <c r="B44" s="20"/>
      <c r="C44" s="20"/>
      <c r="D44" s="20"/>
      <c r="E44" s="20"/>
      <c r="F44" s="20"/>
      <c r="Q44" s="20"/>
      <c r="R44" s="20"/>
      <c r="S44" s="20"/>
      <c r="T44" s="20"/>
      <c r="X44" s="20"/>
      <c r="Y44" s="20"/>
      <c r="Z44" s="20"/>
      <c r="AA44" s="20"/>
    </row>
    <row r="45" spans="2:30">
      <c r="B45" s="20"/>
      <c r="C45" s="20"/>
      <c r="D45" s="20"/>
      <c r="E45" s="20"/>
      <c r="F45" s="20"/>
      <c r="Q45" s="20"/>
      <c r="R45" s="20"/>
      <c r="S45" s="20"/>
      <c r="T45" s="20"/>
      <c r="X45" s="20"/>
      <c r="Y45" s="20"/>
      <c r="Z45" s="20"/>
      <c r="AA45" s="20"/>
    </row>
    <row r="46" spans="2:30">
      <c r="B46" s="20"/>
      <c r="C46" s="20"/>
      <c r="D46" s="20"/>
      <c r="E46" s="20"/>
      <c r="F46" s="20"/>
      <c r="Q46" s="20"/>
      <c r="R46" s="20"/>
      <c r="S46" s="20"/>
      <c r="T46" s="20"/>
      <c r="X46" s="20"/>
      <c r="Y46" s="20"/>
      <c r="Z46" s="20"/>
      <c r="AA46" s="20"/>
    </row>
    <row r="47" spans="2:30">
      <c r="B47" s="20"/>
      <c r="C47" s="20"/>
      <c r="D47" s="20"/>
      <c r="E47" s="20"/>
      <c r="F47" s="20"/>
      <c r="Q47" s="20"/>
      <c r="R47" s="20"/>
      <c r="S47" s="20"/>
      <c r="T47" s="20"/>
      <c r="X47" s="20"/>
      <c r="Y47" s="20"/>
      <c r="Z47" s="20"/>
      <c r="AA47" s="20"/>
    </row>
    <row r="48" spans="2:30">
      <c r="B48" s="20"/>
      <c r="C48" s="20"/>
      <c r="D48" s="20"/>
      <c r="E48" s="20"/>
      <c r="F48" s="20"/>
      <c r="Q48" s="20"/>
      <c r="R48" s="20"/>
      <c r="S48" s="20"/>
      <c r="T48" s="20"/>
      <c r="X48" s="20"/>
      <c r="Y48" s="20"/>
      <c r="Z48" s="20"/>
      <c r="AA48" s="20"/>
    </row>
    <row r="49" spans="2:27">
      <c r="B49" s="20"/>
      <c r="C49" s="20"/>
      <c r="D49" s="20"/>
      <c r="E49" s="20"/>
      <c r="F49" s="20"/>
      <c r="Q49" s="20"/>
      <c r="R49" s="20"/>
      <c r="S49" s="20"/>
      <c r="T49" s="20"/>
      <c r="X49" s="20"/>
      <c r="Y49" s="20"/>
      <c r="Z49" s="20"/>
      <c r="AA49" s="20"/>
    </row>
    <row r="50" spans="2:27">
      <c r="B50" s="20"/>
      <c r="C50" s="20"/>
      <c r="D50" s="20"/>
      <c r="E50" s="20"/>
      <c r="F50" s="20"/>
      <c r="Q50" s="20"/>
      <c r="R50" s="20"/>
      <c r="S50" s="20"/>
      <c r="T50" s="20"/>
      <c r="X50" s="20"/>
      <c r="Y50" s="20"/>
      <c r="Z50" s="20"/>
      <c r="AA50" s="20"/>
    </row>
    <row r="51" spans="2:27">
      <c r="B51" s="20"/>
      <c r="C51" s="20"/>
      <c r="D51" s="20"/>
      <c r="E51" s="20"/>
      <c r="F51" s="20"/>
      <c r="Q51" s="20"/>
      <c r="R51" s="20"/>
      <c r="S51" s="20"/>
      <c r="T51" s="20"/>
      <c r="X51" s="20"/>
      <c r="Y51" s="20"/>
      <c r="Z51" s="20"/>
      <c r="AA51" s="20"/>
    </row>
    <row r="52" spans="2:27">
      <c r="B52" s="20"/>
      <c r="C52" s="20"/>
      <c r="D52" s="20"/>
      <c r="E52" s="20"/>
      <c r="F52" s="20"/>
      <c r="Q52" s="20"/>
      <c r="R52" s="20"/>
      <c r="S52" s="20"/>
      <c r="T52" s="20"/>
      <c r="X52" s="20"/>
      <c r="Y52" s="20"/>
      <c r="Z52" s="20"/>
      <c r="AA52" s="20"/>
    </row>
    <row r="53" spans="2:27">
      <c r="B53" s="20"/>
      <c r="C53" s="20"/>
      <c r="D53" s="20"/>
      <c r="E53" s="20"/>
      <c r="F53" s="20"/>
      <c r="Q53" s="20"/>
      <c r="R53" s="20"/>
      <c r="S53" s="20"/>
      <c r="T53" s="20"/>
      <c r="X53" s="20"/>
      <c r="Y53" s="20"/>
      <c r="Z53" s="20"/>
      <c r="AA53" s="20"/>
    </row>
    <row r="54" spans="2:27">
      <c r="B54" s="20"/>
      <c r="C54" s="20"/>
      <c r="D54" s="20"/>
      <c r="E54" s="20"/>
      <c r="F54" s="20"/>
      <c r="Q54" s="20"/>
      <c r="R54" s="20"/>
      <c r="S54" s="20"/>
      <c r="T54" s="20"/>
      <c r="X54" s="20"/>
      <c r="Y54" s="20"/>
      <c r="Z54" s="20"/>
      <c r="AA54" s="20"/>
    </row>
    <row r="55" spans="2:27">
      <c r="B55" s="20"/>
      <c r="C55" s="20"/>
      <c r="D55" s="20"/>
      <c r="E55" s="20"/>
      <c r="F55" s="20"/>
      <c r="Q55" s="20"/>
      <c r="R55" s="20"/>
      <c r="S55" s="20"/>
      <c r="T55" s="20"/>
      <c r="X55" s="20"/>
      <c r="Y55" s="20"/>
      <c r="Z55" s="20"/>
      <c r="AA55" s="20"/>
    </row>
    <row r="56" spans="2:27">
      <c r="B56" s="20"/>
      <c r="C56" s="20"/>
      <c r="D56" s="20"/>
      <c r="E56" s="20"/>
      <c r="F56" s="20"/>
      <c r="Q56" s="20"/>
      <c r="R56" s="20"/>
      <c r="S56" s="20"/>
      <c r="T56" s="20"/>
      <c r="X56" s="20"/>
      <c r="Y56" s="20"/>
      <c r="Z56" s="20"/>
      <c r="AA56" s="20"/>
    </row>
    <row r="57" spans="2:27">
      <c r="B57" s="20"/>
      <c r="C57" s="20"/>
      <c r="D57" s="20"/>
      <c r="E57" s="20"/>
      <c r="F57" s="20"/>
      <c r="Q57" s="20"/>
      <c r="R57" s="20"/>
      <c r="S57" s="20"/>
      <c r="T57" s="20"/>
      <c r="X57" s="20"/>
      <c r="Y57" s="20"/>
      <c r="Z57" s="20"/>
      <c r="AA57" s="20"/>
    </row>
    <row r="58" spans="2:27">
      <c r="B58" s="20"/>
      <c r="C58" s="20"/>
      <c r="D58" s="20"/>
      <c r="E58" s="20"/>
      <c r="F58" s="20"/>
      <c r="Q58" s="20"/>
      <c r="R58" s="20"/>
      <c r="S58" s="20"/>
      <c r="T58" s="20"/>
      <c r="X58" s="20"/>
      <c r="Y58" s="20"/>
      <c r="Z58" s="20"/>
      <c r="AA58" s="20"/>
    </row>
    <row r="59" spans="2:27">
      <c r="B59" s="20"/>
      <c r="C59" s="20"/>
      <c r="D59" s="20"/>
      <c r="E59" s="20"/>
      <c r="F59" s="20"/>
      <c r="Q59" s="20"/>
      <c r="R59" s="20"/>
      <c r="S59" s="20"/>
      <c r="T59" s="20"/>
      <c r="X59" s="20"/>
      <c r="Y59" s="20"/>
      <c r="Z59" s="20"/>
      <c r="AA59" s="20"/>
    </row>
    <row r="60" spans="2:27">
      <c r="B60" s="20"/>
      <c r="C60" s="20"/>
      <c r="D60" s="20"/>
      <c r="E60" s="20"/>
      <c r="F60" s="20"/>
      <c r="Q60" s="20"/>
      <c r="R60" s="20"/>
      <c r="S60" s="20"/>
      <c r="T60" s="20"/>
      <c r="X60" s="20"/>
      <c r="Y60" s="20"/>
      <c r="Z60" s="20"/>
      <c r="AA60" s="20"/>
    </row>
    <row r="61" spans="2:27">
      <c r="B61" s="20"/>
      <c r="C61" s="20"/>
      <c r="D61" s="20"/>
      <c r="E61" s="20"/>
      <c r="F61" s="20"/>
      <c r="Q61" s="20"/>
      <c r="R61" s="20"/>
      <c r="S61" s="20"/>
      <c r="T61" s="20"/>
      <c r="X61" s="20"/>
      <c r="Y61" s="20"/>
      <c r="Z61" s="20"/>
      <c r="AA61" s="20"/>
    </row>
    <row r="62" spans="2:27">
      <c r="B62" s="20"/>
      <c r="C62" s="20"/>
      <c r="D62" s="20"/>
      <c r="E62" s="20"/>
      <c r="F62" s="20"/>
      <c r="Q62" s="20"/>
      <c r="R62" s="20"/>
      <c r="S62" s="20"/>
      <c r="T62" s="20"/>
      <c r="X62" s="20"/>
      <c r="Y62" s="20"/>
      <c r="Z62" s="20"/>
      <c r="AA62" s="20"/>
    </row>
    <row r="63" spans="2:27">
      <c r="B63" s="20"/>
      <c r="C63" s="20"/>
      <c r="D63" s="20"/>
      <c r="E63" s="20"/>
      <c r="F63" s="20"/>
      <c r="Q63" s="20"/>
      <c r="R63" s="20"/>
      <c r="S63" s="20"/>
      <c r="T63" s="20"/>
      <c r="X63" s="20"/>
      <c r="Y63" s="20"/>
      <c r="Z63" s="20"/>
      <c r="AA63" s="20"/>
    </row>
    <row r="64" spans="2:27">
      <c r="B64" s="20"/>
      <c r="C64" s="20"/>
      <c r="D64" s="20"/>
      <c r="E64" s="20"/>
      <c r="F64" s="20"/>
      <c r="Q64" s="20"/>
      <c r="R64" s="20"/>
      <c r="S64" s="20"/>
      <c r="T64" s="20"/>
      <c r="X64" s="20"/>
      <c r="Y64" s="20"/>
      <c r="Z64" s="20"/>
      <c r="AA64" s="20"/>
    </row>
    <row r="65" spans="2:27">
      <c r="B65" s="20"/>
      <c r="C65" s="20"/>
      <c r="D65" s="20"/>
      <c r="E65" s="20"/>
      <c r="F65" s="20"/>
      <c r="Q65" s="20"/>
      <c r="R65" s="20"/>
      <c r="S65" s="20"/>
      <c r="T65" s="20"/>
      <c r="X65" s="20"/>
      <c r="Y65" s="20"/>
      <c r="Z65" s="20"/>
      <c r="AA65" s="20"/>
    </row>
    <row r="66" spans="2:27">
      <c r="B66" s="20"/>
      <c r="C66" s="20"/>
      <c r="D66" s="20"/>
      <c r="E66" s="20"/>
      <c r="F66" s="20"/>
      <c r="Q66" s="20"/>
      <c r="R66" s="20"/>
      <c r="S66" s="20"/>
      <c r="T66" s="20"/>
      <c r="X66" s="20"/>
      <c r="Y66" s="20"/>
      <c r="Z66" s="20"/>
      <c r="AA66" s="20"/>
    </row>
    <row r="67" spans="2:27">
      <c r="B67" s="20"/>
      <c r="C67" s="20"/>
      <c r="D67" s="20"/>
      <c r="E67" s="20"/>
      <c r="F67" s="20"/>
      <c r="Q67" s="20"/>
      <c r="R67" s="20"/>
      <c r="S67" s="20"/>
      <c r="T67" s="20"/>
      <c r="X67" s="20"/>
      <c r="Y67" s="20"/>
      <c r="Z67" s="20"/>
      <c r="AA67" s="20"/>
    </row>
    <row r="68" spans="2:27">
      <c r="B68" s="20"/>
      <c r="C68" s="20"/>
      <c r="D68" s="20"/>
      <c r="E68" s="20"/>
      <c r="F68" s="20"/>
      <c r="Q68" s="20"/>
      <c r="R68" s="20"/>
      <c r="S68" s="20"/>
      <c r="T68" s="20"/>
      <c r="X68" s="20"/>
      <c r="Y68" s="20"/>
      <c r="Z68" s="20"/>
      <c r="AA68" s="20"/>
    </row>
    <row r="69" spans="2:27">
      <c r="B69" s="20"/>
      <c r="C69" s="20"/>
      <c r="D69" s="20"/>
      <c r="E69" s="20"/>
      <c r="F69" s="20"/>
      <c r="Q69" s="20"/>
      <c r="R69" s="20"/>
      <c r="S69" s="20"/>
      <c r="T69" s="20"/>
      <c r="X69" s="20"/>
      <c r="Y69" s="20"/>
      <c r="Z69" s="20"/>
      <c r="AA69" s="20"/>
    </row>
    <row r="70" spans="2:27">
      <c r="B70" s="20"/>
      <c r="C70" s="20"/>
      <c r="D70" s="20"/>
      <c r="E70" s="20"/>
      <c r="F70" s="20"/>
      <c r="Q70" s="20"/>
      <c r="R70" s="20"/>
      <c r="S70" s="20"/>
      <c r="T70" s="20"/>
      <c r="X70" s="20"/>
      <c r="Y70" s="20"/>
      <c r="Z70" s="20"/>
      <c r="AA70" s="20"/>
    </row>
    <row r="71" spans="2:27">
      <c r="B71" s="20"/>
      <c r="C71" s="20"/>
      <c r="D71" s="20"/>
      <c r="E71" s="20"/>
      <c r="F71" s="20"/>
      <c r="Q71" s="20"/>
      <c r="R71" s="20"/>
      <c r="S71" s="20"/>
      <c r="T71" s="20"/>
      <c r="X71" s="20"/>
      <c r="Y71" s="20"/>
      <c r="Z71" s="20"/>
      <c r="AA71" s="20"/>
    </row>
    <row r="72" spans="2:27">
      <c r="B72" s="20"/>
      <c r="C72" s="20"/>
      <c r="D72" s="20"/>
      <c r="E72" s="20"/>
      <c r="F72" s="20"/>
      <c r="Q72" s="20"/>
      <c r="R72" s="20"/>
      <c r="S72" s="20"/>
      <c r="T72" s="20"/>
      <c r="X72" s="20"/>
      <c r="Y72" s="20"/>
      <c r="Z72" s="20"/>
      <c r="AA72" s="20"/>
    </row>
    <row r="73" spans="2:27">
      <c r="B73" s="20"/>
      <c r="C73" s="20"/>
      <c r="D73" s="20"/>
      <c r="E73" s="20"/>
      <c r="F73" s="20"/>
      <c r="Q73" s="20"/>
      <c r="R73" s="20"/>
      <c r="S73" s="20"/>
      <c r="T73" s="20"/>
      <c r="X73" s="20"/>
      <c r="Y73" s="20"/>
      <c r="Z73" s="20"/>
      <c r="AA73" s="20"/>
    </row>
    <row r="74" spans="2:27">
      <c r="B74" s="20"/>
      <c r="C74" s="20"/>
      <c r="D74" s="20"/>
      <c r="E74" s="20"/>
      <c r="F74" s="20"/>
      <c r="Q74" s="20"/>
      <c r="R74" s="20"/>
      <c r="S74" s="20"/>
      <c r="T74" s="20"/>
      <c r="X74" s="20"/>
      <c r="Y74" s="20"/>
      <c r="Z74" s="20"/>
      <c r="AA74" s="20"/>
    </row>
    <row r="75" spans="2:27">
      <c r="B75" s="20"/>
      <c r="C75" s="20"/>
      <c r="D75" s="20"/>
      <c r="E75" s="20"/>
      <c r="F75" s="20"/>
      <c r="Q75" s="20"/>
      <c r="R75" s="20"/>
      <c r="S75" s="20"/>
      <c r="T75" s="20"/>
      <c r="X75" s="20"/>
      <c r="Y75" s="20"/>
      <c r="Z75" s="20"/>
      <c r="AA75" s="20"/>
    </row>
    <row r="76" spans="2:27">
      <c r="B76" s="20"/>
      <c r="C76" s="20"/>
      <c r="D76" s="20"/>
      <c r="E76" s="20"/>
      <c r="F76" s="20"/>
      <c r="Q76" s="20"/>
      <c r="R76" s="20"/>
      <c r="S76" s="20"/>
      <c r="T76" s="20"/>
      <c r="X76" s="20"/>
      <c r="Y76" s="20"/>
      <c r="Z76" s="20"/>
      <c r="AA76" s="20"/>
    </row>
    <row r="77" spans="2:27">
      <c r="B77" s="20"/>
      <c r="C77" s="20"/>
      <c r="D77" s="20"/>
      <c r="E77" s="20"/>
      <c r="F77" s="20"/>
      <c r="Q77" s="20"/>
      <c r="R77" s="20"/>
      <c r="S77" s="20"/>
      <c r="T77" s="20"/>
      <c r="X77" s="20"/>
      <c r="Y77" s="20"/>
      <c r="Z77" s="20"/>
      <c r="AA77" s="20"/>
    </row>
    <row r="78" spans="2:27">
      <c r="B78" s="20"/>
      <c r="C78" s="20"/>
      <c r="D78" s="20"/>
      <c r="E78" s="20"/>
      <c r="F78" s="20"/>
      <c r="Q78" s="20"/>
      <c r="R78" s="20"/>
      <c r="S78" s="20"/>
      <c r="T78" s="20"/>
      <c r="X78" s="20"/>
      <c r="Y78" s="20"/>
      <c r="Z78" s="20"/>
      <c r="AA78" s="20"/>
    </row>
    <row r="79" spans="2:27">
      <c r="B79" s="20"/>
      <c r="C79" s="20"/>
      <c r="D79" s="20"/>
      <c r="E79" s="20"/>
      <c r="F79" s="20"/>
      <c r="Q79" s="20"/>
      <c r="R79" s="20"/>
      <c r="S79" s="20"/>
      <c r="T79" s="20"/>
      <c r="X79" s="20"/>
      <c r="Y79" s="20"/>
      <c r="Z79" s="20"/>
      <c r="AA79" s="20"/>
    </row>
    <row r="80" spans="2:27">
      <c r="B80" s="20"/>
      <c r="C80" s="20"/>
      <c r="D80" s="20"/>
      <c r="E80" s="20"/>
      <c r="F80" s="20"/>
      <c r="Q80" s="20"/>
      <c r="R80" s="20"/>
      <c r="S80" s="20"/>
      <c r="T80" s="20"/>
      <c r="X80" s="20"/>
      <c r="Y80" s="20"/>
      <c r="Z80" s="20"/>
      <c r="AA80" s="20"/>
    </row>
    <row r="81" spans="2:27">
      <c r="B81" s="20"/>
      <c r="C81" s="20"/>
      <c r="D81" s="20"/>
      <c r="E81" s="20"/>
      <c r="F81" s="20"/>
      <c r="Q81" s="20"/>
      <c r="R81" s="20"/>
      <c r="S81" s="20"/>
      <c r="T81" s="20"/>
      <c r="X81" s="20"/>
      <c r="Y81" s="20"/>
      <c r="Z81" s="20"/>
      <c r="AA81" s="20"/>
    </row>
    <row r="82" spans="2:27">
      <c r="B82" s="20"/>
      <c r="C82" s="20"/>
      <c r="D82" s="20"/>
      <c r="E82" s="20"/>
      <c r="F82" s="20"/>
      <c r="Q82" s="20"/>
      <c r="R82" s="20"/>
      <c r="S82" s="20"/>
      <c r="T82" s="20"/>
      <c r="X82" s="20"/>
      <c r="Y82" s="20"/>
      <c r="Z82" s="20"/>
      <c r="AA82" s="20"/>
    </row>
    <row r="83" spans="2:27">
      <c r="B83" s="20"/>
      <c r="C83" s="20"/>
      <c r="D83" s="20"/>
      <c r="E83" s="20"/>
      <c r="F83" s="20"/>
      <c r="Q83" s="20"/>
      <c r="R83" s="20"/>
      <c r="S83" s="20"/>
      <c r="T83" s="20"/>
      <c r="X83" s="20"/>
      <c r="Y83" s="20"/>
      <c r="Z83" s="20"/>
      <c r="AA83" s="20"/>
    </row>
    <row r="84" spans="2:27">
      <c r="B84" s="20"/>
      <c r="C84" s="20"/>
      <c r="D84" s="20"/>
      <c r="E84" s="20"/>
      <c r="F84" s="20"/>
      <c r="Q84" s="20"/>
      <c r="R84" s="20"/>
      <c r="S84" s="20"/>
      <c r="T84" s="20"/>
      <c r="X84" s="20"/>
      <c r="Y84" s="20"/>
      <c r="Z84" s="20"/>
      <c r="AA84" s="20"/>
    </row>
    <row r="85" spans="2:27">
      <c r="B85" s="20"/>
      <c r="C85" s="20"/>
      <c r="D85" s="20"/>
      <c r="E85" s="20"/>
      <c r="F85" s="20"/>
      <c r="Q85" s="20"/>
      <c r="R85" s="20"/>
      <c r="S85" s="20"/>
      <c r="T85" s="20"/>
      <c r="X85" s="20"/>
      <c r="Y85" s="20"/>
      <c r="Z85" s="20"/>
      <c r="AA85" s="20"/>
    </row>
    <row r="86" spans="2:27">
      <c r="B86" s="20"/>
      <c r="C86" s="20"/>
      <c r="D86" s="20"/>
      <c r="E86" s="20"/>
      <c r="F86" s="20"/>
      <c r="Q86" s="20"/>
      <c r="R86" s="20"/>
      <c r="S86" s="20"/>
      <c r="T86" s="20"/>
      <c r="X86" s="20"/>
      <c r="Y86" s="20"/>
      <c r="Z86" s="20"/>
      <c r="AA86" s="20"/>
    </row>
    <row r="87" spans="2:27">
      <c r="B87" s="20"/>
      <c r="C87" s="20"/>
      <c r="D87" s="20"/>
      <c r="E87" s="20"/>
      <c r="F87" s="20"/>
      <c r="Q87" s="20"/>
      <c r="R87" s="20"/>
      <c r="S87" s="20"/>
      <c r="T87" s="20"/>
      <c r="X87" s="20"/>
      <c r="Y87" s="20"/>
      <c r="Z87" s="20"/>
      <c r="AA87" s="20"/>
    </row>
    <row r="88" spans="2:27">
      <c r="B88" s="20"/>
      <c r="C88" s="20"/>
      <c r="D88" s="20"/>
      <c r="E88" s="20"/>
      <c r="F88" s="20"/>
      <c r="Q88" s="20"/>
      <c r="R88" s="20"/>
      <c r="S88" s="20"/>
      <c r="T88" s="20"/>
      <c r="X88" s="20"/>
      <c r="Y88" s="20"/>
      <c r="Z88" s="20"/>
      <c r="AA88" s="20"/>
    </row>
    <row r="89" spans="2:27">
      <c r="B89" s="20"/>
      <c r="C89" s="20"/>
      <c r="D89" s="20"/>
      <c r="E89" s="20"/>
      <c r="F89" s="20"/>
      <c r="Q89" s="20"/>
      <c r="R89" s="20"/>
      <c r="S89" s="20"/>
      <c r="T89" s="20"/>
      <c r="X89" s="20"/>
      <c r="Y89" s="20"/>
      <c r="Z89" s="20"/>
      <c r="AA89" s="20"/>
    </row>
    <row r="90" spans="2:27">
      <c r="B90" s="20"/>
      <c r="C90" s="20"/>
      <c r="D90" s="20"/>
      <c r="E90" s="20"/>
      <c r="F90" s="20"/>
      <c r="Q90" s="20"/>
      <c r="R90" s="20"/>
      <c r="S90" s="20"/>
      <c r="T90" s="20"/>
      <c r="X90" s="20"/>
      <c r="Y90" s="20"/>
      <c r="Z90" s="20"/>
      <c r="AA90" s="20"/>
    </row>
    <row r="91" spans="2:27">
      <c r="B91" s="20"/>
      <c r="C91" s="20"/>
      <c r="D91" s="20"/>
      <c r="E91" s="20"/>
      <c r="F91" s="20"/>
      <c r="Q91" s="20"/>
      <c r="R91" s="20"/>
      <c r="S91" s="20"/>
      <c r="T91" s="20"/>
      <c r="X91" s="20"/>
      <c r="Y91" s="20"/>
      <c r="Z91" s="20"/>
      <c r="AA91" s="20"/>
    </row>
    <row r="92" spans="2:27">
      <c r="B92" s="20"/>
      <c r="C92" s="20"/>
      <c r="D92" s="20"/>
      <c r="E92" s="20"/>
      <c r="F92" s="20"/>
      <c r="Q92" s="20"/>
      <c r="R92" s="20"/>
      <c r="S92" s="20"/>
      <c r="T92" s="20"/>
      <c r="X92" s="20"/>
      <c r="Y92" s="20"/>
      <c r="Z92" s="20"/>
      <c r="AA92" s="20"/>
    </row>
    <row r="93" spans="2:27">
      <c r="B93" s="20"/>
      <c r="C93" s="20"/>
      <c r="D93" s="20"/>
      <c r="E93" s="20"/>
      <c r="F93" s="20"/>
      <c r="Q93" s="20"/>
      <c r="R93" s="20"/>
      <c r="S93" s="20"/>
      <c r="T93" s="20"/>
      <c r="X93" s="20"/>
      <c r="Y93" s="20"/>
      <c r="Z93" s="20"/>
      <c r="AA93" s="20"/>
    </row>
    <row r="94" spans="2:27">
      <c r="B94" s="20"/>
      <c r="C94" s="20"/>
      <c r="D94" s="20"/>
      <c r="E94" s="20"/>
      <c r="F94" s="20"/>
      <c r="Q94" s="20"/>
      <c r="R94" s="20"/>
      <c r="S94" s="20"/>
      <c r="T94" s="20"/>
      <c r="X94" s="20"/>
      <c r="Y94" s="20"/>
      <c r="Z94" s="20"/>
      <c r="AA94" s="20"/>
    </row>
    <row r="95" spans="2:27">
      <c r="B95" s="20"/>
      <c r="C95" s="20"/>
      <c r="D95" s="20"/>
      <c r="E95" s="20"/>
      <c r="F95" s="20"/>
      <c r="Q95" s="20"/>
      <c r="R95" s="20"/>
      <c r="S95" s="20"/>
      <c r="T95" s="20"/>
      <c r="X95" s="20"/>
      <c r="Y95" s="20"/>
      <c r="Z95" s="20"/>
      <c r="AA95" s="20"/>
    </row>
    <row r="96" spans="2:27">
      <c r="B96" s="20"/>
      <c r="C96" s="20"/>
      <c r="D96" s="20"/>
      <c r="E96" s="20"/>
      <c r="F96" s="20"/>
      <c r="Q96" s="20"/>
      <c r="R96" s="20"/>
      <c r="S96" s="20"/>
      <c r="T96" s="20"/>
      <c r="X96" s="20"/>
      <c r="Y96" s="20"/>
      <c r="Z96" s="20"/>
      <c r="AA96" s="20"/>
    </row>
    <row r="97" spans="2:27">
      <c r="B97" s="20"/>
      <c r="C97" s="20"/>
      <c r="D97" s="20"/>
      <c r="E97" s="20"/>
      <c r="F97" s="20"/>
      <c r="Q97" s="20"/>
      <c r="R97" s="20"/>
      <c r="S97" s="20"/>
      <c r="T97" s="20"/>
      <c r="X97" s="20"/>
      <c r="Y97" s="20"/>
      <c r="Z97" s="20"/>
      <c r="AA97" s="20"/>
    </row>
    <row r="98" spans="2:27">
      <c r="B98" s="20"/>
      <c r="C98" s="20"/>
      <c r="D98" s="20"/>
      <c r="E98" s="20"/>
      <c r="F98" s="20"/>
      <c r="Q98" s="20"/>
      <c r="R98" s="20"/>
      <c r="S98" s="20"/>
      <c r="T98" s="20"/>
      <c r="X98" s="20"/>
      <c r="Y98" s="20"/>
      <c r="Z98" s="20"/>
      <c r="AA98" s="20"/>
    </row>
    <row r="99" spans="2:27">
      <c r="B99" s="20"/>
      <c r="C99" s="20"/>
      <c r="D99" s="20"/>
      <c r="E99" s="20"/>
      <c r="F99" s="20"/>
      <c r="Q99" s="20"/>
      <c r="R99" s="20"/>
      <c r="S99" s="20"/>
      <c r="T99" s="20"/>
      <c r="X99" s="20"/>
      <c r="Y99" s="20"/>
      <c r="Z99" s="20"/>
      <c r="AA99" s="20"/>
    </row>
    <row r="100" spans="2:27">
      <c r="B100" s="20"/>
      <c r="C100" s="20"/>
      <c r="D100" s="20"/>
      <c r="E100" s="20"/>
      <c r="F100" s="20"/>
      <c r="Q100" s="20"/>
      <c r="R100" s="20"/>
      <c r="S100" s="20"/>
      <c r="T100" s="20"/>
      <c r="X100" s="20"/>
      <c r="Y100" s="20"/>
      <c r="Z100" s="20"/>
      <c r="AA100" s="20"/>
    </row>
    <row r="101" spans="2:27">
      <c r="B101" s="20"/>
      <c r="C101" s="20"/>
      <c r="D101" s="20"/>
      <c r="E101" s="20"/>
      <c r="F101" s="20"/>
      <c r="Q101" s="20"/>
      <c r="R101" s="20"/>
      <c r="S101" s="20"/>
      <c r="T101" s="20"/>
      <c r="X101" s="20"/>
      <c r="Y101" s="20"/>
      <c r="Z101" s="20"/>
      <c r="AA101" s="20"/>
    </row>
    <row r="102" spans="2:27">
      <c r="B102" s="20"/>
      <c r="C102" s="20"/>
      <c r="D102" s="20"/>
      <c r="E102" s="20"/>
      <c r="F102" s="20"/>
      <c r="Q102" s="20"/>
      <c r="R102" s="20"/>
      <c r="S102" s="20"/>
      <c r="T102" s="20"/>
      <c r="X102" s="20"/>
      <c r="Y102" s="20"/>
      <c r="Z102" s="20"/>
      <c r="AA102" s="20"/>
    </row>
    <row r="103" spans="2:27">
      <c r="B103" s="20"/>
      <c r="C103" s="20"/>
      <c r="D103" s="20"/>
      <c r="E103" s="20"/>
      <c r="F103" s="20"/>
      <c r="Q103" s="20"/>
      <c r="R103" s="20"/>
      <c r="S103" s="20"/>
      <c r="T103" s="20"/>
      <c r="X103" s="20"/>
      <c r="Y103" s="20"/>
      <c r="Z103" s="20"/>
      <c r="AA103" s="20"/>
    </row>
    <row r="104" spans="2:27">
      <c r="B104" s="20"/>
      <c r="C104" s="20"/>
      <c r="D104" s="20"/>
      <c r="E104" s="20"/>
      <c r="F104" s="20"/>
      <c r="Q104" s="20"/>
      <c r="R104" s="20"/>
      <c r="S104" s="20"/>
      <c r="T104" s="20"/>
      <c r="X104" s="20"/>
      <c r="Y104" s="20"/>
      <c r="Z104" s="20"/>
      <c r="AA104" s="20"/>
    </row>
    <row r="105" spans="2:27">
      <c r="B105" s="20"/>
      <c r="C105" s="20"/>
      <c r="D105" s="20"/>
      <c r="E105" s="20"/>
      <c r="F105" s="20"/>
      <c r="Q105" s="20"/>
      <c r="R105" s="20"/>
      <c r="S105" s="20"/>
      <c r="T105" s="20"/>
      <c r="X105" s="20"/>
      <c r="Y105" s="20"/>
      <c r="Z105" s="20"/>
      <c r="AA105" s="20"/>
    </row>
    <row r="106" spans="2:27">
      <c r="B106" s="20"/>
      <c r="C106" s="20"/>
      <c r="D106" s="20"/>
      <c r="E106" s="20"/>
      <c r="F106" s="20"/>
      <c r="Q106" s="20"/>
      <c r="R106" s="20"/>
      <c r="S106" s="20"/>
      <c r="T106" s="20"/>
      <c r="X106" s="20"/>
      <c r="Y106" s="20"/>
      <c r="Z106" s="20"/>
      <c r="AA106" s="20"/>
    </row>
    <row r="107" spans="2:27">
      <c r="B107" s="20"/>
      <c r="C107" s="20"/>
      <c r="D107" s="20"/>
      <c r="E107" s="20"/>
      <c r="F107" s="20"/>
      <c r="Q107" s="20"/>
      <c r="R107" s="20"/>
      <c r="S107" s="20"/>
      <c r="T107" s="20"/>
      <c r="X107" s="20"/>
      <c r="Y107" s="20"/>
      <c r="Z107" s="20"/>
      <c r="AA107" s="20"/>
    </row>
    <row r="108" spans="2:27">
      <c r="B108" s="20"/>
      <c r="C108" s="20"/>
      <c r="D108" s="20"/>
      <c r="E108" s="20"/>
      <c r="F108" s="20"/>
      <c r="Q108" s="20"/>
      <c r="R108" s="20"/>
      <c r="S108" s="20"/>
      <c r="T108" s="20"/>
      <c r="X108" s="20"/>
      <c r="Y108" s="20"/>
      <c r="Z108" s="20"/>
      <c r="AA108" s="20"/>
    </row>
    <row r="109" spans="2:27">
      <c r="B109" s="20"/>
      <c r="C109" s="20"/>
      <c r="D109" s="20"/>
      <c r="E109" s="20"/>
      <c r="F109" s="20"/>
      <c r="Q109" s="20"/>
      <c r="R109" s="20"/>
      <c r="S109" s="20"/>
      <c r="T109" s="20"/>
      <c r="X109" s="20"/>
      <c r="Y109" s="20"/>
      <c r="Z109" s="20"/>
      <c r="AA109" s="20"/>
    </row>
    <row r="110" spans="2:27">
      <c r="B110" s="20"/>
      <c r="C110" s="20"/>
      <c r="D110" s="20"/>
      <c r="E110" s="20"/>
      <c r="F110" s="20"/>
      <c r="Q110" s="20"/>
      <c r="R110" s="20"/>
      <c r="S110" s="20"/>
      <c r="T110" s="20"/>
      <c r="X110" s="20"/>
      <c r="Y110" s="20"/>
      <c r="Z110" s="20"/>
      <c r="AA110" s="20"/>
    </row>
    <row r="111" spans="2:27">
      <c r="B111" s="20"/>
      <c r="C111" s="20"/>
      <c r="D111" s="20"/>
      <c r="E111" s="20"/>
      <c r="F111" s="20"/>
      <c r="Q111" s="20"/>
      <c r="R111" s="20"/>
      <c r="S111" s="20"/>
      <c r="T111" s="20"/>
      <c r="X111" s="20"/>
      <c r="Y111" s="20"/>
      <c r="Z111" s="20"/>
      <c r="AA111" s="20"/>
    </row>
    <row r="112" spans="2:27">
      <c r="B112" s="20"/>
      <c r="C112" s="20"/>
      <c r="D112" s="20"/>
      <c r="E112" s="20"/>
      <c r="F112" s="20"/>
      <c r="Q112" s="20"/>
      <c r="R112" s="20"/>
      <c r="S112" s="20"/>
      <c r="T112" s="20"/>
      <c r="X112" s="20"/>
      <c r="Y112" s="20"/>
      <c r="Z112" s="20"/>
      <c r="AA112" s="20"/>
    </row>
    <row r="113" spans="2:27">
      <c r="B113" s="20"/>
      <c r="C113" s="20"/>
      <c r="D113" s="20"/>
      <c r="E113" s="20"/>
      <c r="F113" s="20"/>
      <c r="Q113" s="20"/>
      <c r="R113" s="20"/>
      <c r="S113" s="20"/>
      <c r="T113" s="20"/>
      <c r="X113" s="20"/>
      <c r="Y113" s="20"/>
      <c r="Z113" s="20"/>
      <c r="AA113" s="20"/>
    </row>
    <row r="114" spans="2:27">
      <c r="B114" s="20"/>
      <c r="C114" s="20"/>
      <c r="D114" s="20"/>
      <c r="E114" s="20"/>
      <c r="F114" s="20"/>
      <c r="Q114" s="20"/>
      <c r="R114" s="20"/>
      <c r="S114" s="20"/>
      <c r="T114" s="20"/>
      <c r="X114" s="20"/>
      <c r="Y114" s="20"/>
      <c r="Z114" s="20"/>
      <c r="AA114" s="20"/>
    </row>
    <row r="115" spans="2:27">
      <c r="B115" s="20"/>
      <c r="C115" s="20"/>
      <c r="D115" s="20"/>
      <c r="E115" s="20"/>
      <c r="F115" s="20"/>
      <c r="Q115" s="20"/>
      <c r="R115" s="20"/>
      <c r="S115" s="20"/>
      <c r="T115" s="20"/>
      <c r="X115" s="20"/>
      <c r="Y115" s="20"/>
      <c r="Z115" s="20"/>
      <c r="AA115" s="20"/>
    </row>
    <row r="116" spans="2:27">
      <c r="B116" s="20"/>
      <c r="C116" s="20"/>
      <c r="D116" s="20"/>
      <c r="E116" s="20"/>
      <c r="F116" s="20"/>
      <c r="Q116" s="20"/>
      <c r="R116" s="20"/>
      <c r="S116" s="20"/>
      <c r="T116" s="20"/>
      <c r="X116" s="20"/>
      <c r="Y116" s="20"/>
      <c r="Z116" s="20"/>
      <c r="AA116" s="20"/>
    </row>
    <row r="117" spans="2:27">
      <c r="B117" s="20"/>
      <c r="C117" s="20"/>
      <c r="D117" s="20"/>
      <c r="E117" s="20"/>
      <c r="F117" s="20"/>
      <c r="Q117" s="20"/>
      <c r="R117" s="20"/>
      <c r="S117" s="20"/>
      <c r="T117" s="20"/>
      <c r="X117" s="20"/>
      <c r="Y117" s="20"/>
      <c r="Z117" s="20"/>
      <c r="AA117" s="20"/>
    </row>
    <row r="118" spans="2:27">
      <c r="B118" s="20"/>
      <c r="C118" s="20"/>
      <c r="D118" s="20"/>
      <c r="E118" s="20"/>
      <c r="F118" s="20"/>
      <c r="Q118" s="20"/>
      <c r="R118" s="20"/>
      <c r="S118" s="20"/>
      <c r="T118" s="20"/>
      <c r="X118" s="20"/>
      <c r="Y118" s="20"/>
      <c r="Z118" s="20"/>
      <c r="AA118" s="20"/>
    </row>
    <row r="119" spans="2:27">
      <c r="B119" s="20"/>
      <c r="C119" s="20"/>
      <c r="D119" s="20"/>
      <c r="E119" s="20"/>
      <c r="F119" s="20"/>
      <c r="Q119" s="20"/>
      <c r="R119" s="20"/>
      <c r="S119" s="20"/>
      <c r="T119" s="20"/>
      <c r="X119" s="20"/>
      <c r="Y119" s="20"/>
      <c r="Z119" s="20"/>
      <c r="AA119" s="20"/>
    </row>
    <row r="120" spans="2:27">
      <c r="B120" s="20"/>
      <c r="C120" s="20"/>
      <c r="D120" s="20"/>
      <c r="E120" s="20"/>
      <c r="F120" s="20"/>
      <c r="Q120" s="20"/>
      <c r="R120" s="20"/>
      <c r="S120" s="20"/>
      <c r="T120" s="20"/>
      <c r="X120" s="20"/>
      <c r="Y120" s="20"/>
      <c r="Z120" s="20"/>
      <c r="AA120" s="20"/>
    </row>
    <row r="121" spans="2:27">
      <c r="B121" s="20"/>
      <c r="C121" s="20"/>
      <c r="D121" s="20"/>
      <c r="E121" s="20"/>
      <c r="F121" s="20"/>
      <c r="Q121" s="20"/>
      <c r="R121" s="20"/>
      <c r="S121" s="20"/>
      <c r="T121" s="20"/>
      <c r="X121" s="20"/>
      <c r="Y121" s="20"/>
      <c r="Z121" s="20"/>
      <c r="AA121" s="20"/>
    </row>
    <row r="122" spans="2:27">
      <c r="B122" s="20"/>
      <c r="C122" s="20"/>
      <c r="D122" s="20"/>
      <c r="E122" s="20"/>
      <c r="F122" s="20"/>
      <c r="Q122" s="20"/>
      <c r="R122" s="20"/>
      <c r="S122" s="20"/>
      <c r="T122" s="20"/>
      <c r="X122" s="20"/>
      <c r="Y122" s="20"/>
      <c r="Z122" s="20"/>
      <c r="AA122" s="20"/>
    </row>
    <row r="123" spans="2:27">
      <c r="B123" s="20"/>
      <c r="C123" s="20"/>
      <c r="D123" s="20"/>
      <c r="E123" s="20"/>
      <c r="F123" s="20"/>
      <c r="Q123" s="20"/>
      <c r="R123" s="20"/>
      <c r="S123" s="20"/>
      <c r="T123" s="20"/>
      <c r="X123" s="20"/>
      <c r="Y123" s="20"/>
      <c r="Z123" s="20"/>
      <c r="AA123" s="20"/>
    </row>
    <row r="124" spans="2:27">
      <c r="B124" s="20"/>
      <c r="C124" s="20"/>
      <c r="D124" s="20"/>
      <c r="E124" s="20"/>
      <c r="F124" s="20"/>
      <c r="Q124" s="20"/>
      <c r="R124" s="20"/>
      <c r="S124" s="20"/>
      <c r="T124" s="20"/>
      <c r="X124" s="20"/>
      <c r="Y124" s="20"/>
      <c r="Z124" s="20"/>
      <c r="AA124" s="20"/>
    </row>
    <row r="125" spans="2:27">
      <c r="B125" s="20"/>
      <c r="C125" s="20"/>
      <c r="D125" s="20"/>
      <c r="E125" s="20"/>
      <c r="F125" s="20"/>
      <c r="Q125" s="20"/>
      <c r="R125" s="20"/>
      <c r="S125" s="20"/>
      <c r="T125" s="20"/>
      <c r="X125" s="20"/>
      <c r="Y125" s="20"/>
      <c r="Z125" s="20"/>
      <c r="AA125" s="20"/>
    </row>
    <row r="126" spans="2:27">
      <c r="B126" s="20"/>
      <c r="C126" s="20"/>
      <c r="D126" s="20"/>
      <c r="E126" s="20"/>
      <c r="F126" s="20"/>
      <c r="Q126" s="20"/>
      <c r="R126" s="20"/>
      <c r="S126" s="20"/>
      <c r="T126" s="20"/>
      <c r="X126" s="20"/>
      <c r="Y126" s="20"/>
      <c r="Z126" s="20"/>
      <c r="AA126" s="20"/>
    </row>
    <row r="127" spans="2:27">
      <c r="B127" s="20"/>
      <c r="C127" s="20"/>
      <c r="D127" s="20"/>
      <c r="E127" s="20"/>
      <c r="F127" s="20"/>
      <c r="Q127" s="20"/>
      <c r="R127" s="20"/>
      <c r="S127" s="20"/>
      <c r="T127" s="20"/>
      <c r="X127" s="20"/>
      <c r="Y127" s="20"/>
      <c r="Z127" s="20"/>
      <c r="AA127" s="20"/>
    </row>
    <row r="128" spans="2:27">
      <c r="B128" s="20"/>
      <c r="C128" s="20"/>
      <c r="D128" s="20"/>
      <c r="E128" s="20"/>
      <c r="F128" s="20"/>
      <c r="Q128" s="20"/>
      <c r="R128" s="20"/>
      <c r="S128" s="20"/>
      <c r="T128" s="20"/>
      <c r="X128" s="20"/>
      <c r="Y128" s="20"/>
      <c r="Z128" s="20"/>
      <c r="AA128" s="20"/>
    </row>
    <row r="129" spans="2:27">
      <c r="B129" s="20"/>
      <c r="C129" s="20"/>
      <c r="D129" s="20"/>
      <c r="E129" s="20"/>
      <c r="F129" s="20"/>
      <c r="Q129" s="20"/>
      <c r="R129" s="20"/>
      <c r="S129" s="20"/>
      <c r="T129" s="20"/>
      <c r="X129" s="20"/>
      <c r="Y129" s="20"/>
      <c r="Z129" s="20"/>
      <c r="AA129" s="20"/>
    </row>
    <row r="130" spans="2:27">
      <c r="B130" s="20"/>
      <c r="C130" s="20"/>
      <c r="D130" s="20"/>
      <c r="E130" s="20"/>
      <c r="F130" s="20"/>
      <c r="Q130" s="20"/>
      <c r="R130" s="20"/>
      <c r="S130" s="20"/>
      <c r="T130" s="20"/>
      <c r="X130" s="20"/>
      <c r="Y130" s="20"/>
      <c r="Z130" s="20"/>
      <c r="AA130" s="20"/>
    </row>
    <row r="131" spans="2:27">
      <c r="B131" s="20"/>
      <c r="C131" s="20"/>
      <c r="D131" s="20"/>
      <c r="E131" s="20"/>
      <c r="F131" s="20"/>
      <c r="Q131" s="20"/>
      <c r="R131" s="20"/>
      <c r="S131" s="20"/>
      <c r="T131" s="20"/>
      <c r="X131" s="20"/>
      <c r="Y131" s="20"/>
      <c r="Z131" s="20"/>
      <c r="AA131" s="20"/>
    </row>
    <row r="132" spans="2:27">
      <c r="B132" s="20"/>
      <c r="C132" s="20"/>
      <c r="D132" s="20"/>
      <c r="E132" s="20"/>
      <c r="F132" s="20"/>
      <c r="Q132" s="20"/>
      <c r="R132" s="20"/>
      <c r="S132" s="20"/>
      <c r="T132" s="20"/>
      <c r="X132" s="20"/>
      <c r="Y132" s="20"/>
      <c r="Z132" s="20"/>
      <c r="AA132" s="20"/>
    </row>
    <row r="133" spans="2:27">
      <c r="B133" s="20"/>
      <c r="C133" s="20"/>
      <c r="D133" s="20"/>
      <c r="E133" s="20"/>
      <c r="F133" s="20"/>
      <c r="Q133" s="20"/>
      <c r="R133" s="20"/>
      <c r="S133" s="20"/>
      <c r="T133" s="20"/>
      <c r="X133" s="20"/>
      <c r="Y133" s="20"/>
      <c r="Z133" s="20"/>
      <c r="AA133" s="20"/>
    </row>
    <row r="134" spans="2:27">
      <c r="B134" s="20"/>
      <c r="C134" s="20"/>
      <c r="D134" s="20"/>
      <c r="E134" s="20"/>
      <c r="F134" s="20"/>
      <c r="Q134" s="20"/>
      <c r="R134" s="20"/>
      <c r="S134" s="20"/>
      <c r="T134" s="20"/>
      <c r="X134" s="20"/>
      <c r="Y134" s="20"/>
      <c r="Z134" s="20"/>
      <c r="AA134" s="20"/>
    </row>
    <row r="135" spans="2:27">
      <c r="B135" s="20"/>
      <c r="C135" s="20"/>
      <c r="D135" s="20"/>
      <c r="E135" s="20"/>
      <c r="F135" s="20"/>
      <c r="Q135" s="20"/>
      <c r="R135" s="20"/>
      <c r="S135" s="20"/>
      <c r="T135" s="20"/>
      <c r="X135" s="20"/>
      <c r="Y135" s="20"/>
      <c r="Z135" s="20"/>
      <c r="AA135" s="20"/>
    </row>
    <row r="136" spans="2:27">
      <c r="B136" s="20"/>
      <c r="C136" s="20"/>
      <c r="D136" s="20"/>
      <c r="E136" s="20"/>
      <c r="F136" s="20"/>
      <c r="Q136" s="20"/>
      <c r="R136" s="20"/>
      <c r="S136" s="20"/>
      <c r="T136" s="20"/>
      <c r="X136" s="20"/>
      <c r="Y136" s="20"/>
      <c r="Z136" s="20"/>
      <c r="AA136" s="20"/>
    </row>
    <row r="137" spans="2:27">
      <c r="B137" s="20"/>
      <c r="C137" s="20"/>
      <c r="D137" s="20"/>
      <c r="E137" s="20"/>
      <c r="F137" s="20"/>
      <c r="Q137" s="20"/>
      <c r="R137" s="20"/>
      <c r="S137" s="20"/>
      <c r="T137" s="20"/>
      <c r="X137" s="20"/>
      <c r="Y137" s="20"/>
      <c r="Z137" s="20"/>
      <c r="AA137" s="20"/>
    </row>
    <row r="138" spans="2:27">
      <c r="B138" s="20"/>
      <c r="C138" s="20"/>
      <c r="D138" s="20"/>
      <c r="E138" s="20"/>
      <c r="F138" s="20"/>
      <c r="Q138" s="20"/>
      <c r="R138" s="20"/>
      <c r="S138" s="20"/>
      <c r="T138" s="20"/>
      <c r="X138" s="20"/>
      <c r="Y138" s="20"/>
      <c r="Z138" s="20"/>
      <c r="AA138" s="20"/>
    </row>
    <row r="139" spans="2:27">
      <c r="B139" s="20"/>
      <c r="C139" s="20"/>
      <c r="D139" s="20"/>
      <c r="E139" s="20"/>
      <c r="F139" s="20"/>
      <c r="Q139" s="20"/>
      <c r="R139" s="20"/>
      <c r="S139" s="20"/>
      <c r="T139" s="20"/>
      <c r="X139" s="20"/>
      <c r="Y139" s="20"/>
      <c r="Z139" s="20"/>
      <c r="AA139" s="20"/>
    </row>
    <row r="140" spans="2:27">
      <c r="B140" s="20"/>
      <c r="C140" s="20"/>
      <c r="D140" s="20"/>
      <c r="E140" s="20"/>
      <c r="F140" s="20"/>
      <c r="Q140" s="20"/>
      <c r="R140" s="20"/>
      <c r="S140" s="20"/>
      <c r="T140" s="20"/>
      <c r="X140" s="20"/>
      <c r="Y140" s="20"/>
      <c r="Z140" s="20"/>
      <c r="AA140" s="20"/>
    </row>
    <row r="141" spans="2:27">
      <c r="B141" s="20"/>
      <c r="C141" s="20"/>
      <c r="D141" s="20"/>
      <c r="E141" s="20"/>
      <c r="F141" s="20"/>
      <c r="Q141" s="20"/>
      <c r="R141" s="20"/>
      <c r="S141" s="20"/>
      <c r="T141" s="20"/>
      <c r="X141" s="20"/>
      <c r="Y141" s="20"/>
      <c r="Z141" s="20"/>
      <c r="AA141" s="20"/>
    </row>
    <row r="142" spans="2:27">
      <c r="B142" s="20"/>
      <c r="C142" s="20"/>
      <c r="D142" s="20"/>
      <c r="E142" s="20"/>
      <c r="F142" s="20"/>
      <c r="Q142" s="20"/>
      <c r="R142" s="20"/>
      <c r="S142" s="20"/>
      <c r="T142" s="20"/>
      <c r="X142" s="20"/>
      <c r="Y142" s="20"/>
      <c r="Z142" s="20"/>
      <c r="AA142" s="20"/>
    </row>
    <row r="143" spans="2:27">
      <c r="B143" s="20"/>
      <c r="C143" s="20"/>
      <c r="D143" s="20"/>
      <c r="E143" s="20"/>
      <c r="F143" s="20"/>
      <c r="Q143" s="20"/>
      <c r="R143" s="20"/>
      <c r="S143" s="20"/>
      <c r="T143" s="20"/>
      <c r="X143" s="20"/>
      <c r="Y143" s="20"/>
      <c r="Z143" s="20"/>
      <c r="AA143" s="20"/>
    </row>
    <row r="144" spans="2:27">
      <c r="B144" s="20"/>
      <c r="C144" s="20"/>
      <c r="D144" s="20"/>
      <c r="E144" s="20"/>
      <c r="F144" s="20"/>
      <c r="Q144" s="20"/>
      <c r="R144" s="20"/>
      <c r="S144" s="20"/>
      <c r="T144" s="20"/>
      <c r="X144" s="20"/>
      <c r="Y144" s="20"/>
      <c r="Z144" s="20"/>
      <c r="AA144" s="20"/>
    </row>
    <row r="145" spans="2:27">
      <c r="B145" s="20"/>
      <c r="C145" s="20"/>
      <c r="D145" s="20"/>
      <c r="E145" s="20"/>
      <c r="F145" s="20"/>
      <c r="Q145" s="20"/>
      <c r="R145" s="20"/>
      <c r="S145" s="20"/>
      <c r="T145" s="20"/>
      <c r="X145" s="20"/>
      <c r="Y145" s="20"/>
      <c r="Z145" s="20"/>
      <c r="AA145" s="20"/>
    </row>
    <row r="146" spans="2:27">
      <c r="B146" s="20"/>
      <c r="C146" s="20"/>
      <c r="D146" s="20"/>
      <c r="E146" s="20"/>
      <c r="F146" s="20"/>
      <c r="Q146" s="20"/>
      <c r="R146" s="20"/>
      <c r="S146" s="20"/>
      <c r="T146" s="20"/>
      <c r="X146" s="20"/>
      <c r="Y146" s="20"/>
      <c r="Z146" s="20"/>
      <c r="AA146" s="20"/>
    </row>
    <row r="147" spans="2:27">
      <c r="B147" s="20"/>
      <c r="C147" s="20"/>
      <c r="D147" s="20"/>
      <c r="E147" s="20"/>
      <c r="F147" s="20"/>
      <c r="Q147" s="20"/>
      <c r="R147" s="20"/>
      <c r="S147" s="20"/>
      <c r="T147" s="20"/>
      <c r="X147" s="20"/>
      <c r="Y147" s="20"/>
      <c r="Z147" s="20"/>
      <c r="AA147" s="20"/>
    </row>
    <row r="148" spans="2:27">
      <c r="B148" s="20"/>
      <c r="C148" s="20"/>
      <c r="D148" s="20"/>
      <c r="E148" s="20"/>
      <c r="F148" s="20"/>
      <c r="Q148" s="20"/>
      <c r="R148" s="20"/>
      <c r="S148" s="20"/>
      <c r="T148" s="20"/>
      <c r="X148" s="20"/>
      <c r="Y148" s="20"/>
      <c r="Z148" s="20"/>
      <c r="AA148" s="20"/>
    </row>
    <row r="149" spans="2:27">
      <c r="B149" s="20"/>
      <c r="C149" s="20"/>
      <c r="D149" s="20"/>
      <c r="E149" s="20"/>
      <c r="F149" s="20"/>
      <c r="Q149" s="20"/>
      <c r="R149" s="20"/>
      <c r="S149" s="20"/>
      <c r="T149" s="20"/>
      <c r="X149" s="20"/>
      <c r="Y149" s="20"/>
      <c r="Z149" s="20"/>
      <c r="AA149" s="20"/>
    </row>
    <row r="150" spans="2:27">
      <c r="B150" s="20"/>
      <c r="C150" s="20"/>
      <c r="D150" s="20"/>
      <c r="E150" s="20"/>
      <c r="F150" s="20"/>
      <c r="Q150" s="20"/>
      <c r="R150" s="20"/>
      <c r="S150" s="20"/>
      <c r="T150" s="20"/>
      <c r="X150" s="20"/>
      <c r="Y150" s="20"/>
      <c r="Z150" s="20"/>
      <c r="AA150" s="20"/>
    </row>
    <row r="151" spans="2:27">
      <c r="B151" s="20"/>
      <c r="C151" s="20"/>
      <c r="D151" s="20"/>
      <c r="E151" s="20"/>
      <c r="F151" s="20"/>
      <c r="Q151" s="20"/>
      <c r="R151" s="20"/>
      <c r="S151" s="20"/>
      <c r="T151" s="20"/>
      <c r="X151" s="20"/>
      <c r="Y151" s="20"/>
      <c r="Z151" s="20"/>
      <c r="AA151" s="20"/>
    </row>
    <row r="152" spans="2:27">
      <c r="B152" s="20"/>
      <c r="C152" s="20"/>
      <c r="D152" s="20"/>
      <c r="E152" s="20"/>
      <c r="F152" s="20"/>
      <c r="Q152" s="20"/>
      <c r="R152" s="20"/>
      <c r="S152" s="20"/>
      <c r="T152" s="20"/>
      <c r="X152" s="20"/>
      <c r="Y152" s="20"/>
      <c r="Z152" s="20"/>
      <c r="AA152" s="20"/>
    </row>
    <row r="153" spans="2:27">
      <c r="B153" s="20"/>
      <c r="C153" s="20"/>
      <c r="D153" s="20"/>
      <c r="E153" s="20"/>
      <c r="F153" s="20"/>
      <c r="Q153" s="20"/>
      <c r="R153" s="20"/>
      <c r="S153" s="20"/>
      <c r="T153" s="20"/>
      <c r="X153" s="20"/>
      <c r="Y153" s="20"/>
      <c r="Z153" s="20"/>
      <c r="AA153" s="20"/>
    </row>
    <row r="154" spans="2:27">
      <c r="B154" s="20"/>
      <c r="C154" s="20"/>
      <c r="D154" s="20"/>
      <c r="E154" s="20"/>
      <c r="F154" s="20"/>
      <c r="Q154" s="20"/>
      <c r="R154" s="20"/>
      <c r="S154" s="20"/>
      <c r="T154" s="20"/>
      <c r="X154" s="20"/>
      <c r="Y154" s="20"/>
      <c r="Z154" s="20"/>
      <c r="AA154" s="20"/>
    </row>
    <row r="155" spans="2:27">
      <c r="B155" s="20"/>
      <c r="C155" s="20"/>
      <c r="D155" s="20"/>
      <c r="E155" s="20"/>
      <c r="F155" s="20"/>
      <c r="Q155" s="20"/>
      <c r="R155" s="20"/>
      <c r="S155" s="20"/>
      <c r="T155" s="20"/>
      <c r="X155" s="20"/>
      <c r="Y155" s="20"/>
      <c r="Z155" s="20"/>
      <c r="AA155" s="20"/>
    </row>
    <row r="156" spans="2:27">
      <c r="B156" s="20"/>
      <c r="C156" s="20"/>
      <c r="D156" s="20"/>
      <c r="E156" s="20"/>
      <c r="F156" s="20"/>
      <c r="Q156" s="20"/>
      <c r="R156" s="20"/>
      <c r="S156" s="20"/>
      <c r="T156" s="20"/>
      <c r="X156" s="20"/>
      <c r="Y156" s="20"/>
      <c r="Z156" s="20"/>
      <c r="AA156" s="20"/>
    </row>
    <row r="157" spans="2:27">
      <c r="B157" s="20"/>
      <c r="C157" s="20"/>
      <c r="D157" s="20"/>
      <c r="E157" s="20"/>
      <c r="F157" s="20"/>
      <c r="Q157" s="20"/>
      <c r="R157" s="20"/>
      <c r="S157" s="20"/>
      <c r="T157" s="20"/>
      <c r="X157" s="20"/>
      <c r="Y157" s="20"/>
      <c r="Z157" s="20"/>
      <c r="AA157" s="20"/>
    </row>
    <row r="158" spans="2:27">
      <c r="B158" s="20"/>
      <c r="C158" s="20"/>
      <c r="D158" s="20"/>
      <c r="E158" s="20"/>
      <c r="F158" s="20"/>
      <c r="Q158" s="20"/>
      <c r="R158" s="20"/>
      <c r="S158" s="20"/>
      <c r="T158" s="20"/>
      <c r="X158" s="20"/>
      <c r="Y158" s="20"/>
      <c r="Z158" s="20"/>
      <c r="AA158" s="20"/>
    </row>
    <row r="159" spans="2:27">
      <c r="B159" s="20"/>
      <c r="C159" s="20"/>
      <c r="D159" s="20"/>
      <c r="E159" s="20"/>
      <c r="F159" s="20"/>
      <c r="Q159" s="20"/>
      <c r="R159" s="20"/>
      <c r="S159" s="20"/>
      <c r="T159" s="20"/>
      <c r="X159" s="20"/>
      <c r="Y159" s="20"/>
      <c r="Z159" s="20"/>
      <c r="AA159" s="20"/>
    </row>
    <row r="160" spans="2:27">
      <c r="B160" s="20"/>
      <c r="C160" s="20"/>
      <c r="D160" s="20"/>
      <c r="E160" s="20"/>
      <c r="F160" s="20"/>
      <c r="Q160" s="20"/>
      <c r="R160" s="20"/>
      <c r="S160" s="20"/>
      <c r="T160" s="20"/>
      <c r="X160" s="20"/>
      <c r="Y160" s="20"/>
      <c r="Z160" s="20"/>
      <c r="AA160" s="20"/>
    </row>
    <row r="161" spans="2:27">
      <c r="B161" s="20"/>
      <c r="C161" s="20"/>
      <c r="D161" s="20"/>
      <c r="E161" s="20"/>
      <c r="F161" s="20"/>
      <c r="Q161" s="20"/>
      <c r="R161" s="20"/>
      <c r="S161" s="20"/>
      <c r="T161" s="20"/>
      <c r="X161" s="20"/>
      <c r="Y161" s="20"/>
      <c r="Z161" s="20"/>
      <c r="AA161" s="20"/>
    </row>
    <row r="162" spans="2:27">
      <c r="B162" s="20"/>
      <c r="C162" s="20"/>
      <c r="D162" s="20"/>
      <c r="E162" s="20"/>
      <c r="F162" s="20"/>
      <c r="Q162" s="20"/>
      <c r="R162" s="20"/>
      <c r="S162" s="20"/>
      <c r="T162" s="20"/>
      <c r="X162" s="20"/>
      <c r="Y162" s="20"/>
      <c r="Z162" s="20"/>
      <c r="AA162" s="20"/>
    </row>
    <row r="163" spans="2:27">
      <c r="B163" s="20"/>
      <c r="C163" s="20"/>
      <c r="D163" s="20"/>
      <c r="E163" s="20"/>
      <c r="F163" s="20"/>
      <c r="Q163" s="20"/>
      <c r="R163" s="20"/>
      <c r="S163" s="20"/>
      <c r="T163" s="20"/>
      <c r="X163" s="20"/>
      <c r="Y163" s="20"/>
      <c r="Z163" s="20"/>
      <c r="AA163" s="20"/>
    </row>
    <row r="164" spans="2:27">
      <c r="B164" s="20"/>
      <c r="C164" s="20"/>
      <c r="D164" s="20"/>
      <c r="E164" s="20"/>
      <c r="F164" s="20"/>
      <c r="Q164" s="20"/>
      <c r="R164" s="20"/>
      <c r="S164" s="20"/>
      <c r="T164" s="20"/>
      <c r="X164" s="20"/>
      <c r="Y164" s="20"/>
      <c r="Z164" s="20"/>
      <c r="AA164" s="20"/>
    </row>
    <row r="165" spans="2:27">
      <c r="B165" s="20"/>
      <c r="C165" s="20"/>
      <c r="D165" s="20"/>
      <c r="E165" s="20"/>
      <c r="F165" s="20"/>
      <c r="Q165" s="20"/>
      <c r="R165" s="20"/>
      <c r="S165" s="20"/>
      <c r="T165" s="20"/>
      <c r="X165" s="20"/>
      <c r="Y165" s="20"/>
      <c r="Z165" s="20"/>
      <c r="AA165" s="20"/>
    </row>
    <row r="166" spans="2:27">
      <c r="B166" s="20"/>
      <c r="C166" s="20"/>
      <c r="D166" s="20"/>
      <c r="E166" s="20"/>
      <c r="F166" s="20"/>
      <c r="Q166" s="20"/>
      <c r="R166" s="20"/>
      <c r="S166" s="20"/>
      <c r="T166" s="20"/>
      <c r="X166" s="20"/>
      <c r="Y166" s="20"/>
      <c r="Z166" s="20"/>
      <c r="AA166" s="20"/>
    </row>
    <row r="167" spans="2:27">
      <c r="B167" s="20"/>
      <c r="C167" s="20"/>
      <c r="D167" s="20"/>
      <c r="E167" s="20"/>
      <c r="F167" s="20"/>
      <c r="Q167" s="20"/>
      <c r="R167" s="20"/>
      <c r="S167" s="20"/>
      <c r="T167" s="20"/>
      <c r="X167" s="20"/>
      <c r="Y167" s="20"/>
      <c r="Z167" s="20"/>
      <c r="AA167" s="20"/>
    </row>
    <row r="168" spans="2:27">
      <c r="B168" s="20"/>
      <c r="C168" s="20"/>
      <c r="D168" s="20"/>
      <c r="E168" s="20"/>
      <c r="F168" s="20"/>
      <c r="Q168" s="20"/>
      <c r="R168" s="20"/>
      <c r="S168" s="20"/>
      <c r="T168" s="20"/>
      <c r="X168" s="20"/>
      <c r="Y168" s="20"/>
      <c r="Z168" s="20"/>
      <c r="AA168" s="20"/>
    </row>
    <row r="169" spans="2:27">
      <c r="B169" s="20"/>
      <c r="C169" s="20"/>
      <c r="D169" s="20"/>
      <c r="E169" s="20"/>
      <c r="F169" s="20"/>
      <c r="Q169" s="20"/>
      <c r="R169" s="20"/>
      <c r="S169" s="20"/>
      <c r="T169" s="20"/>
      <c r="X169" s="20"/>
      <c r="Y169" s="20"/>
      <c r="Z169" s="20"/>
      <c r="AA169" s="20"/>
    </row>
    <row r="170" spans="2:27">
      <c r="B170" s="20"/>
      <c r="C170" s="20"/>
      <c r="D170" s="20"/>
      <c r="E170" s="20"/>
      <c r="F170" s="20"/>
      <c r="Q170" s="20"/>
      <c r="R170" s="20"/>
      <c r="S170" s="20"/>
      <c r="T170" s="20"/>
      <c r="X170" s="20"/>
      <c r="Y170" s="20"/>
      <c r="Z170" s="20"/>
      <c r="AA170" s="20"/>
    </row>
    <row r="171" spans="2:27">
      <c r="B171" s="20"/>
      <c r="C171" s="20"/>
      <c r="D171" s="20"/>
      <c r="E171" s="20"/>
      <c r="F171" s="20"/>
      <c r="Q171" s="20"/>
      <c r="R171" s="20"/>
      <c r="S171" s="20"/>
      <c r="T171" s="20"/>
      <c r="X171" s="20"/>
      <c r="Y171" s="20"/>
      <c r="Z171" s="20"/>
      <c r="AA171" s="20"/>
    </row>
    <row r="172" spans="2:27">
      <c r="B172" s="20"/>
      <c r="C172" s="20"/>
      <c r="D172" s="20"/>
      <c r="E172" s="20"/>
      <c r="F172" s="20"/>
      <c r="Q172" s="20"/>
      <c r="R172" s="20"/>
      <c r="S172" s="20"/>
      <c r="T172" s="20"/>
      <c r="X172" s="20"/>
      <c r="Y172" s="20"/>
      <c r="Z172" s="20"/>
      <c r="AA172" s="20"/>
    </row>
    <row r="173" spans="2:27">
      <c r="B173" s="20"/>
      <c r="C173" s="20"/>
      <c r="D173" s="20"/>
      <c r="E173" s="20"/>
      <c r="F173" s="20"/>
      <c r="Q173" s="20"/>
      <c r="R173" s="20"/>
      <c r="S173" s="20"/>
      <c r="T173" s="20"/>
      <c r="X173" s="20"/>
      <c r="Y173" s="20"/>
      <c r="Z173" s="20"/>
      <c r="AA173" s="20"/>
    </row>
    <row r="174" spans="2:27">
      <c r="B174" s="20"/>
      <c r="C174" s="20"/>
      <c r="D174" s="20"/>
      <c r="E174" s="20"/>
      <c r="F174" s="20"/>
      <c r="Q174" s="20"/>
      <c r="R174" s="20"/>
      <c r="S174" s="20"/>
      <c r="T174" s="20"/>
      <c r="X174" s="20"/>
      <c r="Y174" s="20"/>
      <c r="Z174" s="20"/>
      <c r="AA174" s="20"/>
    </row>
    <row r="175" spans="2:27">
      <c r="B175" s="20"/>
      <c r="C175" s="20"/>
      <c r="D175" s="20"/>
      <c r="E175" s="20"/>
      <c r="F175" s="20"/>
      <c r="Q175" s="20"/>
      <c r="R175" s="20"/>
      <c r="S175" s="20"/>
      <c r="T175" s="20"/>
      <c r="X175" s="20"/>
      <c r="Y175" s="20"/>
      <c r="Z175" s="20"/>
      <c r="AA175" s="20"/>
    </row>
    <row r="176" spans="2:27">
      <c r="B176" s="20"/>
      <c r="C176" s="20"/>
      <c r="D176" s="20"/>
      <c r="E176" s="20"/>
      <c r="F176" s="20"/>
      <c r="Q176" s="20"/>
      <c r="R176" s="20"/>
      <c r="S176" s="20"/>
      <c r="T176" s="20"/>
      <c r="X176" s="20"/>
      <c r="Y176" s="20"/>
      <c r="Z176" s="20"/>
      <c r="AA176" s="20"/>
    </row>
    <row r="177" spans="2:27">
      <c r="B177" s="20"/>
      <c r="C177" s="20"/>
      <c r="D177" s="20"/>
      <c r="E177" s="20"/>
      <c r="F177" s="20"/>
      <c r="Q177" s="20"/>
      <c r="R177" s="20"/>
      <c r="S177" s="20"/>
      <c r="T177" s="20"/>
      <c r="X177" s="20"/>
      <c r="Y177" s="20"/>
      <c r="Z177" s="20"/>
      <c r="AA177" s="20"/>
    </row>
    <row r="178" spans="2:27">
      <c r="B178" s="20"/>
      <c r="C178" s="20"/>
      <c r="D178" s="20"/>
      <c r="E178" s="20"/>
      <c r="F178" s="20"/>
      <c r="Q178" s="20"/>
      <c r="R178" s="20"/>
      <c r="S178" s="20"/>
      <c r="T178" s="20"/>
      <c r="X178" s="20"/>
      <c r="Y178" s="20"/>
      <c r="Z178" s="20"/>
      <c r="AA178" s="20"/>
    </row>
    <row r="179" spans="2:27">
      <c r="B179" s="20"/>
      <c r="C179" s="20"/>
      <c r="D179" s="20"/>
      <c r="E179" s="20"/>
      <c r="F179" s="20"/>
      <c r="Q179" s="20"/>
      <c r="R179" s="20"/>
      <c r="S179" s="20"/>
      <c r="T179" s="20"/>
      <c r="X179" s="20"/>
      <c r="Y179" s="20"/>
      <c r="Z179" s="20"/>
      <c r="AA179" s="20"/>
    </row>
    <row r="180" spans="2:27">
      <c r="B180" s="20"/>
      <c r="C180" s="20"/>
      <c r="D180" s="20"/>
      <c r="E180" s="20"/>
      <c r="F180" s="20"/>
      <c r="Q180" s="20"/>
      <c r="R180" s="20"/>
      <c r="S180" s="20"/>
      <c r="T180" s="20"/>
      <c r="X180" s="20"/>
      <c r="Y180" s="20"/>
      <c r="Z180" s="20"/>
      <c r="AA180" s="20"/>
    </row>
    <row r="181" spans="2:27">
      <c r="B181" s="20"/>
      <c r="C181" s="20"/>
      <c r="D181" s="20"/>
      <c r="E181" s="20"/>
      <c r="F181" s="20"/>
      <c r="Q181" s="20"/>
      <c r="R181" s="20"/>
      <c r="S181" s="20"/>
      <c r="T181" s="20"/>
      <c r="X181" s="20"/>
      <c r="Y181" s="20"/>
      <c r="Z181" s="20"/>
      <c r="AA181" s="20"/>
    </row>
    <row r="182" spans="2:27">
      <c r="B182" s="20"/>
      <c r="C182" s="20"/>
      <c r="D182" s="20"/>
      <c r="E182" s="20"/>
      <c r="F182" s="20"/>
      <c r="Q182" s="20"/>
      <c r="R182" s="20"/>
      <c r="S182" s="20"/>
      <c r="T182" s="20"/>
      <c r="X182" s="20"/>
      <c r="Y182" s="20"/>
      <c r="Z182" s="20"/>
      <c r="AA182" s="20"/>
    </row>
    <row r="183" spans="2:27">
      <c r="B183" s="20"/>
      <c r="C183" s="20"/>
      <c r="D183" s="20"/>
      <c r="E183" s="20"/>
      <c r="F183" s="20"/>
      <c r="Q183" s="20"/>
      <c r="R183" s="20"/>
      <c r="S183" s="20"/>
      <c r="T183" s="20"/>
      <c r="X183" s="20"/>
      <c r="Y183" s="20"/>
      <c r="Z183" s="20"/>
      <c r="AA183" s="20"/>
    </row>
    <row r="184" spans="2:27">
      <c r="B184" s="20"/>
      <c r="C184" s="20"/>
      <c r="D184" s="20"/>
      <c r="E184" s="20"/>
      <c r="F184" s="20"/>
      <c r="Q184" s="20"/>
      <c r="R184" s="20"/>
      <c r="S184" s="20"/>
      <c r="T184" s="20"/>
      <c r="X184" s="20"/>
      <c r="Y184" s="20"/>
      <c r="Z184" s="20"/>
      <c r="AA184" s="20"/>
    </row>
    <row r="185" spans="2:27">
      <c r="B185" s="20"/>
      <c r="C185" s="20"/>
      <c r="D185" s="20"/>
      <c r="E185" s="20"/>
      <c r="F185" s="20"/>
      <c r="Q185" s="20"/>
      <c r="R185" s="20"/>
      <c r="S185" s="20"/>
      <c r="T185" s="20"/>
      <c r="X185" s="20"/>
      <c r="Y185" s="20"/>
      <c r="Z185" s="20"/>
      <c r="AA185" s="20"/>
    </row>
    <row r="186" spans="2:27">
      <c r="B186" s="20"/>
      <c r="C186" s="20"/>
      <c r="D186" s="20"/>
      <c r="E186" s="20"/>
      <c r="F186" s="20"/>
      <c r="Q186" s="20"/>
      <c r="R186" s="20"/>
      <c r="S186" s="20"/>
      <c r="T186" s="20"/>
      <c r="X186" s="20"/>
      <c r="Y186" s="20"/>
      <c r="Z186" s="20"/>
      <c r="AA186" s="20"/>
    </row>
    <row r="187" spans="2:27">
      <c r="B187" s="20"/>
      <c r="C187" s="20"/>
      <c r="D187" s="20"/>
      <c r="E187" s="20"/>
      <c r="F187" s="20"/>
      <c r="Q187" s="20"/>
      <c r="R187" s="20"/>
      <c r="S187" s="20"/>
      <c r="T187" s="20"/>
      <c r="X187" s="20"/>
      <c r="Y187" s="20"/>
      <c r="Z187" s="20"/>
      <c r="AA187" s="20"/>
    </row>
    <row r="188" spans="2:27">
      <c r="B188" s="20"/>
      <c r="C188" s="20"/>
      <c r="D188" s="20"/>
      <c r="E188" s="20"/>
      <c r="F188" s="20"/>
      <c r="Q188" s="20"/>
      <c r="R188" s="20"/>
      <c r="S188" s="20"/>
      <c r="T188" s="20"/>
      <c r="X188" s="20"/>
      <c r="Y188" s="20"/>
      <c r="Z188" s="20"/>
      <c r="AA188" s="20"/>
    </row>
    <row r="189" spans="2:27">
      <c r="B189" s="20"/>
      <c r="C189" s="20"/>
      <c r="D189" s="20"/>
      <c r="E189" s="20"/>
      <c r="F189" s="20"/>
      <c r="Q189" s="20"/>
      <c r="R189" s="20"/>
      <c r="S189" s="20"/>
      <c r="T189" s="20"/>
      <c r="X189" s="20"/>
      <c r="Y189" s="20"/>
      <c r="Z189" s="20"/>
      <c r="AA189" s="20"/>
    </row>
    <row r="190" spans="2:27">
      <c r="B190" s="20"/>
      <c r="C190" s="20"/>
      <c r="D190" s="20"/>
      <c r="E190" s="20"/>
      <c r="F190" s="20"/>
      <c r="Q190" s="20"/>
      <c r="R190" s="20"/>
      <c r="S190" s="20"/>
      <c r="T190" s="20"/>
      <c r="X190" s="20"/>
      <c r="Y190" s="20"/>
      <c r="Z190" s="20"/>
      <c r="AA190" s="20"/>
    </row>
    <row r="191" spans="2:27">
      <c r="B191" s="20"/>
      <c r="C191" s="20"/>
      <c r="D191" s="20"/>
      <c r="E191" s="20"/>
      <c r="F191" s="20"/>
      <c r="Q191" s="20"/>
      <c r="R191" s="20"/>
      <c r="S191" s="20"/>
      <c r="T191" s="20"/>
      <c r="X191" s="20"/>
      <c r="Y191" s="20"/>
      <c r="Z191" s="20"/>
      <c r="AA191" s="20"/>
    </row>
    <row r="192" spans="2:27">
      <c r="B192" s="20"/>
      <c r="C192" s="20"/>
      <c r="D192" s="20"/>
      <c r="E192" s="20"/>
      <c r="F192" s="20"/>
      <c r="Q192" s="20"/>
      <c r="R192" s="20"/>
      <c r="S192" s="20"/>
      <c r="T192" s="20"/>
      <c r="X192" s="20"/>
      <c r="Y192" s="20"/>
      <c r="Z192" s="20"/>
      <c r="AA192" s="20"/>
    </row>
    <row r="193" spans="2:27">
      <c r="B193" s="20"/>
      <c r="C193" s="20"/>
      <c r="D193" s="20"/>
      <c r="E193" s="20"/>
      <c r="F193" s="20"/>
      <c r="Q193" s="20"/>
      <c r="R193" s="20"/>
      <c r="S193" s="20"/>
      <c r="T193" s="20"/>
      <c r="X193" s="20"/>
      <c r="Y193" s="20"/>
      <c r="Z193" s="20"/>
      <c r="AA193" s="20"/>
    </row>
    <row r="194" spans="2:27">
      <c r="B194" s="20"/>
      <c r="C194" s="20"/>
      <c r="D194" s="20"/>
      <c r="E194" s="20"/>
      <c r="F194" s="20"/>
      <c r="Q194" s="20"/>
      <c r="R194" s="20"/>
      <c r="S194" s="20"/>
      <c r="T194" s="20"/>
      <c r="X194" s="20"/>
      <c r="Y194" s="20"/>
      <c r="Z194" s="20"/>
      <c r="AA194" s="20"/>
    </row>
    <row r="195" spans="2:27">
      <c r="B195" s="20"/>
      <c r="C195" s="20"/>
      <c r="D195" s="20"/>
      <c r="E195" s="20"/>
      <c r="F195" s="20"/>
      <c r="Q195" s="20"/>
      <c r="R195" s="20"/>
      <c r="S195" s="20"/>
      <c r="T195" s="20"/>
      <c r="X195" s="20"/>
      <c r="Y195" s="20"/>
      <c r="Z195" s="20"/>
      <c r="AA195" s="20"/>
    </row>
    <row r="196" spans="2:27">
      <c r="B196" s="20"/>
      <c r="C196" s="20"/>
      <c r="D196" s="20"/>
      <c r="E196" s="20"/>
      <c r="F196" s="20"/>
      <c r="Q196" s="20"/>
      <c r="R196" s="20"/>
      <c r="S196" s="20"/>
      <c r="T196" s="20"/>
      <c r="X196" s="20"/>
      <c r="Y196" s="20"/>
      <c r="Z196" s="20"/>
      <c r="AA196" s="20"/>
    </row>
    <row r="197" spans="2:27">
      <c r="B197" s="20"/>
      <c r="C197" s="20"/>
      <c r="D197" s="20"/>
      <c r="E197" s="20"/>
      <c r="F197" s="20"/>
      <c r="Q197" s="20"/>
      <c r="R197" s="20"/>
      <c r="S197" s="20"/>
      <c r="T197" s="20"/>
      <c r="X197" s="20"/>
      <c r="Y197" s="20"/>
      <c r="Z197" s="20"/>
      <c r="AA197" s="20"/>
    </row>
    <row r="198" spans="2:27">
      <c r="B198" s="20"/>
      <c r="C198" s="20"/>
      <c r="D198" s="20"/>
      <c r="E198" s="20"/>
      <c r="F198" s="20"/>
      <c r="Q198" s="20"/>
      <c r="R198" s="20"/>
      <c r="S198" s="20"/>
      <c r="T198" s="20"/>
      <c r="X198" s="20"/>
      <c r="Y198" s="20"/>
      <c r="Z198" s="20"/>
      <c r="AA198" s="20"/>
    </row>
    <row r="199" spans="2:27">
      <c r="B199" s="20"/>
      <c r="C199" s="20"/>
      <c r="D199" s="20"/>
      <c r="E199" s="20"/>
      <c r="F199" s="20"/>
      <c r="Q199" s="20"/>
      <c r="R199" s="20"/>
      <c r="S199" s="20"/>
      <c r="T199" s="20"/>
      <c r="X199" s="20"/>
      <c r="Y199" s="20"/>
      <c r="Z199" s="20"/>
      <c r="AA199" s="20"/>
    </row>
    <row r="200" spans="2:27">
      <c r="B200" s="20"/>
      <c r="C200" s="20"/>
      <c r="D200" s="20"/>
      <c r="E200" s="20"/>
      <c r="F200" s="20"/>
      <c r="Q200" s="20"/>
      <c r="R200" s="20"/>
      <c r="S200" s="20"/>
      <c r="T200" s="20"/>
      <c r="X200" s="20"/>
      <c r="Y200" s="20"/>
      <c r="Z200" s="20"/>
      <c r="AA200" s="20"/>
    </row>
    <row r="201" spans="2:27">
      <c r="B201" s="20"/>
      <c r="C201" s="20"/>
      <c r="D201" s="20"/>
      <c r="E201" s="20"/>
      <c r="F201" s="20"/>
      <c r="Q201" s="20"/>
      <c r="R201" s="20"/>
      <c r="S201" s="20"/>
      <c r="T201" s="20"/>
      <c r="X201" s="20"/>
      <c r="Y201" s="20"/>
      <c r="Z201" s="20"/>
      <c r="AA201" s="20"/>
    </row>
    <row r="202" spans="2:27">
      <c r="B202" s="20"/>
      <c r="C202" s="20"/>
      <c r="D202" s="20"/>
      <c r="E202" s="20"/>
      <c r="F202" s="20"/>
      <c r="Q202" s="20"/>
      <c r="R202" s="20"/>
      <c r="S202" s="20"/>
      <c r="T202" s="20"/>
      <c r="X202" s="20"/>
      <c r="Y202" s="20"/>
      <c r="Z202" s="20"/>
      <c r="AA202" s="20"/>
    </row>
    <row r="203" spans="2:27">
      <c r="B203" s="20"/>
      <c r="C203" s="20"/>
      <c r="D203" s="20"/>
      <c r="E203" s="20"/>
      <c r="F203" s="20"/>
      <c r="Q203" s="20"/>
      <c r="R203" s="20"/>
      <c r="S203" s="20"/>
      <c r="T203" s="20"/>
      <c r="X203" s="20"/>
      <c r="Y203" s="20"/>
      <c r="Z203" s="20"/>
      <c r="AA203" s="20"/>
    </row>
    <row r="204" spans="2:27">
      <c r="B204" s="20"/>
      <c r="C204" s="20"/>
      <c r="D204" s="20"/>
      <c r="E204" s="20"/>
      <c r="F204" s="20"/>
      <c r="Q204" s="20"/>
      <c r="R204" s="20"/>
      <c r="S204" s="20"/>
      <c r="T204" s="20"/>
      <c r="X204" s="20"/>
      <c r="Y204" s="20"/>
      <c r="Z204" s="20"/>
      <c r="AA204" s="20"/>
    </row>
    <row r="205" spans="2:27">
      <c r="B205" s="20"/>
      <c r="C205" s="20"/>
      <c r="D205" s="20"/>
      <c r="E205" s="20"/>
      <c r="F205" s="20"/>
      <c r="Q205" s="20"/>
      <c r="R205" s="20"/>
      <c r="S205" s="20"/>
      <c r="T205" s="20"/>
      <c r="X205" s="20"/>
      <c r="Y205" s="20"/>
      <c r="Z205" s="20"/>
      <c r="AA205" s="20"/>
    </row>
    <row r="206" spans="2:27">
      <c r="B206" s="20"/>
      <c r="C206" s="20"/>
      <c r="D206" s="20"/>
      <c r="E206" s="20"/>
      <c r="F206" s="20"/>
      <c r="Q206" s="20"/>
      <c r="R206" s="20"/>
      <c r="S206" s="20"/>
      <c r="T206" s="20"/>
      <c r="X206" s="20"/>
      <c r="Y206" s="20"/>
      <c r="Z206" s="20"/>
      <c r="AA206" s="20"/>
    </row>
    <row r="207" spans="2:27">
      <c r="B207" s="20"/>
      <c r="C207" s="20"/>
      <c r="D207" s="20"/>
      <c r="E207" s="20"/>
      <c r="F207" s="20"/>
      <c r="Q207" s="20"/>
      <c r="R207" s="20"/>
      <c r="S207" s="20"/>
      <c r="T207" s="20"/>
      <c r="X207" s="20"/>
      <c r="Y207" s="20"/>
      <c r="Z207" s="20"/>
      <c r="AA207" s="20"/>
    </row>
    <row r="208" spans="2:27">
      <c r="B208" s="20"/>
      <c r="C208" s="20"/>
      <c r="D208" s="20"/>
      <c r="E208" s="20"/>
      <c r="F208" s="20"/>
      <c r="Q208" s="20"/>
      <c r="R208" s="20"/>
      <c r="S208" s="20"/>
      <c r="T208" s="20"/>
      <c r="X208" s="20"/>
      <c r="Y208" s="20"/>
      <c r="Z208" s="20"/>
      <c r="AA208" s="20"/>
    </row>
    <row r="209" spans="2:27">
      <c r="B209" s="20"/>
      <c r="C209" s="20"/>
      <c r="D209" s="20"/>
      <c r="E209" s="20"/>
      <c r="F209" s="20"/>
      <c r="Q209" s="20"/>
      <c r="R209" s="20"/>
      <c r="S209" s="20"/>
      <c r="T209" s="20"/>
      <c r="X209" s="20"/>
      <c r="Y209" s="20"/>
      <c r="Z209" s="20"/>
      <c r="AA209" s="20"/>
    </row>
    <row r="210" spans="2:27">
      <c r="B210" s="20"/>
      <c r="C210" s="20"/>
      <c r="D210" s="20"/>
      <c r="E210" s="20"/>
      <c r="F210" s="20"/>
      <c r="Q210" s="20"/>
      <c r="R210" s="20"/>
      <c r="S210" s="20"/>
      <c r="T210" s="20"/>
      <c r="X210" s="20"/>
      <c r="Y210" s="20"/>
      <c r="Z210" s="20"/>
      <c r="AA210" s="20"/>
    </row>
    <row r="211" spans="2:27">
      <c r="B211" s="20"/>
      <c r="C211" s="20"/>
      <c r="D211" s="20"/>
      <c r="E211" s="20"/>
      <c r="F211" s="20"/>
      <c r="Q211" s="20"/>
      <c r="R211" s="20"/>
      <c r="S211" s="20"/>
      <c r="T211" s="20"/>
      <c r="X211" s="20"/>
      <c r="Y211" s="20"/>
      <c r="Z211" s="20"/>
      <c r="AA211" s="20"/>
    </row>
    <row r="212" spans="2:27">
      <c r="B212" s="20"/>
      <c r="C212" s="20"/>
      <c r="D212" s="20"/>
      <c r="E212" s="20"/>
      <c r="F212" s="20"/>
      <c r="Q212" s="20"/>
      <c r="R212" s="20"/>
      <c r="S212" s="20"/>
      <c r="T212" s="20"/>
      <c r="X212" s="20"/>
      <c r="Y212" s="20"/>
      <c r="Z212" s="20"/>
      <c r="AA212" s="20"/>
    </row>
    <row r="213" spans="2:27">
      <c r="B213" s="20"/>
      <c r="C213" s="20"/>
      <c r="D213" s="20"/>
      <c r="E213" s="20"/>
      <c r="F213" s="20"/>
      <c r="Q213" s="20"/>
      <c r="R213" s="20"/>
      <c r="S213" s="20"/>
      <c r="T213" s="20"/>
      <c r="X213" s="20"/>
      <c r="Y213" s="20"/>
      <c r="Z213" s="20"/>
      <c r="AA213" s="20"/>
    </row>
    <row r="214" spans="2:27">
      <c r="B214" s="20"/>
      <c r="C214" s="20"/>
      <c r="D214" s="20"/>
      <c r="E214" s="20"/>
      <c r="F214" s="20"/>
      <c r="Q214" s="20"/>
      <c r="R214" s="20"/>
      <c r="S214" s="20"/>
      <c r="T214" s="20"/>
      <c r="X214" s="20"/>
      <c r="Y214" s="20"/>
      <c r="Z214" s="20"/>
      <c r="AA214" s="20"/>
    </row>
    <row r="215" spans="2:27">
      <c r="B215" s="20"/>
      <c r="C215" s="20"/>
      <c r="D215" s="20"/>
      <c r="E215" s="20"/>
      <c r="F215" s="20"/>
      <c r="Q215" s="20"/>
      <c r="R215" s="20"/>
      <c r="S215" s="20"/>
      <c r="T215" s="20"/>
      <c r="X215" s="20"/>
      <c r="Y215" s="20"/>
      <c r="Z215" s="20"/>
      <c r="AA215" s="20"/>
    </row>
    <row r="216" spans="2:27">
      <c r="B216" s="20"/>
      <c r="C216" s="20"/>
      <c r="D216" s="20"/>
      <c r="E216" s="20"/>
      <c r="F216" s="20"/>
      <c r="Q216" s="20"/>
      <c r="R216" s="20"/>
      <c r="S216" s="20"/>
      <c r="T216" s="20"/>
      <c r="X216" s="20"/>
      <c r="Y216" s="20"/>
      <c r="Z216" s="20"/>
      <c r="AA216" s="20"/>
    </row>
    <row r="217" spans="2:27">
      <c r="B217" s="20"/>
      <c r="C217" s="20"/>
      <c r="D217" s="20"/>
      <c r="E217" s="20"/>
      <c r="F217" s="20"/>
      <c r="Q217" s="20"/>
      <c r="R217" s="20"/>
      <c r="S217" s="20"/>
      <c r="T217" s="20"/>
      <c r="X217" s="20"/>
      <c r="Y217" s="20"/>
      <c r="Z217" s="20"/>
      <c r="AA217" s="20"/>
    </row>
    <row r="218" spans="2:27">
      <c r="B218" s="20"/>
      <c r="C218" s="20"/>
      <c r="D218" s="20"/>
      <c r="E218" s="20"/>
      <c r="F218" s="20"/>
      <c r="Q218" s="20"/>
      <c r="R218" s="20"/>
      <c r="S218" s="20"/>
      <c r="T218" s="20"/>
      <c r="X218" s="20"/>
      <c r="Y218" s="20"/>
      <c r="Z218" s="20"/>
      <c r="AA218" s="20"/>
    </row>
    <row r="219" spans="2:27">
      <c r="B219" s="20"/>
      <c r="C219" s="20"/>
      <c r="D219" s="20"/>
      <c r="E219" s="20"/>
      <c r="F219" s="20"/>
      <c r="Q219" s="20"/>
      <c r="R219" s="20"/>
      <c r="S219" s="20"/>
      <c r="T219" s="20"/>
      <c r="X219" s="20"/>
      <c r="Y219" s="20"/>
      <c r="Z219" s="20"/>
      <c r="AA219" s="20"/>
    </row>
    <row r="220" spans="2:27">
      <c r="B220" s="20"/>
      <c r="C220" s="20"/>
      <c r="D220" s="20"/>
      <c r="E220" s="20"/>
      <c r="F220" s="20"/>
      <c r="Q220" s="20"/>
      <c r="R220" s="20"/>
      <c r="S220" s="20"/>
      <c r="T220" s="20"/>
      <c r="X220" s="20"/>
      <c r="Y220" s="20"/>
      <c r="Z220" s="20"/>
      <c r="AA220" s="20"/>
    </row>
    <row r="221" spans="2:27">
      <c r="B221" s="20"/>
      <c r="C221" s="20"/>
      <c r="D221" s="20"/>
      <c r="E221" s="20"/>
      <c r="F221" s="20"/>
      <c r="Q221" s="20"/>
      <c r="R221" s="20"/>
      <c r="S221" s="20"/>
      <c r="T221" s="20"/>
      <c r="X221" s="20"/>
      <c r="Y221" s="20"/>
      <c r="Z221" s="20"/>
      <c r="AA221" s="20"/>
    </row>
    <row r="222" spans="2:27">
      <c r="B222" s="20"/>
      <c r="C222" s="20"/>
      <c r="D222" s="20"/>
      <c r="E222" s="20"/>
      <c r="F222" s="20"/>
      <c r="Q222" s="20"/>
      <c r="R222" s="20"/>
      <c r="S222" s="20"/>
      <c r="T222" s="20"/>
      <c r="X222" s="20"/>
      <c r="Y222" s="20"/>
      <c r="Z222" s="20"/>
      <c r="AA222" s="20"/>
    </row>
    <row r="223" spans="2:27">
      <c r="B223" s="20"/>
      <c r="C223" s="20"/>
      <c r="D223" s="20"/>
      <c r="E223" s="20"/>
      <c r="F223" s="20"/>
      <c r="Q223" s="20"/>
      <c r="R223" s="20"/>
      <c r="S223" s="20"/>
      <c r="T223" s="20"/>
      <c r="X223" s="20"/>
      <c r="Y223" s="20"/>
      <c r="Z223" s="20"/>
      <c r="AA223" s="20"/>
    </row>
    <row r="224" spans="2:27">
      <c r="B224" s="20"/>
      <c r="C224" s="20"/>
      <c r="D224" s="20"/>
      <c r="E224" s="20"/>
      <c r="F224" s="20"/>
      <c r="Q224" s="20"/>
      <c r="R224" s="20"/>
      <c r="S224" s="20"/>
      <c r="T224" s="20"/>
      <c r="X224" s="20"/>
      <c r="Y224" s="20"/>
      <c r="Z224" s="20"/>
      <c r="AA224" s="20"/>
    </row>
    <row r="225" spans="2:27">
      <c r="B225" s="20"/>
      <c r="C225" s="20"/>
      <c r="D225" s="20"/>
      <c r="E225" s="20"/>
      <c r="F225" s="20"/>
      <c r="Q225" s="20"/>
      <c r="R225" s="20"/>
      <c r="S225" s="20"/>
      <c r="T225" s="20"/>
      <c r="X225" s="20"/>
      <c r="Y225" s="20"/>
      <c r="Z225" s="20"/>
      <c r="AA225" s="20"/>
    </row>
    <row r="226" spans="2:27">
      <c r="B226" s="20"/>
      <c r="C226" s="20"/>
      <c r="D226" s="20"/>
      <c r="E226" s="20"/>
      <c r="F226" s="20"/>
      <c r="Q226" s="20"/>
      <c r="R226" s="20"/>
      <c r="S226" s="20"/>
      <c r="T226" s="20"/>
      <c r="X226" s="20"/>
      <c r="Y226" s="20"/>
      <c r="Z226" s="20"/>
      <c r="AA226" s="20"/>
    </row>
    <row r="227" spans="2:27">
      <c r="B227" s="20"/>
      <c r="C227" s="20"/>
      <c r="D227" s="20"/>
      <c r="E227" s="20"/>
      <c r="F227" s="20"/>
      <c r="Q227" s="20"/>
      <c r="R227" s="20"/>
      <c r="S227" s="20"/>
      <c r="T227" s="20"/>
      <c r="X227" s="20"/>
      <c r="Y227" s="20"/>
      <c r="Z227" s="20"/>
      <c r="AA227" s="20"/>
    </row>
    <row r="228" spans="2:27">
      <c r="B228" s="20"/>
      <c r="C228" s="20"/>
      <c r="D228" s="20"/>
      <c r="E228" s="20"/>
      <c r="F228" s="20"/>
      <c r="Q228" s="20"/>
      <c r="R228" s="20"/>
      <c r="S228" s="20"/>
      <c r="T228" s="20"/>
      <c r="X228" s="20"/>
      <c r="Y228" s="20"/>
      <c r="Z228" s="20"/>
      <c r="AA228" s="20"/>
    </row>
    <row r="229" spans="2:27">
      <c r="B229" s="20"/>
      <c r="C229" s="20"/>
      <c r="D229" s="20"/>
      <c r="E229" s="20"/>
      <c r="F229" s="20"/>
      <c r="Q229" s="20"/>
      <c r="R229" s="20"/>
      <c r="S229" s="20"/>
      <c r="T229" s="20"/>
      <c r="X229" s="20"/>
      <c r="Y229" s="20"/>
      <c r="Z229" s="20"/>
      <c r="AA229" s="20"/>
    </row>
    <row r="230" spans="2:27">
      <c r="B230" s="20"/>
      <c r="C230" s="20"/>
      <c r="D230" s="20"/>
      <c r="E230" s="20"/>
      <c r="F230" s="20"/>
      <c r="Q230" s="20"/>
      <c r="R230" s="20"/>
      <c r="S230" s="20"/>
      <c r="T230" s="20"/>
      <c r="X230" s="20"/>
      <c r="Y230" s="20"/>
      <c r="Z230" s="20"/>
      <c r="AA230" s="20"/>
    </row>
    <row r="231" spans="2:27">
      <c r="B231" s="20"/>
      <c r="C231" s="20"/>
      <c r="D231" s="20"/>
      <c r="E231" s="20"/>
      <c r="F231" s="20"/>
      <c r="Q231" s="20"/>
      <c r="R231" s="20"/>
      <c r="S231" s="20"/>
      <c r="T231" s="20"/>
      <c r="X231" s="20"/>
      <c r="Y231" s="20"/>
      <c r="Z231" s="20"/>
      <c r="AA231" s="20"/>
    </row>
    <row r="232" spans="2:27">
      <c r="B232" s="20"/>
      <c r="C232" s="20"/>
      <c r="D232" s="20"/>
      <c r="E232" s="20"/>
      <c r="F232" s="20"/>
      <c r="Q232" s="20"/>
      <c r="R232" s="20"/>
      <c r="S232" s="20"/>
      <c r="T232" s="20"/>
      <c r="X232" s="20"/>
      <c r="Y232" s="20"/>
      <c r="Z232" s="20"/>
      <c r="AA232" s="20"/>
    </row>
    <row r="233" spans="2:27">
      <c r="B233" s="20"/>
      <c r="C233" s="20"/>
      <c r="D233" s="20"/>
      <c r="E233" s="20"/>
      <c r="F233" s="20"/>
      <c r="Q233" s="20"/>
      <c r="R233" s="20"/>
      <c r="S233" s="20"/>
      <c r="T233" s="20"/>
      <c r="X233" s="20"/>
      <c r="Y233" s="20"/>
      <c r="Z233" s="20"/>
      <c r="AA233" s="20"/>
    </row>
    <row r="234" spans="2:27">
      <c r="B234" s="20"/>
      <c r="C234" s="20"/>
      <c r="D234" s="20"/>
      <c r="E234" s="20"/>
      <c r="F234" s="20"/>
      <c r="Q234" s="20"/>
      <c r="R234" s="20"/>
      <c r="S234" s="20"/>
      <c r="T234" s="20"/>
      <c r="X234" s="20"/>
      <c r="Y234" s="20"/>
      <c r="Z234" s="20"/>
      <c r="AA234" s="20"/>
    </row>
    <row r="235" spans="2:27">
      <c r="B235" s="20"/>
      <c r="C235" s="20"/>
      <c r="D235" s="20"/>
      <c r="E235" s="20"/>
      <c r="F235" s="20"/>
      <c r="Q235" s="20"/>
      <c r="R235" s="20"/>
      <c r="S235" s="20"/>
      <c r="T235" s="20"/>
      <c r="X235" s="20"/>
      <c r="Y235" s="20"/>
      <c r="Z235" s="20"/>
      <c r="AA235" s="20"/>
    </row>
    <row r="236" spans="2:27">
      <c r="B236" s="20"/>
      <c r="C236" s="20"/>
      <c r="D236" s="20"/>
      <c r="E236" s="20"/>
      <c r="F236" s="20"/>
      <c r="Q236" s="20"/>
      <c r="R236" s="20"/>
      <c r="S236" s="20"/>
      <c r="T236" s="20"/>
      <c r="X236" s="20"/>
      <c r="Y236" s="20"/>
      <c r="Z236" s="20"/>
      <c r="AA236" s="20"/>
    </row>
    <row r="237" spans="2:27">
      <c r="B237" s="20"/>
      <c r="C237" s="20"/>
      <c r="D237" s="20"/>
      <c r="E237" s="20"/>
      <c r="F237" s="20"/>
      <c r="Q237" s="20"/>
      <c r="R237" s="20"/>
      <c r="S237" s="20"/>
      <c r="T237" s="20"/>
      <c r="X237" s="20"/>
      <c r="Y237" s="20"/>
      <c r="Z237" s="20"/>
      <c r="AA237" s="20"/>
    </row>
    <row r="238" spans="2:27">
      <c r="B238" s="20"/>
      <c r="C238" s="20"/>
      <c r="D238" s="20"/>
      <c r="E238" s="20"/>
      <c r="F238" s="20"/>
      <c r="Q238" s="20"/>
      <c r="R238" s="20"/>
      <c r="S238" s="20"/>
      <c r="T238" s="20"/>
      <c r="X238" s="20"/>
      <c r="Y238" s="20"/>
      <c r="Z238" s="20"/>
      <c r="AA238" s="20"/>
    </row>
    <row r="239" spans="2:27">
      <c r="B239" s="20"/>
      <c r="C239" s="20"/>
      <c r="D239" s="20"/>
      <c r="E239" s="20"/>
      <c r="F239" s="20"/>
      <c r="Q239" s="20"/>
      <c r="R239" s="20"/>
      <c r="S239" s="20"/>
      <c r="T239" s="20"/>
      <c r="X239" s="20"/>
      <c r="Y239" s="20"/>
      <c r="Z239" s="20"/>
      <c r="AA239" s="20"/>
    </row>
    <row r="240" spans="2:27">
      <c r="B240" s="20"/>
      <c r="C240" s="20"/>
      <c r="D240" s="20"/>
      <c r="E240" s="20"/>
      <c r="F240" s="20"/>
      <c r="Q240" s="20"/>
      <c r="R240" s="20"/>
      <c r="S240" s="20"/>
      <c r="T240" s="20"/>
      <c r="X240" s="20"/>
      <c r="Y240" s="20"/>
      <c r="Z240" s="20"/>
      <c r="AA240" s="20"/>
    </row>
    <row r="241" spans="2:27">
      <c r="B241" s="20"/>
      <c r="C241" s="20"/>
      <c r="D241" s="20"/>
      <c r="E241" s="20"/>
      <c r="F241" s="20"/>
      <c r="Q241" s="20"/>
      <c r="R241" s="20"/>
      <c r="S241" s="20"/>
      <c r="T241" s="20"/>
      <c r="X241" s="20"/>
      <c r="Y241" s="20"/>
      <c r="Z241" s="20"/>
      <c r="AA241" s="20"/>
    </row>
    <row r="242" spans="2:27">
      <c r="B242" s="20"/>
      <c r="C242" s="20"/>
      <c r="D242" s="20"/>
      <c r="E242" s="20"/>
      <c r="F242" s="20"/>
      <c r="Q242" s="20"/>
      <c r="R242" s="20"/>
      <c r="S242" s="20"/>
      <c r="T242" s="20"/>
      <c r="X242" s="20"/>
      <c r="Y242" s="20"/>
      <c r="Z242" s="20"/>
      <c r="AA242" s="20"/>
    </row>
    <row r="243" spans="2:27">
      <c r="B243" s="20"/>
      <c r="C243" s="20"/>
      <c r="D243" s="20"/>
      <c r="E243" s="20"/>
      <c r="F243" s="20"/>
      <c r="Q243" s="20"/>
      <c r="R243" s="20"/>
      <c r="S243" s="20"/>
      <c r="T243" s="20"/>
      <c r="X243" s="20"/>
      <c r="Y243" s="20"/>
      <c r="Z243" s="20"/>
      <c r="AA243" s="20"/>
    </row>
    <row r="244" spans="2:27">
      <c r="B244" s="20"/>
      <c r="C244" s="20"/>
      <c r="D244" s="20"/>
      <c r="E244" s="20"/>
      <c r="F244" s="20"/>
      <c r="Q244" s="20"/>
      <c r="R244" s="20"/>
      <c r="S244" s="20"/>
      <c r="T244" s="20"/>
      <c r="X244" s="20"/>
      <c r="Y244" s="20"/>
      <c r="Z244" s="20"/>
      <c r="AA244" s="20"/>
    </row>
    <row r="245" spans="2:27">
      <c r="B245" s="20"/>
      <c r="C245" s="20"/>
      <c r="D245" s="20"/>
      <c r="E245" s="20"/>
      <c r="F245" s="20"/>
      <c r="Q245" s="20"/>
      <c r="R245" s="20"/>
      <c r="S245" s="20"/>
      <c r="T245" s="20"/>
      <c r="X245" s="20"/>
      <c r="Y245" s="20"/>
      <c r="Z245" s="20"/>
      <c r="AA245" s="20"/>
    </row>
    <row r="246" spans="2:27">
      <c r="B246" s="20"/>
      <c r="C246" s="20"/>
      <c r="D246" s="20"/>
      <c r="E246" s="20"/>
      <c r="F246" s="20"/>
      <c r="Q246" s="20"/>
      <c r="R246" s="20"/>
      <c r="S246" s="20"/>
      <c r="T246" s="20"/>
      <c r="X246" s="20"/>
      <c r="Y246" s="20"/>
      <c r="Z246" s="20"/>
      <c r="AA246" s="20"/>
    </row>
    <row r="247" spans="2:27">
      <c r="B247" s="20"/>
      <c r="C247" s="20"/>
      <c r="D247" s="20"/>
      <c r="E247" s="20"/>
      <c r="F247" s="20"/>
      <c r="Q247" s="20"/>
      <c r="R247" s="20"/>
      <c r="S247" s="20"/>
      <c r="T247" s="20"/>
      <c r="X247" s="20"/>
      <c r="Y247" s="20"/>
      <c r="Z247" s="20"/>
      <c r="AA247" s="20"/>
    </row>
    <row r="248" spans="2:27">
      <c r="B248" s="20"/>
      <c r="C248" s="20"/>
      <c r="D248" s="20"/>
      <c r="E248" s="20"/>
      <c r="F248" s="20"/>
      <c r="Q248" s="20"/>
      <c r="R248" s="20"/>
      <c r="S248" s="20"/>
      <c r="T248" s="20"/>
      <c r="X248" s="20"/>
      <c r="Y248" s="20"/>
      <c r="Z248" s="20"/>
      <c r="AA248" s="20"/>
    </row>
    <row r="249" spans="2:27">
      <c r="B249" s="20"/>
      <c r="C249" s="20"/>
      <c r="D249" s="20"/>
      <c r="E249" s="20"/>
      <c r="F249" s="20"/>
      <c r="Q249" s="20"/>
      <c r="R249" s="20"/>
      <c r="S249" s="20"/>
      <c r="T249" s="20"/>
      <c r="X249" s="20"/>
      <c r="Y249" s="20"/>
      <c r="Z249" s="20"/>
      <c r="AA249" s="20"/>
    </row>
    <row r="250" spans="2:27">
      <c r="B250" s="20"/>
      <c r="C250" s="20"/>
      <c r="D250" s="20"/>
      <c r="E250" s="20"/>
      <c r="F250" s="20"/>
      <c r="Q250" s="20"/>
      <c r="R250" s="20"/>
      <c r="S250" s="20"/>
      <c r="T250" s="20"/>
      <c r="X250" s="20"/>
      <c r="Y250" s="20"/>
      <c r="Z250" s="20"/>
      <c r="AA250" s="20"/>
    </row>
    <row r="251" spans="2:27">
      <c r="B251" s="20"/>
      <c r="C251" s="20"/>
      <c r="D251" s="20"/>
      <c r="E251" s="20"/>
      <c r="F251" s="20"/>
      <c r="Q251" s="20"/>
      <c r="R251" s="20"/>
      <c r="S251" s="20"/>
      <c r="T251" s="20"/>
      <c r="X251" s="20"/>
      <c r="Y251" s="20"/>
      <c r="Z251" s="20"/>
      <c r="AA251" s="20"/>
    </row>
    <row r="252" spans="2:27">
      <c r="B252" s="20"/>
      <c r="C252" s="20"/>
      <c r="D252" s="20"/>
      <c r="E252" s="20"/>
      <c r="F252" s="20"/>
      <c r="Q252" s="20"/>
      <c r="R252" s="20"/>
      <c r="S252" s="20"/>
      <c r="T252" s="20"/>
      <c r="X252" s="20"/>
      <c r="Y252" s="20"/>
      <c r="Z252" s="20"/>
      <c r="AA252" s="20"/>
    </row>
    <row r="253" spans="2:27">
      <c r="B253" s="20"/>
      <c r="C253" s="20"/>
      <c r="D253" s="20"/>
      <c r="E253" s="20"/>
      <c r="F253" s="20"/>
      <c r="Q253" s="20"/>
      <c r="R253" s="20"/>
      <c r="S253" s="20"/>
      <c r="T253" s="20"/>
      <c r="X253" s="20"/>
      <c r="Y253" s="20"/>
      <c r="Z253" s="20"/>
      <c r="AA253" s="20"/>
    </row>
    <row r="254" spans="2:27">
      <c r="B254" s="20"/>
      <c r="C254" s="20"/>
      <c r="D254" s="20"/>
      <c r="E254" s="20"/>
      <c r="F254" s="20"/>
      <c r="Q254" s="20"/>
      <c r="R254" s="20"/>
      <c r="S254" s="20"/>
      <c r="T254" s="20"/>
      <c r="X254" s="20"/>
      <c r="Y254" s="20"/>
      <c r="Z254" s="20"/>
      <c r="AA254" s="20"/>
    </row>
    <row r="255" spans="2:27">
      <c r="B255" s="20"/>
      <c r="C255" s="20"/>
      <c r="D255" s="20"/>
      <c r="E255" s="20"/>
      <c r="F255" s="20"/>
      <c r="Q255" s="20"/>
      <c r="R255" s="20"/>
      <c r="S255" s="20"/>
      <c r="T255" s="20"/>
      <c r="X255" s="20"/>
      <c r="Y255" s="20"/>
      <c r="Z255" s="20"/>
      <c r="AA255" s="20"/>
    </row>
    <row r="256" spans="2:27">
      <c r="B256" s="20"/>
      <c r="C256" s="20"/>
      <c r="D256" s="20"/>
      <c r="E256" s="20"/>
      <c r="F256" s="20"/>
      <c r="Q256" s="20"/>
      <c r="R256" s="20"/>
      <c r="S256" s="20"/>
      <c r="T256" s="20"/>
      <c r="X256" s="20"/>
      <c r="Y256" s="20"/>
      <c r="Z256" s="20"/>
      <c r="AA256" s="20"/>
    </row>
    <row r="257" spans="2:27">
      <c r="B257" s="20"/>
      <c r="C257" s="20"/>
      <c r="D257" s="20"/>
      <c r="E257" s="20"/>
      <c r="F257" s="20"/>
      <c r="Q257" s="20"/>
      <c r="R257" s="20"/>
      <c r="S257" s="20"/>
      <c r="T257" s="20"/>
      <c r="X257" s="20"/>
      <c r="Y257" s="20"/>
      <c r="Z257" s="20"/>
      <c r="AA257" s="20"/>
    </row>
    <row r="258" spans="2:27">
      <c r="B258" s="20"/>
      <c r="C258" s="20"/>
      <c r="D258" s="20"/>
      <c r="E258" s="20"/>
      <c r="F258" s="20"/>
      <c r="Q258" s="20"/>
      <c r="R258" s="20"/>
      <c r="S258" s="20"/>
      <c r="T258" s="20"/>
      <c r="X258" s="20"/>
      <c r="Y258" s="20"/>
      <c r="Z258" s="20"/>
      <c r="AA258" s="20"/>
    </row>
    <row r="259" spans="2:27">
      <c r="B259" s="20"/>
      <c r="C259" s="20"/>
      <c r="D259" s="20"/>
      <c r="E259" s="20"/>
      <c r="F259" s="20"/>
      <c r="Q259" s="20"/>
      <c r="R259" s="20"/>
      <c r="S259" s="20"/>
      <c r="T259" s="20"/>
      <c r="X259" s="20"/>
      <c r="Y259" s="20"/>
      <c r="Z259" s="20"/>
      <c r="AA259" s="20"/>
    </row>
    <row r="260" spans="2:27">
      <c r="B260" s="20"/>
      <c r="C260" s="20"/>
      <c r="D260" s="20"/>
      <c r="E260" s="20"/>
      <c r="F260" s="20"/>
      <c r="Q260" s="20"/>
      <c r="R260" s="20"/>
      <c r="S260" s="20"/>
      <c r="T260" s="20"/>
      <c r="X260" s="20"/>
      <c r="Y260" s="20"/>
      <c r="Z260" s="20"/>
      <c r="AA260" s="20"/>
    </row>
    <row r="261" spans="2:27">
      <c r="B261" s="20"/>
      <c r="C261" s="20"/>
      <c r="D261" s="20"/>
      <c r="E261" s="20"/>
      <c r="F261" s="20"/>
      <c r="Q261" s="20"/>
      <c r="R261" s="20"/>
      <c r="S261" s="20"/>
      <c r="T261" s="20"/>
      <c r="X261" s="20"/>
      <c r="Y261" s="20"/>
      <c r="Z261" s="20"/>
      <c r="AA261" s="20"/>
    </row>
    <row r="262" spans="2:27">
      <c r="B262" s="20"/>
      <c r="C262" s="20"/>
      <c r="D262" s="20"/>
      <c r="E262" s="20"/>
      <c r="F262" s="20"/>
      <c r="Q262" s="20"/>
      <c r="R262" s="20"/>
      <c r="S262" s="20"/>
      <c r="T262" s="20"/>
      <c r="X262" s="20"/>
      <c r="Y262" s="20"/>
      <c r="Z262" s="20"/>
      <c r="AA262" s="20"/>
    </row>
    <row r="263" spans="2:27">
      <c r="B263" s="20"/>
      <c r="C263" s="20"/>
      <c r="D263" s="20"/>
      <c r="E263" s="20"/>
      <c r="F263" s="20"/>
      <c r="Q263" s="20"/>
      <c r="R263" s="20"/>
      <c r="S263" s="20"/>
      <c r="T263" s="20"/>
      <c r="X263" s="20"/>
      <c r="Y263" s="20"/>
      <c r="Z263" s="20"/>
      <c r="AA263" s="20"/>
    </row>
    <row r="264" spans="2:27">
      <c r="B264" s="20"/>
      <c r="C264" s="20"/>
      <c r="D264" s="20"/>
      <c r="E264" s="20"/>
      <c r="F264" s="20"/>
      <c r="Q264" s="20"/>
      <c r="R264" s="20"/>
      <c r="S264" s="20"/>
      <c r="T264" s="20"/>
      <c r="X264" s="20"/>
      <c r="Y264" s="20"/>
      <c r="Z264" s="20"/>
      <c r="AA264" s="20"/>
    </row>
    <row r="265" spans="2:27">
      <c r="B265" s="20"/>
      <c r="C265" s="20"/>
      <c r="D265" s="20"/>
      <c r="E265" s="20"/>
      <c r="F265" s="20"/>
      <c r="Q265" s="20"/>
      <c r="R265" s="20"/>
      <c r="S265" s="20"/>
      <c r="T265" s="20"/>
      <c r="X265" s="20"/>
      <c r="Y265" s="20"/>
      <c r="Z265" s="20"/>
      <c r="AA265" s="20"/>
    </row>
    <row r="266" spans="2:27">
      <c r="B266" s="20"/>
      <c r="C266" s="20"/>
      <c r="D266" s="20"/>
      <c r="E266" s="20"/>
      <c r="F266" s="20"/>
      <c r="Q266" s="20"/>
      <c r="R266" s="20"/>
      <c r="S266" s="20"/>
      <c r="T266" s="20"/>
      <c r="X266" s="20"/>
      <c r="Y266" s="20"/>
      <c r="Z266" s="20"/>
      <c r="AA266" s="20"/>
    </row>
    <row r="267" spans="2:27">
      <c r="B267" s="20"/>
      <c r="C267" s="20"/>
      <c r="D267" s="20"/>
      <c r="E267" s="20"/>
      <c r="F267" s="20"/>
      <c r="Q267" s="20"/>
      <c r="R267" s="20"/>
      <c r="S267" s="20"/>
      <c r="T267" s="20"/>
      <c r="X267" s="20"/>
      <c r="Y267" s="20"/>
      <c r="Z267" s="20"/>
      <c r="AA267" s="20"/>
    </row>
    <row r="268" spans="2:27">
      <c r="B268" s="20"/>
      <c r="C268" s="20"/>
      <c r="D268" s="20"/>
      <c r="E268" s="20"/>
      <c r="F268" s="20"/>
      <c r="Q268" s="20"/>
      <c r="R268" s="20"/>
      <c r="S268" s="20"/>
      <c r="T268" s="20"/>
      <c r="X268" s="20"/>
      <c r="Y268" s="20"/>
      <c r="Z268" s="20"/>
      <c r="AA268" s="20"/>
    </row>
    <row r="269" spans="2:27">
      <c r="B269" s="20"/>
      <c r="C269" s="20"/>
      <c r="D269" s="20"/>
      <c r="E269" s="20"/>
      <c r="F269" s="20"/>
      <c r="Q269" s="20"/>
      <c r="R269" s="20"/>
      <c r="S269" s="20"/>
      <c r="T269" s="20"/>
      <c r="X269" s="20"/>
      <c r="Y269" s="20"/>
      <c r="Z269" s="20"/>
      <c r="AA269" s="20"/>
    </row>
    <row r="270" spans="2:27">
      <c r="B270" s="20"/>
      <c r="C270" s="20"/>
      <c r="D270" s="20"/>
      <c r="E270" s="20"/>
      <c r="F270" s="20"/>
      <c r="Q270" s="20"/>
      <c r="R270" s="20"/>
      <c r="S270" s="20"/>
      <c r="T270" s="20"/>
      <c r="X270" s="20"/>
      <c r="Y270" s="20"/>
      <c r="Z270" s="20"/>
      <c r="AA270" s="20"/>
    </row>
    <row r="271" spans="2:27">
      <c r="B271" s="20"/>
      <c r="C271" s="20"/>
      <c r="D271" s="20"/>
      <c r="E271" s="20"/>
      <c r="F271" s="20"/>
      <c r="Q271" s="20"/>
      <c r="R271" s="20"/>
      <c r="S271" s="20"/>
      <c r="T271" s="20"/>
      <c r="X271" s="20"/>
      <c r="Y271" s="20"/>
      <c r="Z271" s="20"/>
      <c r="AA271" s="20"/>
    </row>
    <row r="272" spans="2:27">
      <c r="B272" s="20"/>
      <c r="C272" s="20"/>
      <c r="D272" s="20"/>
      <c r="E272" s="20"/>
      <c r="F272" s="20"/>
      <c r="Q272" s="20"/>
      <c r="R272" s="20"/>
      <c r="S272" s="20"/>
      <c r="T272" s="20"/>
      <c r="X272" s="20"/>
      <c r="Y272" s="20"/>
      <c r="Z272" s="20"/>
      <c r="AA272" s="20"/>
    </row>
    <row r="273" spans="2:27">
      <c r="B273" s="20"/>
      <c r="C273" s="20"/>
      <c r="D273" s="20"/>
      <c r="E273" s="20"/>
      <c r="F273" s="20"/>
      <c r="Q273" s="20"/>
      <c r="R273" s="20"/>
      <c r="S273" s="20"/>
      <c r="T273" s="20"/>
      <c r="X273" s="20"/>
      <c r="Y273" s="20"/>
      <c r="Z273" s="20"/>
      <c r="AA273" s="20"/>
    </row>
    <row r="274" spans="2:27">
      <c r="B274" s="20"/>
      <c r="C274" s="20"/>
      <c r="D274" s="20"/>
      <c r="E274" s="20"/>
      <c r="F274" s="20"/>
      <c r="Q274" s="20"/>
      <c r="R274" s="20"/>
      <c r="S274" s="20"/>
      <c r="T274" s="20"/>
      <c r="X274" s="20"/>
      <c r="Y274" s="20"/>
      <c r="Z274" s="20"/>
      <c r="AA274" s="20"/>
    </row>
    <row r="275" spans="2:27">
      <c r="B275" s="20"/>
      <c r="C275" s="20"/>
      <c r="D275" s="20"/>
      <c r="E275" s="20"/>
      <c r="F275" s="20"/>
      <c r="Q275" s="20"/>
      <c r="R275" s="20"/>
      <c r="S275" s="20"/>
      <c r="T275" s="20"/>
      <c r="X275" s="20"/>
      <c r="Y275" s="20"/>
      <c r="Z275" s="20"/>
      <c r="AA275" s="20"/>
    </row>
    <row r="276" spans="2:27">
      <c r="B276" s="20"/>
      <c r="C276" s="20"/>
      <c r="D276" s="20"/>
      <c r="E276" s="20"/>
      <c r="F276" s="20"/>
      <c r="Q276" s="20"/>
      <c r="R276" s="20"/>
      <c r="S276" s="20"/>
      <c r="T276" s="20"/>
      <c r="X276" s="20"/>
      <c r="Y276" s="20"/>
      <c r="Z276" s="20"/>
      <c r="AA276" s="20"/>
    </row>
    <row r="277" spans="2:27">
      <c r="B277" s="20"/>
      <c r="C277" s="20"/>
      <c r="D277" s="20"/>
      <c r="E277" s="20"/>
      <c r="F277" s="20"/>
      <c r="Q277" s="20"/>
      <c r="R277" s="20"/>
      <c r="S277" s="20"/>
      <c r="T277" s="20"/>
      <c r="X277" s="20"/>
      <c r="Y277" s="20"/>
      <c r="Z277" s="20"/>
      <c r="AA277" s="20"/>
    </row>
    <row r="278" spans="2:27">
      <c r="B278" s="20"/>
      <c r="C278" s="20"/>
      <c r="D278" s="20"/>
      <c r="E278" s="20"/>
      <c r="F278" s="20"/>
      <c r="Q278" s="20"/>
      <c r="R278" s="20"/>
      <c r="S278" s="20"/>
      <c r="T278" s="20"/>
      <c r="X278" s="20"/>
      <c r="Y278" s="20"/>
      <c r="Z278" s="20"/>
      <c r="AA278" s="20"/>
    </row>
    <row r="279" spans="2:27">
      <c r="B279" s="20"/>
      <c r="C279" s="20"/>
      <c r="D279" s="20"/>
      <c r="E279" s="20"/>
      <c r="F279" s="20"/>
      <c r="Q279" s="20"/>
      <c r="R279" s="20"/>
      <c r="S279" s="20"/>
      <c r="T279" s="20"/>
      <c r="X279" s="20"/>
      <c r="Y279" s="20"/>
      <c r="Z279" s="20"/>
      <c r="AA279" s="20"/>
    </row>
    <row r="280" spans="2:27">
      <c r="B280" s="20"/>
      <c r="C280" s="20"/>
      <c r="D280" s="20"/>
      <c r="E280" s="20"/>
      <c r="F280" s="20"/>
      <c r="Q280" s="20"/>
      <c r="R280" s="20"/>
      <c r="S280" s="20"/>
      <c r="T280" s="20"/>
      <c r="X280" s="20"/>
      <c r="Y280" s="20"/>
      <c r="Z280" s="20"/>
      <c r="AA280" s="20"/>
    </row>
    <row r="281" spans="2:27">
      <c r="B281" s="20"/>
      <c r="C281" s="20"/>
      <c r="D281" s="20"/>
      <c r="E281" s="20"/>
      <c r="F281" s="20"/>
      <c r="Q281" s="20"/>
      <c r="R281" s="20"/>
      <c r="S281" s="20"/>
      <c r="T281" s="20"/>
      <c r="X281" s="20"/>
      <c r="Y281" s="20"/>
      <c r="Z281" s="20"/>
      <c r="AA281" s="20"/>
    </row>
    <row r="282" spans="2:27">
      <c r="B282" s="20"/>
      <c r="C282" s="20"/>
      <c r="D282" s="20"/>
      <c r="E282" s="20"/>
      <c r="F282" s="20"/>
      <c r="Q282" s="20"/>
      <c r="R282" s="20"/>
      <c r="S282" s="20"/>
      <c r="T282" s="20"/>
      <c r="X282" s="20"/>
      <c r="Y282" s="20"/>
      <c r="Z282" s="20"/>
      <c r="AA282" s="20"/>
    </row>
    <row r="283" spans="2:27">
      <c r="B283" s="20"/>
      <c r="C283" s="20"/>
      <c r="D283" s="20"/>
      <c r="E283" s="20"/>
      <c r="F283" s="20"/>
      <c r="Q283" s="20"/>
      <c r="R283" s="20"/>
      <c r="S283" s="20"/>
      <c r="T283" s="20"/>
      <c r="X283" s="20"/>
      <c r="Y283" s="20"/>
      <c r="Z283" s="20"/>
      <c r="AA283" s="20"/>
    </row>
    <row r="284" spans="2:27">
      <c r="B284" s="20"/>
      <c r="C284" s="20"/>
      <c r="D284" s="20"/>
      <c r="E284" s="20"/>
      <c r="F284" s="20"/>
      <c r="Q284" s="20"/>
      <c r="R284" s="20"/>
      <c r="S284" s="20"/>
      <c r="T284" s="20"/>
      <c r="X284" s="20"/>
      <c r="Y284" s="20"/>
      <c r="Z284" s="20"/>
      <c r="AA284" s="20"/>
    </row>
    <row r="285" spans="2:27">
      <c r="B285" s="20"/>
      <c r="C285" s="20"/>
      <c r="D285" s="20"/>
      <c r="E285" s="20"/>
      <c r="F285" s="20"/>
      <c r="Q285" s="20"/>
      <c r="R285" s="20"/>
      <c r="S285" s="20"/>
      <c r="T285" s="20"/>
      <c r="X285" s="20"/>
      <c r="Y285" s="20"/>
      <c r="Z285" s="20"/>
      <c r="AA285" s="20"/>
    </row>
    <row r="286" spans="2:27">
      <c r="B286" s="20"/>
      <c r="C286" s="20"/>
      <c r="D286" s="20"/>
      <c r="E286" s="20"/>
      <c r="F286" s="20"/>
      <c r="Q286" s="20"/>
      <c r="R286" s="20"/>
      <c r="S286" s="20"/>
      <c r="T286" s="20"/>
      <c r="X286" s="20"/>
      <c r="Y286" s="20"/>
      <c r="Z286" s="20"/>
      <c r="AA286" s="20"/>
    </row>
    <row r="287" spans="2:27">
      <c r="B287" s="20"/>
      <c r="C287" s="20"/>
      <c r="D287" s="20"/>
      <c r="E287" s="20"/>
      <c r="F287" s="20"/>
      <c r="Q287" s="20"/>
      <c r="R287" s="20"/>
      <c r="S287" s="20"/>
      <c r="T287" s="20"/>
      <c r="X287" s="20"/>
      <c r="Y287" s="20"/>
      <c r="Z287" s="20"/>
      <c r="AA287" s="20"/>
    </row>
    <row r="288" spans="2:27">
      <c r="B288" s="20"/>
      <c r="C288" s="20"/>
      <c r="D288" s="20"/>
      <c r="E288" s="20"/>
      <c r="F288" s="20"/>
      <c r="X288" s="20"/>
      <c r="Y288" s="20"/>
      <c r="Z288" s="20"/>
      <c r="AA288" s="20"/>
    </row>
    <row r="289" spans="2:27">
      <c r="B289" s="20"/>
      <c r="C289" s="20"/>
      <c r="D289" s="20"/>
      <c r="E289" s="20"/>
      <c r="F289" s="20"/>
      <c r="X289" s="20"/>
      <c r="Y289" s="20"/>
      <c r="Z289" s="20"/>
      <c r="AA289" s="20"/>
    </row>
    <row r="290" spans="2:27">
      <c r="B290" s="20"/>
      <c r="C290" s="20"/>
      <c r="D290" s="20"/>
      <c r="E290" s="20"/>
      <c r="F290" s="20"/>
    </row>
    <row r="291" spans="2:27">
      <c r="B291" s="20"/>
      <c r="C291" s="20"/>
      <c r="D291" s="20"/>
      <c r="E291" s="20"/>
      <c r="F291" s="20"/>
    </row>
    <row r="292" spans="2:27">
      <c r="B292" s="20"/>
      <c r="C292" s="20"/>
      <c r="D292" s="20"/>
      <c r="E292" s="20"/>
      <c r="F292" s="20"/>
    </row>
    <row r="293" spans="2:27">
      <c r="B293" s="20"/>
      <c r="C293" s="20"/>
      <c r="D293" s="20"/>
      <c r="E293" s="20"/>
      <c r="F293" s="20"/>
    </row>
    <row r="294" spans="2:27">
      <c r="B294" s="20"/>
      <c r="C294" s="20"/>
      <c r="D294" s="20"/>
      <c r="E294" s="20"/>
      <c r="F294" s="20"/>
    </row>
    <row r="295" spans="2:27">
      <c r="B295" s="20"/>
      <c r="C295" s="20"/>
      <c r="D295" s="20"/>
      <c r="E295" s="20"/>
      <c r="F295" s="20"/>
    </row>
  </sheetData>
  <mergeCells count="5">
    <mergeCell ref="J26:K26"/>
    <mergeCell ref="L26:M26"/>
    <mergeCell ref="X10:Z10"/>
    <mergeCell ref="AB10:AD10"/>
    <mergeCell ref="R27:T27"/>
  </mergeCells>
  <pageMargins left="0" right="0" top="0.39370078740157483" bottom="0.39370078740157483" header="0" footer="0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137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Nowak</dc:creator>
  <cp:lastModifiedBy>Mikołaj Nowak (280082)</cp:lastModifiedBy>
  <cp:revision>3</cp:revision>
  <dcterms:created xsi:type="dcterms:W3CDTF">2024-04-05T15:26:14Z</dcterms:created>
  <dcterms:modified xsi:type="dcterms:W3CDTF">2024-04-19T00:51:43Z</dcterms:modified>
</cp:coreProperties>
</file>