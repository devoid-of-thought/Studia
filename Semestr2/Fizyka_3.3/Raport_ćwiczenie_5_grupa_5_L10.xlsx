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brane Opera\"/>
    </mc:Choice>
  </mc:AlternateContent>
  <xr:revisionPtr revIDLastSave="0" documentId="8_{0291B41E-FB94-4F74-8F0A-CEC0CD072FD3}" xr6:coauthVersionLast="47" xr6:coauthVersionMax="47" xr10:uidLastSave="{00000000-0000-0000-0000-000000000000}"/>
  <bookViews>
    <workbookView xWindow="-120" yWindow="-120" windowWidth="29040" windowHeight="16440" activeTab="1" xr2:uid="{011B6FB2-CC7A-4F91-AEE8-7110946565CC}"/>
  </bookViews>
  <sheets>
    <sheet name="1" sheetId="4" r:id="rId1"/>
    <sheet name="2" sheetId="2" r:id="rId2"/>
    <sheet name="3" sheetId="5" r:id="rId3"/>
    <sheet name="Wnioski" sheetId="6" r:id="rId4"/>
  </sheets>
  <definedNames>
    <definedName name="ExternalData_1" localSheetId="0" hidden="1">'1'!#REF!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4" l="1"/>
  <c r="L46" i="4"/>
  <c r="L42" i="4"/>
  <c r="L43" i="4"/>
  <c r="T21" i="2"/>
  <c r="W7" i="2"/>
  <c r="W8" i="2"/>
  <c r="W9" i="2"/>
  <c r="W10" i="2"/>
  <c r="W11" i="2"/>
  <c r="W6" i="2"/>
  <c r="G50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11" i="4"/>
  <c r="G15" i="4"/>
  <c r="G16" i="4"/>
  <c r="G23" i="4"/>
  <c r="G24" i="4"/>
  <c r="G31" i="4"/>
  <c r="G32" i="4"/>
  <c r="G39" i="4"/>
  <c r="G40" i="4"/>
  <c r="G47" i="4"/>
  <c r="G48" i="4"/>
  <c r="G55" i="4"/>
  <c r="G56" i="4"/>
  <c r="G63" i="4"/>
  <c r="G64" i="4"/>
  <c r="G71" i="4"/>
  <c r="G72" i="4"/>
  <c r="G79" i="4"/>
  <c r="G80" i="4"/>
  <c r="G87" i="4"/>
  <c r="G88" i="4"/>
  <c r="G95" i="4"/>
  <c r="G96" i="4"/>
  <c r="G103" i="4"/>
  <c r="G104" i="4"/>
  <c r="G111" i="4"/>
  <c r="G112" i="4"/>
  <c r="G119" i="4"/>
  <c r="G120" i="4"/>
  <c r="G127" i="4"/>
  <c r="G128" i="4"/>
  <c r="G135" i="4"/>
  <c r="G136" i="4"/>
  <c r="G143" i="4"/>
  <c r="G144" i="4"/>
  <c r="G151" i="4"/>
  <c r="G152" i="4"/>
  <c r="G159" i="4"/>
  <c r="G160" i="4"/>
  <c r="G167" i="4"/>
  <c r="G168" i="4"/>
  <c r="G175" i="4"/>
  <c r="G176" i="4"/>
  <c r="G183" i="4"/>
  <c r="G184" i="4"/>
  <c r="G191" i="4"/>
  <c r="G192" i="4"/>
  <c r="G199" i="4"/>
  <c r="G200" i="4"/>
  <c r="G207" i="4"/>
  <c r="G208" i="4"/>
  <c r="G215" i="4"/>
  <c r="G216" i="4"/>
  <c r="G223" i="4"/>
  <c r="G224" i="4"/>
  <c r="G231" i="4"/>
  <c r="G232" i="4"/>
  <c r="G239" i="4"/>
  <c r="G240" i="4"/>
  <c r="G247" i="4"/>
  <c r="G248" i="4"/>
  <c r="G255" i="4"/>
  <c r="G256" i="4"/>
  <c r="G263" i="4"/>
  <c r="G264" i="4"/>
  <c r="G271" i="4"/>
  <c r="G272" i="4"/>
  <c r="G279" i="4"/>
  <c r="G280" i="4"/>
  <c r="G287" i="4"/>
  <c r="G288" i="4"/>
  <c r="G295" i="4"/>
  <c r="G296" i="4"/>
  <c r="G303" i="4"/>
  <c r="G304" i="4"/>
  <c r="G311" i="4"/>
  <c r="G312" i="4"/>
  <c r="G319" i="4"/>
  <c r="G320" i="4"/>
  <c r="G327" i="4"/>
  <c r="G328" i="4"/>
  <c r="G335" i="4"/>
  <c r="G336" i="4"/>
  <c r="G343" i="4"/>
  <c r="G344" i="4"/>
  <c r="G351" i="4"/>
  <c r="G352" i="4"/>
  <c r="G359" i="4"/>
  <c r="G360" i="4"/>
  <c r="G367" i="4"/>
  <c r="G368" i="4"/>
  <c r="G375" i="4"/>
  <c r="G376" i="4"/>
  <c r="G383" i="4"/>
  <c r="G384" i="4"/>
  <c r="G391" i="4"/>
  <c r="G392" i="4"/>
  <c r="G399" i="4"/>
  <c r="G400" i="4"/>
  <c r="G407" i="4"/>
  <c r="G408" i="4"/>
  <c r="G415" i="4"/>
  <c r="G416" i="4"/>
  <c r="G423" i="4"/>
  <c r="G424" i="4"/>
  <c r="G431" i="4"/>
  <c r="G432" i="4"/>
  <c r="G439" i="4"/>
  <c r="G440" i="4"/>
  <c r="G447" i="4"/>
  <c r="G448" i="4"/>
  <c r="G455" i="4"/>
  <c r="G456" i="4"/>
  <c r="G463" i="4"/>
  <c r="G464" i="4"/>
  <c r="G471" i="4"/>
  <c r="G472" i="4"/>
  <c r="G479" i="4"/>
  <c r="G480" i="4"/>
  <c r="G487" i="4"/>
  <c r="G488" i="4"/>
  <c r="G495" i="4"/>
  <c r="G496" i="4"/>
  <c r="G503" i="4"/>
  <c r="G504" i="4"/>
  <c r="G511" i="4"/>
  <c r="G512" i="4"/>
  <c r="G519" i="4"/>
  <c r="G520" i="4"/>
  <c r="G527" i="4"/>
  <c r="G528" i="4"/>
  <c r="G535" i="4"/>
  <c r="G536" i="4"/>
  <c r="G543" i="4"/>
  <c r="G544" i="4"/>
  <c r="E12" i="4"/>
  <c r="G12" i="4" s="1"/>
  <c r="E13" i="4"/>
  <c r="G13" i="4" s="1"/>
  <c r="E14" i="4"/>
  <c r="G14" i="4" s="1"/>
  <c r="E15" i="4"/>
  <c r="E16" i="4"/>
  <c r="E17" i="4"/>
  <c r="G17" i="4" s="1"/>
  <c r="E18" i="4"/>
  <c r="G18" i="4" s="1"/>
  <c r="E19" i="4"/>
  <c r="G19" i="4" s="1"/>
  <c r="E20" i="4"/>
  <c r="G20" i="4" s="1"/>
  <c r="E21" i="4"/>
  <c r="G21" i="4" s="1"/>
  <c r="E22" i="4"/>
  <c r="G22" i="4" s="1"/>
  <c r="E23" i="4"/>
  <c r="E24" i="4"/>
  <c r="E25" i="4"/>
  <c r="G25" i="4" s="1"/>
  <c r="E26" i="4"/>
  <c r="G26" i="4" s="1"/>
  <c r="E27" i="4"/>
  <c r="G27" i="4" s="1"/>
  <c r="E28" i="4"/>
  <c r="G28" i="4" s="1"/>
  <c r="E29" i="4"/>
  <c r="G29" i="4" s="1"/>
  <c r="E30" i="4"/>
  <c r="G30" i="4" s="1"/>
  <c r="E31" i="4"/>
  <c r="E32" i="4"/>
  <c r="E33" i="4"/>
  <c r="G33" i="4" s="1"/>
  <c r="E34" i="4"/>
  <c r="G34" i="4" s="1"/>
  <c r="E35" i="4"/>
  <c r="G35" i="4" s="1"/>
  <c r="E36" i="4"/>
  <c r="G36" i="4" s="1"/>
  <c r="E37" i="4"/>
  <c r="G37" i="4" s="1"/>
  <c r="E38" i="4"/>
  <c r="G38" i="4" s="1"/>
  <c r="E39" i="4"/>
  <c r="E40" i="4"/>
  <c r="E41" i="4"/>
  <c r="G41" i="4" s="1"/>
  <c r="E42" i="4"/>
  <c r="G42" i="4" s="1"/>
  <c r="E43" i="4"/>
  <c r="G43" i="4" s="1"/>
  <c r="E44" i="4"/>
  <c r="G44" i="4" s="1"/>
  <c r="E45" i="4"/>
  <c r="G45" i="4" s="1"/>
  <c r="E46" i="4"/>
  <c r="G46" i="4" s="1"/>
  <c r="E47" i="4"/>
  <c r="E48" i="4"/>
  <c r="E49" i="4"/>
  <c r="G49" i="4" s="1"/>
  <c r="E50" i="4"/>
  <c r="G50" i="4" s="1"/>
  <c r="E51" i="4"/>
  <c r="G51" i="4" s="1"/>
  <c r="E52" i="4"/>
  <c r="G52" i="4" s="1"/>
  <c r="E53" i="4"/>
  <c r="G53" i="4" s="1"/>
  <c r="E54" i="4"/>
  <c r="G54" i="4" s="1"/>
  <c r="E55" i="4"/>
  <c r="E56" i="4"/>
  <c r="E57" i="4"/>
  <c r="G57" i="4" s="1"/>
  <c r="E58" i="4"/>
  <c r="G58" i="4" s="1"/>
  <c r="E59" i="4"/>
  <c r="G59" i="4" s="1"/>
  <c r="E60" i="4"/>
  <c r="G60" i="4" s="1"/>
  <c r="E61" i="4"/>
  <c r="G61" i="4" s="1"/>
  <c r="E62" i="4"/>
  <c r="G62" i="4" s="1"/>
  <c r="E63" i="4"/>
  <c r="E64" i="4"/>
  <c r="E65" i="4"/>
  <c r="G65" i="4" s="1"/>
  <c r="E66" i="4"/>
  <c r="G66" i="4" s="1"/>
  <c r="E67" i="4"/>
  <c r="G67" i="4" s="1"/>
  <c r="E68" i="4"/>
  <c r="G68" i="4" s="1"/>
  <c r="E69" i="4"/>
  <c r="G69" i="4" s="1"/>
  <c r="E70" i="4"/>
  <c r="G70" i="4" s="1"/>
  <c r="E71" i="4"/>
  <c r="E72" i="4"/>
  <c r="E73" i="4"/>
  <c r="G73" i="4" s="1"/>
  <c r="E74" i="4"/>
  <c r="G74" i="4" s="1"/>
  <c r="E75" i="4"/>
  <c r="G75" i="4" s="1"/>
  <c r="E76" i="4"/>
  <c r="G76" i="4" s="1"/>
  <c r="E77" i="4"/>
  <c r="G77" i="4" s="1"/>
  <c r="E78" i="4"/>
  <c r="G78" i="4" s="1"/>
  <c r="E79" i="4"/>
  <c r="E80" i="4"/>
  <c r="E81" i="4"/>
  <c r="G81" i="4" s="1"/>
  <c r="E82" i="4"/>
  <c r="G82" i="4" s="1"/>
  <c r="E83" i="4"/>
  <c r="G83" i="4" s="1"/>
  <c r="E84" i="4"/>
  <c r="G84" i="4" s="1"/>
  <c r="E85" i="4"/>
  <c r="G85" i="4" s="1"/>
  <c r="E86" i="4"/>
  <c r="G86" i="4" s="1"/>
  <c r="E87" i="4"/>
  <c r="E88" i="4"/>
  <c r="E89" i="4"/>
  <c r="G89" i="4" s="1"/>
  <c r="E90" i="4"/>
  <c r="G90" i="4" s="1"/>
  <c r="E91" i="4"/>
  <c r="G91" i="4" s="1"/>
  <c r="E92" i="4"/>
  <c r="G92" i="4" s="1"/>
  <c r="E93" i="4"/>
  <c r="G93" i="4" s="1"/>
  <c r="E94" i="4"/>
  <c r="G94" i="4" s="1"/>
  <c r="E95" i="4"/>
  <c r="E96" i="4"/>
  <c r="E97" i="4"/>
  <c r="G97" i="4" s="1"/>
  <c r="E98" i="4"/>
  <c r="G98" i="4" s="1"/>
  <c r="E99" i="4"/>
  <c r="G99" i="4" s="1"/>
  <c r="E100" i="4"/>
  <c r="G100" i="4" s="1"/>
  <c r="E101" i="4"/>
  <c r="G101" i="4" s="1"/>
  <c r="E102" i="4"/>
  <c r="G102" i="4" s="1"/>
  <c r="E103" i="4"/>
  <c r="E104" i="4"/>
  <c r="E105" i="4"/>
  <c r="G105" i="4" s="1"/>
  <c r="E106" i="4"/>
  <c r="G106" i="4" s="1"/>
  <c r="E107" i="4"/>
  <c r="G107" i="4" s="1"/>
  <c r="E108" i="4"/>
  <c r="G108" i="4" s="1"/>
  <c r="E109" i="4"/>
  <c r="G109" i="4" s="1"/>
  <c r="E110" i="4"/>
  <c r="G110" i="4" s="1"/>
  <c r="E111" i="4"/>
  <c r="E112" i="4"/>
  <c r="E113" i="4"/>
  <c r="G113" i="4" s="1"/>
  <c r="E114" i="4"/>
  <c r="G114" i="4" s="1"/>
  <c r="E115" i="4"/>
  <c r="G115" i="4" s="1"/>
  <c r="E116" i="4"/>
  <c r="G116" i="4" s="1"/>
  <c r="E117" i="4"/>
  <c r="G117" i="4" s="1"/>
  <c r="E118" i="4"/>
  <c r="G118" i="4" s="1"/>
  <c r="E119" i="4"/>
  <c r="E120" i="4"/>
  <c r="E121" i="4"/>
  <c r="G121" i="4" s="1"/>
  <c r="E122" i="4"/>
  <c r="G122" i="4" s="1"/>
  <c r="E123" i="4"/>
  <c r="G123" i="4" s="1"/>
  <c r="E124" i="4"/>
  <c r="G124" i="4" s="1"/>
  <c r="E125" i="4"/>
  <c r="G125" i="4" s="1"/>
  <c r="E126" i="4"/>
  <c r="G126" i="4" s="1"/>
  <c r="E127" i="4"/>
  <c r="E128" i="4"/>
  <c r="E129" i="4"/>
  <c r="G129" i="4" s="1"/>
  <c r="E130" i="4"/>
  <c r="G130" i="4" s="1"/>
  <c r="E131" i="4"/>
  <c r="G131" i="4" s="1"/>
  <c r="E132" i="4"/>
  <c r="G132" i="4" s="1"/>
  <c r="E133" i="4"/>
  <c r="G133" i="4" s="1"/>
  <c r="E134" i="4"/>
  <c r="G134" i="4" s="1"/>
  <c r="E135" i="4"/>
  <c r="E136" i="4"/>
  <c r="E137" i="4"/>
  <c r="G137" i="4" s="1"/>
  <c r="E138" i="4"/>
  <c r="G138" i="4" s="1"/>
  <c r="E139" i="4"/>
  <c r="G139" i="4" s="1"/>
  <c r="E140" i="4"/>
  <c r="G140" i="4" s="1"/>
  <c r="E141" i="4"/>
  <c r="G141" i="4" s="1"/>
  <c r="E142" i="4"/>
  <c r="G142" i="4" s="1"/>
  <c r="E143" i="4"/>
  <c r="E144" i="4"/>
  <c r="E145" i="4"/>
  <c r="G145" i="4" s="1"/>
  <c r="E146" i="4"/>
  <c r="G146" i="4" s="1"/>
  <c r="E147" i="4"/>
  <c r="G147" i="4" s="1"/>
  <c r="E148" i="4"/>
  <c r="G148" i="4" s="1"/>
  <c r="E149" i="4"/>
  <c r="G149" i="4" s="1"/>
  <c r="E150" i="4"/>
  <c r="G150" i="4" s="1"/>
  <c r="E151" i="4"/>
  <c r="E152" i="4"/>
  <c r="E153" i="4"/>
  <c r="G153" i="4" s="1"/>
  <c r="E154" i="4"/>
  <c r="G154" i="4" s="1"/>
  <c r="E155" i="4"/>
  <c r="G155" i="4" s="1"/>
  <c r="E156" i="4"/>
  <c r="G156" i="4" s="1"/>
  <c r="E157" i="4"/>
  <c r="G157" i="4" s="1"/>
  <c r="E158" i="4"/>
  <c r="G158" i="4" s="1"/>
  <c r="E159" i="4"/>
  <c r="E160" i="4"/>
  <c r="E161" i="4"/>
  <c r="G161" i="4" s="1"/>
  <c r="E162" i="4"/>
  <c r="G162" i="4" s="1"/>
  <c r="E163" i="4"/>
  <c r="G163" i="4" s="1"/>
  <c r="E164" i="4"/>
  <c r="G164" i="4" s="1"/>
  <c r="E165" i="4"/>
  <c r="G165" i="4" s="1"/>
  <c r="E166" i="4"/>
  <c r="G166" i="4" s="1"/>
  <c r="E167" i="4"/>
  <c r="E168" i="4"/>
  <c r="E169" i="4"/>
  <c r="G169" i="4" s="1"/>
  <c r="E170" i="4"/>
  <c r="G170" i="4" s="1"/>
  <c r="E171" i="4"/>
  <c r="G171" i="4" s="1"/>
  <c r="E172" i="4"/>
  <c r="G172" i="4" s="1"/>
  <c r="E173" i="4"/>
  <c r="G173" i="4" s="1"/>
  <c r="E174" i="4"/>
  <c r="G174" i="4" s="1"/>
  <c r="E175" i="4"/>
  <c r="E176" i="4"/>
  <c r="E177" i="4"/>
  <c r="G177" i="4" s="1"/>
  <c r="E178" i="4"/>
  <c r="G178" i="4" s="1"/>
  <c r="E179" i="4"/>
  <c r="G179" i="4" s="1"/>
  <c r="E180" i="4"/>
  <c r="G180" i="4" s="1"/>
  <c r="E181" i="4"/>
  <c r="G181" i="4" s="1"/>
  <c r="E182" i="4"/>
  <c r="G182" i="4" s="1"/>
  <c r="E183" i="4"/>
  <c r="E184" i="4"/>
  <c r="E185" i="4"/>
  <c r="G185" i="4" s="1"/>
  <c r="E186" i="4"/>
  <c r="G186" i="4" s="1"/>
  <c r="E187" i="4"/>
  <c r="G187" i="4" s="1"/>
  <c r="E188" i="4"/>
  <c r="G188" i="4" s="1"/>
  <c r="E189" i="4"/>
  <c r="G189" i="4" s="1"/>
  <c r="E190" i="4"/>
  <c r="G190" i="4" s="1"/>
  <c r="E191" i="4"/>
  <c r="E192" i="4"/>
  <c r="E193" i="4"/>
  <c r="G193" i="4" s="1"/>
  <c r="E194" i="4"/>
  <c r="G194" i="4" s="1"/>
  <c r="E195" i="4"/>
  <c r="G195" i="4" s="1"/>
  <c r="E196" i="4"/>
  <c r="G196" i="4" s="1"/>
  <c r="E197" i="4"/>
  <c r="G197" i="4" s="1"/>
  <c r="E198" i="4"/>
  <c r="G198" i="4" s="1"/>
  <c r="E199" i="4"/>
  <c r="E200" i="4"/>
  <c r="E201" i="4"/>
  <c r="G201" i="4" s="1"/>
  <c r="E202" i="4"/>
  <c r="G202" i="4" s="1"/>
  <c r="E203" i="4"/>
  <c r="G203" i="4" s="1"/>
  <c r="E204" i="4"/>
  <c r="G204" i="4" s="1"/>
  <c r="E205" i="4"/>
  <c r="G205" i="4" s="1"/>
  <c r="E206" i="4"/>
  <c r="G206" i="4" s="1"/>
  <c r="E207" i="4"/>
  <c r="E208" i="4"/>
  <c r="E209" i="4"/>
  <c r="G209" i="4" s="1"/>
  <c r="E210" i="4"/>
  <c r="G210" i="4" s="1"/>
  <c r="E211" i="4"/>
  <c r="G211" i="4" s="1"/>
  <c r="E212" i="4"/>
  <c r="G212" i="4" s="1"/>
  <c r="E213" i="4"/>
  <c r="G213" i="4" s="1"/>
  <c r="E214" i="4"/>
  <c r="G214" i="4" s="1"/>
  <c r="E215" i="4"/>
  <c r="E216" i="4"/>
  <c r="E217" i="4"/>
  <c r="G217" i="4" s="1"/>
  <c r="E218" i="4"/>
  <c r="G218" i="4" s="1"/>
  <c r="E219" i="4"/>
  <c r="G219" i="4" s="1"/>
  <c r="E220" i="4"/>
  <c r="G220" i="4" s="1"/>
  <c r="E221" i="4"/>
  <c r="G221" i="4" s="1"/>
  <c r="E222" i="4"/>
  <c r="G222" i="4" s="1"/>
  <c r="E223" i="4"/>
  <c r="E224" i="4"/>
  <c r="E225" i="4"/>
  <c r="G225" i="4" s="1"/>
  <c r="E226" i="4"/>
  <c r="G226" i="4" s="1"/>
  <c r="E227" i="4"/>
  <c r="G227" i="4" s="1"/>
  <c r="E228" i="4"/>
  <c r="G228" i="4" s="1"/>
  <c r="E229" i="4"/>
  <c r="G229" i="4" s="1"/>
  <c r="E230" i="4"/>
  <c r="G230" i="4" s="1"/>
  <c r="E231" i="4"/>
  <c r="E232" i="4"/>
  <c r="E233" i="4"/>
  <c r="G233" i="4" s="1"/>
  <c r="E234" i="4"/>
  <c r="G234" i="4" s="1"/>
  <c r="E235" i="4"/>
  <c r="G235" i="4" s="1"/>
  <c r="E236" i="4"/>
  <c r="G236" i="4" s="1"/>
  <c r="E237" i="4"/>
  <c r="G237" i="4" s="1"/>
  <c r="E238" i="4"/>
  <c r="G238" i="4" s="1"/>
  <c r="E239" i="4"/>
  <c r="E240" i="4"/>
  <c r="E241" i="4"/>
  <c r="G241" i="4" s="1"/>
  <c r="E242" i="4"/>
  <c r="G242" i="4" s="1"/>
  <c r="E243" i="4"/>
  <c r="G243" i="4" s="1"/>
  <c r="E244" i="4"/>
  <c r="G244" i="4" s="1"/>
  <c r="E245" i="4"/>
  <c r="G245" i="4" s="1"/>
  <c r="E246" i="4"/>
  <c r="G246" i="4" s="1"/>
  <c r="E247" i="4"/>
  <c r="E248" i="4"/>
  <c r="E249" i="4"/>
  <c r="G249" i="4" s="1"/>
  <c r="E250" i="4"/>
  <c r="G250" i="4" s="1"/>
  <c r="E251" i="4"/>
  <c r="G251" i="4" s="1"/>
  <c r="E252" i="4"/>
  <c r="G252" i="4" s="1"/>
  <c r="E253" i="4"/>
  <c r="G253" i="4" s="1"/>
  <c r="E254" i="4"/>
  <c r="G254" i="4" s="1"/>
  <c r="E255" i="4"/>
  <c r="E256" i="4"/>
  <c r="E257" i="4"/>
  <c r="G257" i="4" s="1"/>
  <c r="E258" i="4"/>
  <c r="G258" i="4" s="1"/>
  <c r="E259" i="4"/>
  <c r="G259" i="4" s="1"/>
  <c r="E260" i="4"/>
  <c r="G260" i="4" s="1"/>
  <c r="E261" i="4"/>
  <c r="G261" i="4" s="1"/>
  <c r="E262" i="4"/>
  <c r="G262" i="4" s="1"/>
  <c r="E263" i="4"/>
  <c r="E264" i="4"/>
  <c r="E265" i="4"/>
  <c r="G265" i="4" s="1"/>
  <c r="E266" i="4"/>
  <c r="G266" i="4" s="1"/>
  <c r="E267" i="4"/>
  <c r="G267" i="4" s="1"/>
  <c r="E268" i="4"/>
  <c r="G268" i="4" s="1"/>
  <c r="E269" i="4"/>
  <c r="G269" i="4" s="1"/>
  <c r="E270" i="4"/>
  <c r="G270" i="4" s="1"/>
  <c r="E271" i="4"/>
  <c r="E272" i="4"/>
  <c r="E273" i="4"/>
  <c r="G273" i="4" s="1"/>
  <c r="E274" i="4"/>
  <c r="G274" i="4" s="1"/>
  <c r="E275" i="4"/>
  <c r="G275" i="4" s="1"/>
  <c r="E276" i="4"/>
  <c r="G276" i="4" s="1"/>
  <c r="E277" i="4"/>
  <c r="G277" i="4" s="1"/>
  <c r="E278" i="4"/>
  <c r="G278" i="4" s="1"/>
  <c r="E279" i="4"/>
  <c r="E280" i="4"/>
  <c r="E281" i="4"/>
  <c r="G281" i="4" s="1"/>
  <c r="E282" i="4"/>
  <c r="G282" i="4" s="1"/>
  <c r="E283" i="4"/>
  <c r="G283" i="4" s="1"/>
  <c r="E284" i="4"/>
  <c r="G284" i="4" s="1"/>
  <c r="E285" i="4"/>
  <c r="G285" i="4" s="1"/>
  <c r="E286" i="4"/>
  <c r="G286" i="4" s="1"/>
  <c r="E287" i="4"/>
  <c r="E288" i="4"/>
  <c r="E289" i="4"/>
  <c r="G289" i="4" s="1"/>
  <c r="E290" i="4"/>
  <c r="G290" i="4" s="1"/>
  <c r="E291" i="4"/>
  <c r="G291" i="4" s="1"/>
  <c r="E292" i="4"/>
  <c r="G292" i="4" s="1"/>
  <c r="E293" i="4"/>
  <c r="G293" i="4" s="1"/>
  <c r="E294" i="4"/>
  <c r="G294" i="4" s="1"/>
  <c r="E295" i="4"/>
  <c r="E296" i="4"/>
  <c r="E297" i="4"/>
  <c r="G297" i="4" s="1"/>
  <c r="E298" i="4"/>
  <c r="G298" i="4" s="1"/>
  <c r="E299" i="4"/>
  <c r="G299" i="4" s="1"/>
  <c r="E300" i="4"/>
  <c r="G300" i="4" s="1"/>
  <c r="E301" i="4"/>
  <c r="G301" i="4" s="1"/>
  <c r="E302" i="4"/>
  <c r="G302" i="4" s="1"/>
  <c r="E303" i="4"/>
  <c r="E304" i="4"/>
  <c r="E305" i="4"/>
  <c r="G305" i="4" s="1"/>
  <c r="E306" i="4"/>
  <c r="G306" i="4" s="1"/>
  <c r="E307" i="4"/>
  <c r="G307" i="4" s="1"/>
  <c r="E308" i="4"/>
  <c r="G308" i="4" s="1"/>
  <c r="E309" i="4"/>
  <c r="G309" i="4" s="1"/>
  <c r="E310" i="4"/>
  <c r="G310" i="4" s="1"/>
  <c r="E311" i="4"/>
  <c r="E312" i="4"/>
  <c r="E313" i="4"/>
  <c r="G313" i="4" s="1"/>
  <c r="E314" i="4"/>
  <c r="G314" i="4" s="1"/>
  <c r="E315" i="4"/>
  <c r="G315" i="4" s="1"/>
  <c r="E316" i="4"/>
  <c r="G316" i="4" s="1"/>
  <c r="E317" i="4"/>
  <c r="G317" i="4" s="1"/>
  <c r="E318" i="4"/>
  <c r="G318" i="4" s="1"/>
  <c r="E319" i="4"/>
  <c r="E320" i="4"/>
  <c r="E321" i="4"/>
  <c r="G321" i="4" s="1"/>
  <c r="E322" i="4"/>
  <c r="G322" i="4" s="1"/>
  <c r="E323" i="4"/>
  <c r="G323" i="4" s="1"/>
  <c r="E324" i="4"/>
  <c r="G324" i="4" s="1"/>
  <c r="E325" i="4"/>
  <c r="G325" i="4" s="1"/>
  <c r="E326" i="4"/>
  <c r="G326" i="4" s="1"/>
  <c r="E327" i="4"/>
  <c r="E328" i="4"/>
  <c r="E329" i="4"/>
  <c r="G329" i="4" s="1"/>
  <c r="E330" i="4"/>
  <c r="G330" i="4" s="1"/>
  <c r="E331" i="4"/>
  <c r="G331" i="4" s="1"/>
  <c r="E332" i="4"/>
  <c r="G332" i="4" s="1"/>
  <c r="E333" i="4"/>
  <c r="G333" i="4" s="1"/>
  <c r="E334" i="4"/>
  <c r="G334" i="4" s="1"/>
  <c r="E335" i="4"/>
  <c r="E336" i="4"/>
  <c r="E337" i="4"/>
  <c r="G337" i="4" s="1"/>
  <c r="E338" i="4"/>
  <c r="G338" i="4" s="1"/>
  <c r="E339" i="4"/>
  <c r="G339" i="4" s="1"/>
  <c r="E340" i="4"/>
  <c r="G340" i="4" s="1"/>
  <c r="E341" i="4"/>
  <c r="G341" i="4" s="1"/>
  <c r="E342" i="4"/>
  <c r="G342" i="4" s="1"/>
  <c r="E343" i="4"/>
  <c r="E344" i="4"/>
  <c r="E345" i="4"/>
  <c r="G345" i="4" s="1"/>
  <c r="E346" i="4"/>
  <c r="G346" i="4" s="1"/>
  <c r="E347" i="4"/>
  <c r="G347" i="4" s="1"/>
  <c r="E348" i="4"/>
  <c r="G348" i="4" s="1"/>
  <c r="E349" i="4"/>
  <c r="G349" i="4" s="1"/>
  <c r="E350" i="4"/>
  <c r="G350" i="4" s="1"/>
  <c r="E351" i="4"/>
  <c r="E352" i="4"/>
  <c r="E353" i="4"/>
  <c r="G353" i="4" s="1"/>
  <c r="E354" i="4"/>
  <c r="G354" i="4" s="1"/>
  <c r="E355" i="4"/>
  <c r="G355" i="4" s="1"/>
  <c r="E356" i="4"/>
  <c r="G356" i="4" s="1"/>
  <c r="E357" i="4"/>
  <c r="G357" i="4" s="1"/>
  <c r="E358" i="4"/>
  <c r="G358" i="4" s="1"/>
  <c r="E359" i="4"/>
  <c r="E360" i="4"/>
  <c r="E361" i="4"/>
  <c r="G361" i="4" s="1"/>
  <c r="E362" i="4"/>
  <c r="G362" i="4" s="1"/>
  <c r="E363" i="4"/>
  <c r="G363" i="4" s="1"/>
  <c r="E364" i="4"/>
  <c r="G364" i="4" s="1"/>
  <c r="E365" i="4"/>
  <c r="G365" i="4" s="1"/>
  <c r="E366" i="4"/>
  <c r="G366" i="4" s="1"/>
  <c r="E367" i="4"/>
  <c r="E368" i="4"/>
  <c r="E369" i="4"/>
  <c r="G369" i="4" s="1"/>
  <c r="E370" i="4"/>
  <c r="G370" i="4" s="1"/>
  <c r="E371" i="4"/>
  <c r="G371" i="4" s="1"/>
  <c r="E372" i="4"/>
  <c r="G372" i="4" s="1"/>
  <c r="E373" i="4"/>
  <c r="G373" i="4" s="1"/>
  <c r="E374" i="4"/>
  <c r="G374" i="4" s="1"/>
  <c r="E375" i="4"/>
  <c r="E376" i="4"/>
  <c r="E377" i="4"/>
  <c r="G377" i="4" s="1"/>
  <c r="E378" i="4"/>
  <c r="G378" i="4" s="1"/>
  <c r="E379" i="4"/>
  <c r="G379" i="4" s="1"/>
  <c r="E380" i="4"/>
  <c r="G380" i="4" s="1"/>
  <c r="E381" i="4"/>
  <c r="G381" i="4" s="1"/>
  <c r="E382" i="4"/>
  <c r="G382" i="4" s="1"/>
  <c r="E383" i="4"/>
  <c r="E384" i="4"/>
  <c r="E385" i="4"/>
  <c r="G385" i="4" s="1"/>
  <c r="E386" i="4"/>
  <c r="G386" i="4" s="1"/>
  <c r="E387" i="4"/>
  <c r="G387" i="4" s="1"/>
  <c r="E388" i="4"/>
  <c r="G388" i="4" s="1"/>
  <c r="E389" i="4"/>
  <c r="G389" i="4" s="1"/>
  <c r="E390" i="4"/>
  <c r="G390" i="4" s="1"/>
  <c r="E391" i="4"/>
  <c r="E392" i="4"/>
  <c r="E393" i="4"/>
  <c r="G393" i="4" s="1"/>
  <c r="E394" i="4"/>
  <c r="G394" i="4" s="1"/>
  <c r="E395" i="4"/>
  <c r="G395" i="4" s="1"/>
  <c r="E396" i="4"/>
  <c r="G396" i="4" s="1"/>
  <c r="E397" i="4"/>
  <c r="G397" i="4" s="1"/>
  <c r="E398" i="4"/>
  <c r="G398" i="4" s="1"/>
  <c r="E399" i="4"/>
  <c r="E400" i="4"/>
  <c r="E401" i="4"/>
  <c r="G401" i="4" s="1"/>
  <c r="E402" i="4"/>
  <c r="G402" i="4" s="1"/>
  <c r="E403" i="4"/>
  <c r="G403" i="4" s="1"/>
  <c r="E404" i="4"/>
  <c r="G404" i="4" s="1"/>
  <c r="E405" i="4"/>
  <c r="G405" i="4" s="1"/>
  <c r="E406" i="4"/>
  <c r="G406" i="4" s="1"/>
  <c r="E407" i="4"/>
  <c r="E408" i="4"/>
  <c r="E409" i="4"/>
  <c r="G409" i="4" s="1"/>
  <c r="E410" i="4"/>
  <c r="G410" i="4" s="1"/>
  <c r="E411" i="4"/>
  <c r="G411" i="4" s="1"/>
  <c r="E412" i="4"/>
  <c r="G412" i="4" s="1"/>
  <c r="E413" i="4"/>
  <c r="G413" i="4" s="1"/>
  <c r="E414" i="4"/>
  <c r="G414" i="4" s="1"/>
  <c r="E415" i="4"/>
  <c r="E416" i="4"/>
  <c r="E417" i="4"/>
  <c r="G417" i="4" s="1"/>
  <c r="E418" i="4"/>
  <c r="G418" i="4" s="1"/>
  <c r="E419" i="4"/>
  <c r="G419" i="4" s="1"/>
  <c r="E420" i="4"/>
  <c r="G420" i="4" s="1"/>
  <c r="E421" i="4"/>
  <c r="G421" i="4" s="1"/>
  <c r="E422" i="4"/>
  <c r="G422" i="4" s="1"/>
  <c r="E423" i="4"/>
  <c r="E424" i="4"/>
  <c r="E425" i="4"/>
  <c r="G425" i="4" s="1"/>
  <c r="E426" i="4"/>
  <c r="G426" i="4" s="1"/>
  <c r="E427" i="4"/>
  <c r="G427" i="4" s="1"/>
  <c r="E428" i="4"/>
  <c r="G428" i="4" s="1"/>
  <c r="E429" i="4"/>
  <c r="G429" i="4" s="1"/>
  <c r="E430" i="4"/>
  <c r="G430" i="4" s="1"/>
  <c r="E431" i="4"/>
  <c r="E432" i="4"/>
  <c r="E433" i="4"/>
  <c r="G433" i="4" s="1"/>
  <c r="E434" i="4"/>
  <c r="G434" i="4" s="1"/>
  <c r="E435" i="4"/>
  <c r="G435" i="4" s="1"/>
  <c r="E436" i="4"/>
  <c r="G436" i="4" s="1"/>
  <c r="E437" i="4"/>
  <c r="G437" i="4" s="1"/>
  <c r="E438" i="4"/>
  <c r="G438" i="4" s="1"/>
  <c r="E439" i="4"/>
  <c r="E440" i="4"/>
  <c r="E441" i="4"/>
  <c r="G441" i="4" s="1"/>
  <c r="E442" i="4"/>
  <c r="G442" i="4" s="1"/>
  <c r="E443" i="4"/>
  <c r="G443" i="4" s="1"/>
  <c r="E444" i="4"/>
  <c r="G444" i="4" s="1"/>
  <c r="E445" i="4"/>
  <c r="G445" i="4" s="1"/>
  <c r="E446" i="4"/>
  <c r="G446" i="4" s="1"/>
  <c r="E447" i="4"/>
  <c r="E448" i="4"/>
  <c r="E449" i="4"/>
  <c r="G449" i="4" s="1"/>
  <c r="E450" i="4"/>
  <c r="G450" i="4" s="1"/>
  <c r="E451" i="4"/>
  <c r="G451" i="4" s="1"/>
  <c r="E452" i="4"/>
  <c r="G452" i="4" s="1"/>
  <c r="E453" i="4"/>
  <c r="G453" i="4" s="1"/>
  <c r="E454" i="4"/>
  <c r="G454" i="4" s="1"/>
  <c r="E455" i="4"/>
  <c r="E456" i="4"/>
  <c r="E457" i="4"/>
  <c r="G457" i="4" s="1"/>
  <c r="E458" i="4"/>
  <c r="G458" i="4" s="1"/>
  <c r="E459" i="4"/>
  <c r="G459" i="4" s="1"/>
  <c r="E460" i="4"/>
  <c r="G460" i="4" s="1"/>
  <c r="E461" i="4"/>
  <c r="G461" i="4" s="1"/>
  <c r="E462" i="4"/>
  <c r="G462" i="4" s="1"/>
  <c r="E463" i="4"/>
  <c r="E464" i="4"/>
  <c r="E465" i="4"/>
  <c r="G465" i="4" s="1"/>
  <c r="E466" i="4"/>
  <c r="G466" i="4" s="1"/>
  <c r="E467" i="4"/>
  <c r="G467" i="4" s="1"/>
  <c r="E468" i="4"/>
  <c r="G468" i="4" s="1"/>
  <c r="E469" i="4"/>
  <c r="G469" i="4" s="1"/>
  <c r="E470" i="4"/>
  <c r="G470" i="4" s="1"/>
  <c r="E471" i="4"/>
  <c r="E472" i="4"/>
  <c r="E473" i="4"/>
  <c r="G473" i="4" s="1"/>
  <c r="E474" i="4"/>
  <c r="G474" i="4" s="1"/>
  <c r="E475" i="4"/>
  <c r="G475" i="4" s="1"/>
  <c r="E476" i="4"/>
  <c r="G476" i="4" s="1"/>
  <c r="E477" i="4"/>
  <c r="G477" i="4" s="1"/>
  <c r="E478" i="4"/>
  <c r="G478" i="4" s="1"/>
  <c r="E479" i="4"/>
  <c r="E480" i="4"/>
  <c r="E481" i="4"/>
  <c r="G481" i="4" s="1"/>
  <c r="E482" i="4"/>
  <c r="G482" i="4" s="1"/>
  <c r="E483" i="4"/>
  <c r="G483" i="4" s="1"/>
  <c r="E484" i="4"/>
  <c r="G484" i="4" s="1"/>
  <c r="E485" i="4"/>
  <c r="G485" i="4" s="1"/>
  <c r="E486" i="4"/>
  <c r="G486" i="4" s="1"/>
  <c r="E487" i="4"/>
  <c r="E488" i="4"/>
  <c r="E489" i="4"/>
  <c r="G489" i="4" s="1"/>
  <c r="E490" i="4"/>
  <c r="G490" i="4" s="1"/>
  <c r="E491" i="4"/>
  <c r="G491" i="4" s="1"/>
  <c r="E492" i="4"/>
  <c r="G492" i="4" s="1"/>
  <c r="E493" i="4"/>
  <c r="G493" i="4" s="1"/>
  <c r="E494" i="4"/>
  <c r="G494" i="4" s="1"/>
  <c r="E495" i="4"/>
  <c r="E496" i="4"/>
  <c r="E497" i="4"/>
  <c r="G497" i="4" s="1"/>
  <c r="E498" i="4"/>
  <c r="G498" i="4" s="1"/>
  <c r="E499" i="4"/>
  <c r="G499" i="4" s="1"/>
  <c r="E500" i="4"/>
  <c r="G500" i="4" s="1"/>
  <c r="E501" i="4"/>
  <c r="E502" i="4"/>
  <c r="G502" i="4" s="1"/>
  <c r="E503" i="4"/>
  <c r="E504" i="4"/>
  <c r="E505" i="4"/>
  <c r="G505" i="4" s="1"/>
  <c r="E506" i="4"/>
  <c r="G506" i="4" s="1"/>
  <c r="E507" i="4"/>
  <c r="G507" i="4" s="1"/>
  <c r="E508" i="4"/>
  <c r="G508" i="4" s="1"/>
  <c r="E509" i="4"/>
  <c r="G509" i="4" s="1"/>
  <c r="E510" i="4"/>
  <c r="G510" i="4" s="1"/>
  <c r="E511" i="4"/>
  <c r="E512" i="4"/>
  <c r="E513" i="4"/>
  <c r="G513" i="4" s="1"/>
  <c r="E514" i="4"/>
  <c r="G514" i="4" s="1"/>
  <c r="E515" i="4"/>
  <c r="G515" i="4" s="1"/>
  <c r="E516" i="4"/>
  <c r="G516" i="4" s="1"/>
  <c r="E517" i="4"/>
  <c r="G517" i="4" s="1"/>
  <c r="E518" i="4"/>
  <c r="G518" i="4" s="1"/>
  <c r="E519" i="4"/>
  <c r="E520" i="4"/>
  <c r="E521" i="4"/>
  <c r="G521" i="4" s="1"/>
  <c r="E522" i="4"/>
  <c r="G522" i="4" s="1"/>
  <c r="E523" i="4"/>
  <c r="G523" i="4" s="1"/>
  <c r="E524" i="4"/>
  <c r="G524" i="4" s="1"/>
  <c r="E525" i="4"/>
  <c r="G525" i="4" s="1"/>
  <c r="E526" i="4"/>
  <c r="G526" i="4" s="1"/>
  <c r="E527" i="4"/>
  <c r="E528" i="4"/>
  <c r="E529" i="4"/>
  <c r="G529" i="4" s="1"/>
  <c r="E530" i="4"/>
  <c r="G530" i="4" s="1"/>
  <c r="E531" i="4"/>
  <c r="G531" i="4" s="1"/>
  <c r="E532" i="4"/>
  <c r="G532" i="4" s="1"/>
  <c r="E533" i="4"/>
  <c r="G533" i="4" s="1"/>
  <c r="E534" i="4"/>
  <c r="G534" i="4" s="1"/>
  <c r="E535" i="4"/>
  <c r="E536" i="4"/>
  <c r="E537" i="4"/>
  <c r="G537" i="4" s="1"/>
  <c r="E538" i="4"/>
  <c r="G538" i="4" s="1"/>
  <c r="E539" i="4"/>
  <c r="G539" i="4" s="1"/>
  <c r="E540" i="4"/>
  <c r="G540" i="4" s="1"/>
  <c r="E541" i="4"/>
  <c r="G541" i="4" s="1"/>
  <c r="E542" i="4"/>
  <c r="G542" i="4" s="1"/>
  <c r="E543" i="4"/>
  <c r="E544" i="4"/>
  <c r="E11" i="4"/>
  <c r="G11" i="4" s="1"/>
  <c r="Q20" i="2" a="1"/>
  <c r="Q20" i="2" s="1"/>
  <c r="E26" i="5"/>
  <c r="F26" i="5" s="1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4" i="2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11" i="4"/>
  <c r="D27" i="5"/>
  <c r="D28" i="5"/>
  <c r="D29" i="5"/>
  <c r="D30" i="5"/>
  <c r="D31" i="5"/>
  <c r="D32" i="5"/>
  <c r="D33" i="5"/>
  <c r="D26" i="5"/>
  <c r="F31" i="5"/>
  <c r="H27" i="5"/>
  <c r="H28" i="5"/>
  <c r="H29" i="5"/>
  <c r="H30" i="5"/>
  <c r="H31" i="5"/>
  <c r="H32" i="5"/>
  <c r="H33" i="5"/>
  <c r="H26" i="5"/>
  <c r="E27" i="5"/>
  <c r="F27" i="5" s="1"/>
  <c r="E28" i="5"/>
  <c r="F28" i="5" s="1"/>
  <c r="E29" i="5"/>
  <c r="F29" i="5" s="1"/>
  <c r="E30" i="5"/>
  <c r="F30" i="5" s="1"/>
  <c r="E31" i="5"/>
  <c r="E32" i="5"/>
  <c r="F32" i="5" s="1"/>
  <c r="E33" i="5"/>
  <c r="F33" i="5" s="1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34" i="2"/>
  <c r="V34" i="2"/>
  <c r="Q34" i="2"/>
  <c r="L34" i="2"/>
  <c r="G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4" i="2"/>
  <c r="K17" i="4" a="1"/>
  <c r="K17" i="4" s="1"/>
  <c r="L24" i="4" s="1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11" i="4"/>
  <c r="L27" i="4" l="1"/>
  <c r="L30" i="4" s="1"/>
  <c r="L28" i="4"/>
  <c r="L25" i="4"/>
  <c r="T23" i="2" l="1"/>
  <c r="L3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15A535-FFC1-4870-8987-639D00F6EEA1}" keepAlive="1" name="Zapytanie — pom1" description="Połączenie z zapytaniem „pom1” w skoroszycie." type="5" refreshedVersion="0" background="1">
    <dbPr connection="Provider=Microsoft.Mashup.OleDb.1;Data Source=$Workbook$;Location=pom1;Extended Properties=&quot;&quot;" command="SELECT * FROM [pom1]"/>
  </connection>
  <connection id="2" xr16:uid="{811620D6-8CC9-4033-9B0A-E523140B4C2D}" keepAlive="1" name="Zapytanie — pom1 (2)" description="Połączenie z zapytaniem „pom1 (2)” w skoroszycie." type="5" refreshedVersion="8" background="1" saveData="1">
    <dbPr connection="Provider=Microsoft.Mashup.OleDb.1;Data Source=$Workbook$;Location=&quot;pom1 (2)&quot;;Extended Properties=&quot;&quot;" command="SELECT * FROM [pom1 (2)]"/>
  </connection>
  <connection id="3" xr16:uid="{8A0CE4EE-5123-4B1D-A1D7-8635DABE8D63}" keepAlive="1" name="Zapytanie — pom2 1" description="Połączenie z zapytaniem „pom2 1” w skoroszycie." type="5" refreshedVersion="0" background="1">
    <dbPr connection="Provider=Microsoft.Mashup.OleDb.1;Data Source=$Workbook$;Location=&quot;pom2 1&quot;;Extended Properties=&quot;&quot;" command="SELECT * FROM [pom2 1]"/>
  </connection>
  <connection id="4" xr16:uid="{691494F9-035C-421C-9065-10D4F05F43B0}" keepAlive="1" name="Zapytanie — pom2 2" description="Połączenie z zapytaniem „pom2 2” w skoroszycie." type="5" refreshedVersion="0" background="1">
    <dbPr connection="Provider=Microsoft.Mashup.OleDb.1;Data Source=$Workbook$;Location=&quot;pom2 2&quot;;Extended Properties=&quot;&quot;" command="SELECT * FROM [pom2 2]"/>
  </connection>
  <connection id="5" xr16:uid="{214CE5FC-68E1-4E2B-95DB-3A0A58A91AB1}" keepAlive="1" name="Zapytanie — pom2 3" description="Połączenie z zapytaniem „pom2 3” w skoroszycie." type="5" refreshedVersion="0" background="1">
    <dbPr connection="Provider=Microsoft.Mashup.OleDb.1;Data Source=$Workbook$;Location=&quot;pom2 3&quot;;Extended Properties=&quot;&quot;" command="SELECT * FROM [pom2 3]"/>
  </connection>
  <connection id="6" xr16:uid="{3491B5E3-33FE-4B80-BD98-00CA9FDDE18D}" keepAlive="1" name="Zapytanie — pom2 4" description="Połączenie z zapytaniem „pom2 4” w skoroszycie." type="5" refreshedVersion="0" background="1">
    <dbPr connection="Provider=Microsoft.Mashup.OleDb.1;Data Source=$Workbook$;Location=&quot;pom2 4&quot;;Extended Properties=&quot;&quot;" command="SELECT * FROM [pom2 4]"/>
  </connection>
  <connection id="7" xr16:uid="{4C4C92B7-1935-45E9-92D9-50558EC09F59}" keepAlive="1" name="Zapytanie — pom2 5" description="Połączenie z zapytaniem „pom2 5” w skoroszycie." type="5" refreshedVersion="0" background="1">
    <dbPr connection="Provider=Microsoft.Mashup.OleDb.1;Data Source=$Workbook$;Location=&quot;pom2 5&quot;;Extended Properties=&quot;&quot;" command="SELECT * FROM [pom2 5]"/>
  </connection>
  <connection id="8" xr16:uid="{4FF57650-8B14-4588-8EA8-A8D8DF6AA1ED}" keepAlive="1" name="Zapytanie — pom2 6" description="Połączenie z zapytaniem „pom2 6” w skoroszycie." type="5" refreshedVersion="0" background="1">
    <dbPr connection="Provider=Microsoft.Mashup.OleDb.1;Data Source=$Workbook$;Location=&quot;pom2 6&quot;;Extended Properties=&quot;&quot;" command="SELECT * FROM [pom2 6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<sst xmlns="http://schemas.openxmlformats.org/spreadsheetml/2006/main" count="74" uniqueCount="50">
  <si>
    <t>Semestr letni 2023/2024, W4, ISA, Fizyka 3.3 L10, śr 17:05</t>
  </si>
  <si>
    <t>Data wykonania ćwiczenia: 06.03.2024</t>
  </si>
  <si>
    <t>Ćwiczenie nr 5: Fotodioda</t>
  </si>
  <si>
    <t>Pomiar charakterystyki prądowo-napięciowej nieoświetlonej fotodiody</t>
  </si>
  <si>
    <t>u[U]</t>
  </si>
  <si>
    <t>I[mA]</t>
  </si>
  <si>
    <t>u[I]</t>
  </si>
  <si>
    <t>u[a]</t>
  </si>
  <si>
    <t>u[b]</t>
  </si>
  <si>
    <t>u[Vbi]</t>
  </si>
  <si>
    <t>Grupa nr 10: Filip Sanowski i Mikołaj Nowak</t>
  </si>
  <si>
    <t>Regresja</t>
  </si>
  <si>
    <t>U[mV]</t>
  </si>
  <si>
    <t>U[mV}</t>
  </si>
  <si>
    <t>a-&gt;</t>
  </si>
  <si>
    <t>&lt;-b</t>
  </si>
  <si>
    <t>u[a] -&gt;</t>
  </si>
  <si>
    <t>&lt;- u[b]</t>
  </si>
  <si>
    <t>Prąd zwarcia [mA]</t>
  </si>
  <si>
    <t>Prąd diody [mA]</t>
  </si>
  <si>
    <t>Napięcie rozwarcia [mV]</t>
  </si>
  <si>
    <t>Pomiar dla 37 mA</t>
  </si>
  <si>
    <t>Pomiar dla 32 mA</t>
  </si>
  <si>
    <t>Pomiar dla 27 mA</t>
  </si>
  <si>
    <t>Pomiar dla 22 mA</t>
  </si>
  <si>
    <t>Pomiar dla 17 mA</t>
  </si>
  <si>
    <t>Pomiar dla 12 mA</t>
  </si>
  <si>
    <t>u[Rs]</t>
  </si>
  <si>
    <t>Y</t>
  </si>
  <si>
    <t>Do regresji</t>
  </si>
  <si>
    <t>X</t>
  </si>
  <si>
    <t>I[µA]</t>
  </si>
  <si>
    <t>u[d]</t>
  </si>
  <si>
    <t>u[1/d^2]</t>
  </si>
  <si>
    <t>1/d^2</t>
  </si>
  <si>
    <t>Wnioski</t>
  </si>
  <si>
    <t>Pomiar charakterystyka oświetlonej diody</t>
  </si>
  <si>
    <t>Pomiar zależność fotoprądu zwarcia od odległości pomiędzy fotodiodą i diodą led</t>
  </si>
  <si>
    <t>ln(i)</t>
  </si>
  <si>
    <t>U[V]</t>
  </si>
  <si>
    <t>I[A]</t>
  </si>
  <si>
    <t>ln[I_0]</t>
  </si>
  <si>
    <t>U_reg[V]</t>
  </si>
  <si>
    <t>I_0[A]</t>
  </si>
  <si>
    <t>b[mA]</t>
  </si>
  <si>
    <t>Vbi[V]</t>
  </si>
  <si>
    <t>a[mA/mV]</t>
  </si>
  <si>
    <t>Rezystancja szeregowa[Ω]</t>
  </si>
  <si>
    <t>R_S[Ω]</t>
  </si>
  <si>
    <t>d[cm]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</si>
</sst>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22" xfId="0" applyFont="1" applyBorder="1"/>
    <xf numFmtId="164" fontId="0" fillId="0" borderId="23" xfId="0" applyNumberFormat="1" applyBorder="1"/>
    <xf numFmtId="164" fontId="0" fillId="0" borderId="24" xfId="0" applyNumberFormat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2" xfId="0" applyNumberFormat="1" applyBorder="1"/>
    <xf numFmtId="164" fontId="0" fillId="0" borderId="2" xfId="0" applyNumberFormat="1" applyBorder="1"/>
    <xf numFmtId="164" fontId="0" fillId="0" borderId="0" xfId="0" applyNumberFormat="1"/>
    <xf numFmtId="0" fontId="0" fillId="0" borderId="25" xfId="0" applyBorder="1"/>
    <xf numFmtId="0" fontId="0" fillId="0" borderId="22" xfId="0" applyBorder="1"/>
    <xf numFmtId="0" fontId="1" fillId="0" borderId="6" xfId="0" applyFont="1" applyBorder="1"/>
    <xf numFmtId="0" fontId="1" fillId="0" borderId="15" xfId="0" applyFont="1" applyBorder="1"/>
    <xf numFmtId="0" fontId="1" fillId="0" borderId="7" xfId="0" applyFont="1" applyBorder="1"/>
    <xf numFmtId="164" fontId="0" fillId="0" borderId="17" xfId="0" applyNumberFormat="1" applyBorder="1"/>
    <xf numFmtId="0" fontId="1" fillId="0" borderId="25" xfId="0" applyFont="1" applyBorder="1"/>
    <xf numFmtId="0" fontId="0" fillId="0" borderId="24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0" fontId="1" fillId="0" borderId="26" xfId="0" applyFont="1" applyBorder="1"/>
    <xf numFmtId="0" fontId="1" fillId="0" borderId="27" xfId="0" applyFont="1" applyBorder="1"/>
    <xf numFmtId="164" fontId="0" fillId="0" borderId="16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Charakterystyka</a:t>
            </a:r>
            <a:r>
              <a:rPr lang="pl-PL" baseline="0"/>
              <a:t> I-V nieoświetlonej fotodiody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'1'!$D$10</c:f>
              <c:strCache>
                <c:ptCount val="1"/>
                <c:pt idx="0">
                  <c:v>I[mA]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1270">
                <a:solidFill>
                  <a:schemeClr val="accent1"/>
                </a:solidFill>
              </a:ln>
              <a:effectLst/>
            </c:spPr>
          </c:marker>
          <c:dPt>
            <c:idx val="120"/>
            <c:marker>
              <c:symbol val="circle"/>
              <c:size val="3"/>
              <c:spPr>
                <a:solidFill>
                  <a:schemeClr val="accent1"/>
                </a:solidFill>
                <a:ln w="127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CA6-4372-A10E-A73BCD4FBFA1}"/>
              </c:ext>
            </c:extLst>
          </c:dPt>
          <c:errBars>
            <c:errDir val="x"/>
            <c:errBarType val="both"/>
            <c:errValType val="cust"/>
            <c:noEndCap val="1"/>
            <c:plus>
              <c:numRef>
                <c:f>'1'!$C$11:$C$544</c:f>
                <c:numCache>
                  <c:formatCode>General</c:formatCode>
                  <c:ptCount val="534"/>
                  <c:pt idx="0">
                    <c:v>4.5999999999999999E-3</c:v>
                  </c:pt>
                  <c:pt idx="1">
                    <c:v>6.2000000000000006E-3</c:v>
                  </c:pt>
                  <c:pt idx="2">
                    <c:v>7.8000000000000005E-3</c:v>
                  </c:pt>
                  <c:pt idx="3">
                    <c:v>1.0199999999999999E-2</c:v>
                  </c:pt>
                  <c:pt idx="4">
                    <c:v>1.0199999999999999E-2</c:v>
                  </c:pt>
                  <c:pt idx="5">
                    <c:v>1.18E-2</c:v>
                  </c:pt>
                  <c:pt idx="6">
                    <c:v>1.4999999999999999E-2</c:v>
                  </c:pt>
                  <c:pt idx="7">
                    <c:v>1.8200000000000001E-2</c:v>
                  </c:pt>
                  <c:pt idx="8">
                    <c:v>2.86E-2</c:v>
                  </c:pt>
                  <c:pt idx="9">
                    <c:v>3.1E-2</c:v>
                  </c:pt>
                  <c:pt idx="10">
                    <c:v>3.5000000000000003E-2</c:v>
                  </c:pt>
                  <c:pt idx="11">
                    <c:v>3.5800000000000005E-2</c:v>
                  </c:pt>
                  <c:pt idx="12">
                    <c:v>4.2200000000000001E-2</c:v>
                  </c:pt>
                  <c:pt idx="13">
                    <c:v>4.3800000000000006E-2</c:v>
                  </c:pt>
                  <c:pt idx="14">
                    <c:v>4.7E-2</c:v>
                  </c:pt>
                  <c:pt idx="15">
                    <c:v>4.8600000000000004E-2</c:v>
                  </c:pt>
                  <c:pt idx="16">
                    <c:v>5.1800000000000006E-2</c:v>
                  </c:pt>
                  <c:pt idx="17">
                    <c:v>5.3400000000000003E-2</c:v>
                  </c:pt>
                  <c:pt idx="18">
                    <c:v>5.5800000000000002E-2</c:v>
                  </c:pt>
                  <c:pt idx="19">
                    <c:v>5.74E-2</c:v>
                  </c:pt>
                  <c:pt idx="20">
                    <c:v>5.9000000000000004E-2</c:v>
                  </c:pt>
                  <c:pt idx="21">
                    <c:v>6.1400000000000003E-2</c:v>
                  </c:pt>
                  <c:pt idx="22">
                    <c:v>6.3E-2</c:v>
                  </c:pt>
                  <c:pt idx="23">
                    <c:v>6.9400000000000003E-2</c:v>
                  </c:pt>
                  <c:pt idx="24">
                    <c:v>7.4999999999999997E-2</c:v>
                  </c:pt>
                  <c:pt idx="25">
                    <c:v>7.8200000000000006E-2</c:v>
                  </c:pt>
                  <c:pt idx="26">
                    <c:v>8.0600000000000005E-2</c:v>
                  </c:pt>
                  <c:pt idx="27">
                    <c:v>9.5000000000000001E-2</c:v>
                  </c:pt>
                  <c:pt idx="28">
                    <c:v>9.9000000000000005E-2</c:v>
                  </c:pt>
                  <c:pt idx="29">
                    <c:v>0.1022</c:v>
                  </c:pt>
                  <c:pt idx="30">
                    <c:v>0.10540000000000001</c:v>
                  </c:pt>
                  <c:pt idx="31">
                    <c:v>0.11020000000000001</c:v>
                  </c:pt>
                  <c:pt idx="32">
                    <c:v>0.1142</c:v>
                  </c:pt>
                  <c:pt idx="33">
                    <c:v>0.12140000000000001</c:v>
                  </c:pt>
                  <c:pt idx="34">
                    <c:v>0.1246</c:v>
                  </c:pt>
                  <c:pt idx="35">
                    <c:v>0.13019999999999998</c:v>
                  </c:pt>
                  <c:pt idx="36">
                    <c:v>0.13499999999999998</c:v>
                  </c:pt>
                  <c:pt idx="37">
                    <c:v>0.14859999999999998</c:v>
                  </c:pt>
                  <c:pt idx="38">
                    <c:v>0.151</c:v>
                  </c:pt>
                  <c:pt idx="39">
                    <c:v>0.15339999999999998</c:v>
                  </c:pt>
                  <c:pt idx="40">
                    <c:v>0.16139999999999999</c:v>
                  </c:pt>
                  <c:pt idx="41">
                    <c:v>0.16699999999999998</c:v>
                  </c:pt>
                  <c:pt idx="42">
                    <c:v>0.18779999999999999</c:v>
                  </c:pt>
                  <c:pt idx="43">
                    <c:v>0.19339999999999999</c:v>
                  </c:pt>
                  <c:pt idx="44">
                    <c:v>0.19739999999999999</c:v>
                  </c:pt>
                  <c:pt idx="45">
                    <c:v>0.2014</c:v>
                  </c:pt>
                  <c:pt idx="46">
                    <c:v>0.21179999999999999</c:v>
                  </c:pt>
                  <c:pt idx="47">
                    <c:v>0.21579999999999999</c:v>
                  </c:pt>
                  <c:pt idx="48">
                    <c:v>0.22139999999999999</c:v>
                  </c:pt>
                  <c:pt idx="49">
                    <c:v>0.22699999999999998</c:v>
                  </c:pt>
                  <c:pt idx="50">
                    <c:v>0.23179999999999998</c:v>
                  </c:pt>
                  <c:pt idx="51">
                    <c:v>0.23579999999999998</c:v>
                  </c:pt>
                  <c:pt idx="52">
                    <c:v>0.23979999999999999</c:v>
                  </c:pt>
                  <c:pt idx="53">
                    <c:v>0.24059999999999998</c:v>
                  </c:pt>
                  <c:pt idx="54">
                    <c:v>0.24459999999999998</c:v>
                  </c:pt>
                  <c:pt idx="55">
                    <c:v>0.247</c:v>
                  </c:pt>
                  <c:pt idx="56">
                    <c:v>0.25419999999999998</c:v>
                  </c:pt>
                  <c:pt idx="57">
                    <c:v>0.25739999999999996</c:v>
                  </c:pt>
                  <c:pt idx="58">
                    <c:v>0.2606</c:v>
                  </c:pt>
                  <c:pt idx="59">
                    <c:v>0.26219999999999999</c:v>
                  </c:pt>
                  <c:pt idx="60">
                    <c:v>0.26619999999999999</c:v>
                  </c:pt>
                  <c:pt idx="61">
                    <c:v>0.26860000000000001</c:v>
                  </c:pt>
                  <c:pt idx="62">
                    <c:v>0.27099999999999996</c:v>
                  </c:pt>
                  <c:pt idx="63">
                    <c:v>0.29020000000000001</c:v>
                  </c:pt>
                  <c:pt idx="64">
                    <c:v>0.2974</c:v>
                  </c:pt>
                  <c:pt idx="65">
                    <c:v>0.29980000000000001</c:v>
                  </c:pt>
                  <c:pt idx="66">
                    <c:v>0.30219999999999997</c:v>
                  </c:pt>
                  <c:pt idx="67">
                    <c:v>0.30459999999999998</c:v>
                  </c:pt>
                  <c:pt idx="68">
                    <c:v>0.30619999999999997</c:v>
                  </c:pt>
                  <c:pt idx="69">
                    <c:v>0.311</c:v>
                  </c:pt>
                  <c:pt idx="70">
                    <c:v>0.315</c:v>
                  </c:pt>
                  <c:pt idx="71">
                    <c:v>0.31579999999999997</c:v>
                  </c:pt>
                  <c:pt idx="72">
                    <c:v>0.31740000000000002</c:v>
                  </c:pt>
                  <c:pt idx="73">
                    <c:v>0.31819999999999998</c:v>
                  </c:pt>
                  <c:pt idx="74">
                    <c:v>0.32300000000000001</c:v>
                  </c:pt>
                  <c:pt idx="75">
                    <c:v>0.32619999999999999</c:v>
                  </c:pt>
                  <c:pt idx="76">
                    <c:v>0.3286</c:v>
                  </c:pt>
                  <c:pt idx="77">
                    <c:v>0.33339999999999997</c:v>
                  </c:pt>
                  <c:pt idx="78">
                    <c:v>0.33660000000000001</c:v>
                  </c:pt>
                  <c:pt idx="79">
                    <c:v>0.33979999999999999</c:v>
                  </c:pt>
                  <c:pt idx="80">
                    <c:v>0.35020000000000001</c:v>
                  </c:pt>
                  <c:pt idx="81">
                    <c:v>0.35259999999999997</c:v>
                  </c:pt>
                  <c:pt idx="82">
                    <c:v>0.35420000000000001</c:v>
                  </c:pt>
                  <c:pt idx="83">
                    <c:v>0.35659999999999997</c:v>
                  </c:pt>
                  <c:pt idx="84">
                    <c:v>0.3654</c:v>
                  </c:pt>
                  <c:pt idx="85">
                    <c:v>0.36699999999999999</c:v>
                  </c:pt>
                  <c:pt idx="86">
                    <c:v>0.36940000000000001</c:v>
                  </c:pt>
                  <c:pt idx="87">
                    <c:v>0.371</c:v>
                  </c:pt>
                  <c:pt idx="88">
                    <c:v>0.37179999999999996</c:v>
                  </c:pt>
                  <c:pt idx="89">
                    <c:v>0.37579999999999997</c:v>
                  </c:pt>
                  <c:pt idx="90">
                    <c:v>0.379</c:v>
                  </c:pt>
                  <c:pt idx="91">
                    <c:v>0.38059999999999999</c:v>
                  </c:pt>
                  <c:pt idx="92">
                    <c:v>0.38300000000000001</c:v>
                  </c:pt>
                  <c:pt idx="93">
                    <c:v>0.3846</c:v>
                  </c:pt>
                  <c:pt idx="94">
                    <c:v>0.38700000000000001</c:v>
                  </c:pt>
                  <c:pt idx="95">
                    <c:v>0.3886</c:v>
                  </c:pt>
                  <c:pt idx="96">
                    <c:v>0.39179999999999998</c:v>
                  </c:pt>
                  <c:pt idx="97">
                    <c:v>0.39419999999999999</c:v>
                  </c:pt>
                  <c:pt idx="98">
                    <c:v>0.39419999999999999</c:v>
                  </c:pt>
                  <c:pt idx="99">
                    <c:v>0.39579999999999999</c:v>
                  </c:pt>
                  <c:pt idx="100">
                    <c:v>0.3982</c:v>
                  </c:pt>
                  <c:pt idx="101">
                    <c:v>0.40060000000000001</c:v>
                  </c:pt>
                  <c:pt idx="102">
                    <c:v>0.4022</c:v>
                  </c:pt>
                  <c:pt idx="103">
                    <c:v>0.40379999999999999</c:v>
                  </c:pt>
                  <c:pt idx="104">
                    <c:v>0.40539999999999998</c:v>
                  </c:pt>
                  <c:pt idx="105">
                    <c:v>0.40699999999999997</c:v>
                  </c:pt>
                  <c:pt idx="106">
                    <c:v>0.40859999999999996</c:v>
                  </c:pt>
                  <c:pt idx="107">
                    <c:v>0.41820000000000002</c:v>
                  </c:pt>
                  <c:pt idx="108">
                    <c:v>0.42059999999999997</c:v>
                  </c:pt>
                  <c:pt idx="109">
                    <c:v>0.42299999999999999</c:v>
                  </c:pt>
                  <c:pt idx="110">
                    <c:v>0.42459999999999998</c:v>
                  </c:pt>
                  <c:pt idx="111">
                    <c:v>0.42780000000000001</c:v>
                  </c:pt>
                  <c:pt idx="112">
                    <c:v>0.42780000000000001</c:v>
                  </c:pt>
                  <c:pt idx="113">
                    <c:v>0.4294</c:v>
                  </c:pt>
                  <c:pt idx="114">
                    <c:v>0.43340000000000001</c:v>
                  </c:pt>
                  <c:pt idx="115">
                    <c:v>0.43579999999999997</c:v>
                  </c:pt>
                  <c:pt idx="116">
                    <c:v>0.43819999999999998</c:v>
                  </c:pt>
                  <c:pt idx="117">
                    <c:v>0.43979999999999997</c:v>
                  </c:pt>
                  <c:pt idx="118">
                    <c:v>0.44140000000000001</c:v>
                  </c:pt>
                  <c:pt idx="119">
                    <c:v>0.44379999999999997</c:v>
                  </c:pt>
                  <c:pt idx="120">
                    <c:v>0.44539999999999996</c:v>
                  </c:pt>
                  <c:pt idx="121">
                    <c:v>0.44700000000000001</c:v>
                  </c:pt>
                  <c:pt idx="122">
                    <c:v>0.4486</c:v>
                  </c:pt>
                  <c:pt idx="123">
                    <c:v>0.45019999999999999</c:v>
                  </c:pt>
                  <c:pt idx="124">
                    <c:v>0.45500000000000002</c:v>
                  </c:pt>
                  <c:pt idx="125">
                    <c:v>0.45579999999999998</c:v>
                  </c:pt>
                  <c:pt idx="126">
                    <c:v>0.45739999999999997</c:v>
                  </c:pt>
                  <c:pt idx="127">
                    <c:v>0.45899999999999996</c:v>
                  </c:pt>
                  <c:pt idx="128">
                    <c:v>0.46139999999999998</c:v>
                  </c:pt>
                  <c:pt idx="129">
                    <c:v>0.4622</c:v>
                  </c:pt>
                  <c:pt idx="130">
                    <c:v>0.4622</c:v>
                  </c:pt>
                  <c:pt idx="131">
                    <c:v>0.46299999999999997</c:v>
                  </c:pt>
                  <c:pt idx="132">
                    <c:v>0.46379999999999999</c:v>
                  </c:pt>
                  <c:pt idx="133">
                    <c:v>0.46379999999999999</c:v>
                  </c:pt>
                  <c:pt idx="134">
                    <c:v>0.46539999999999998</c:v>
                  </c:pt>
                  <c:pt idx="135">
                    <c:v>0.4662</c:v>
                  </c:pt>
                  <c:pt idx="136">
                    <c:v>0.46699999999999997</c:v>
                  </c:pt>
                  <c:pt idx="137">
                    <c:v>0.46779999999999999</c:v>
                  </c:pt>
                  <c:pt idx="138">
                    <c:v>0.46860000000000002</c:v>
                  </c:pt>
                  <c:pt idx="139">
                    <c:v>0.4718</c:v>
                  </c:pt>
                  <c:pt idx="140">
                    <c:v>0.47259999999999996</c:v>
                  </c:pt>
                  <c:pt idx="141">
                    <c:v>0.47420000000000001</c:v>
                  </c:pt>
                  <c:pt idx="142">
                    <c:v>0.4758</c:v>
                  </c:pt>
                  <c:pt idx="143">
                    <c:v>0.48139999999999999</c:v>
                  </c:pt>
                  <c:pt idx="144">
                    <c:v>0.48219999999999996</c:v>
                  </c:pt>
                  <c:pt idx="145">
                    <c:v>0.48299999999999998</c:v>
                  </c:pt>
                  <c:pt idx="146">
                    <c:v>0.48299999999999998</c:v>
                  </c:pt>
                  <c:pt idx="147">
                    <c:v>0.48380000000000001</c:v>
                  </c:pt>
                  <c:pt idx="148">
                    <c:v>0.48380000000000001</c:v>
                  </c:pt>
                  <c:pt idx="149">
                    <c:v>0.4854</c:v>
                  </c:pt>
                  <c:pt idx="150">
                    <c:v>0.48619999999999997</c:v>
                  </c:pt>
                  <c:pt idx="151">
                    <c:v>0.48699999999999999</c:v>
                  </c:pt>
                  <c:pt idx="152">
                    <c:v>0.48699999999999999</c:v>
                  </c:pt>
                  <c:pt idx="153">
                    <c:v>0.48780000000000001</c:v>
                  </c:pt>
                  <c:pt idx="154">
                    <c:v>0.48859999999999998</c:v>
                  </c:pt>
                  <c:pt idx="155">
                    <c:v>0.4894</c:v>
                  </c:pt>
                  <c:pt idx="156">
                    <c:v>0.49099999999999999</c:v>
                  </c:pt>
                  <c:pt idx="157">
                    <c:v>0.49099999999999999</c:v>
                  </c:pt>
                  <c:pt idx="158">
                    <c:v>0.49180000000000001</c:v>
                  </c:pt>
                  <c:pt idx="159">
                    <c:v>0.49259999999999998</c:v>
                  </c:pt>
                  <c:pt idx="160">
                    <c:v>0.495</c:v>
                  </c:pt>
                  <c:pt idx="161">
                    <c:v>0.49659999999999999</c:v>
                  </c:pt>
                  <c:pt idx="162">
                    <c:v>0.49740000000000001</c:v>
                  </c:pt>
                  <c:pt idx="163">
                    <c:v>0.49819999999999998</c:v>
                  </c:pt>
                  <c:pt idx="164">
                    <c:v>0.50139999999999996</c:v>
                  </c:pt>
                  <c:pt idx="165">
                    <c:v>0.50219999999999998</c:v>
                  </c:pt>
                  <c:pt idx="166">
                    <c:v>0.503</c:v>
                  </c:pt>
                  <c:pt idx="167">
                    <c:v>0.50380000000000003</c:v>
                  </c:pt>
                  <c:pt idx="168">
                    <c:v>0.50459999999999994</c:v>
                  </c:pt>
                  <c:pt idx="169">
                    <c:v>0.50539999999999996</c:v>
                  </c:pt>
                  <c:pt idx="170">
                    <c:v>0.50539999999999996</c:v>
                  </c:pt>
                  <c:pt idx="171">
                    <c:v>0.50619999999999998</c:v>
                  </c:pt>
                  <c:pt idx="172">
                    <c:v>0.50700000000000001</c:v>
                  </c:pt>
                  <c:pt idx="173">
                    <c:v>0.50780000000000003</c:v>
                  </c:pt>
                  <c:pt idx="174">
                    <c:v>0.50859999999999994</c:v>
                  </c:pt>
                  <c:pt idx="175">
                    <c:v>0.50939999999999996</c:v>
                  </c:pt>
                  <c:pt idx="176">
                    <c:v>0.51019999999999999</c:v>
                  </c:pt>
                  <c:pt idx="177">
                    <c:v>0.51100000000000001</c:v>
                  </c:pt>
                  <c:pt idx="178">
                    <c:v>0.51180000000000003</c:v>
                  </c:pt>
                  <c:pt idx="179">
                    <c:v>0.51259999999999994</c:v>
                  </c:pt>
                  <c:pt idx="180">
                    <c:v>0.51339999999999997</c:v>
                  </c:pt>
                  <c:pt idx="181">
                    <c:v>0.51580000000000004</c:v>
                  </c:pt>
                  <c:pt idx="182">
                    <c:v>0.51659999999999995</c:v>
                  </c:pt>
                  <c:pt idx="183">
                    <c:v>0.51659999999999995</c:v>
                  </c:pt>
                  <c:pt idx="184">
                    <c:v>0.51739999999999997</c:v>
                  </c:pt>
                  <c:pt idx="185">
                    <c:v>0.51980000000000004</c:v>
                  </c:pt>
                  <c:pt idx="186">
                    <c:v>0.52139999999999997</c:v>
                  </c:pt>
                  <c:pt idx="187">
                    <c:v>0.5222</c:v>
                  </c:pt>
                  <c:pt idx="188">
                    <c:v>0.5222</c:v>
                  </c:pt>
                  <c:pt idx="189">
                    <c:v>0.5222</c:v>
                  </c:pt>
                  <c:pt idx="190">
                    <c:v>0.52300000000000002</c:v>
                  </c:pt>
                  <c:pt idx="191">
                    <c:v>0.52300000000000002</c:v>
                  </c:pt>
                  <c:pt idx="192">
                    <c:v>0.52300000000000002</c:v>
                  </c:pt>
                  <c:pt idx="193">
                    <c:v>0.52300000000000002</c:v>
                  </c:pt>
                  <c:pt idx="194">
                    <c:v>0.52380000000000004</c:v>
                  </c:pt>
                  <c:pt idx="195">
                    <c:v>0.52380000000000004</c:v>
                  </c:pt>
                  <c:pt idx="196">
                    <c:v>0.52539999999999998</c:v>
                  </c:pt>
                  <c:pt idx="197">
                    <c:v>0.52539999999999998</c:v>
                  </c:pt>
                  <c:pt idx="198">
                    <c:v>0.52539999999999998</c:v>
                  </c:pt>
                  <c:pt idx="199">
                    <c:v>0.52539999999999998</c:v>
                  </c:pt>
                  <c:pt idx="200">
                    <c:v>0.52700000000000002</c:v>
                  </c:pt>
                  <c:pt idx="201">
                    <c:v>0.52700000000000002</c:v>
                  </c:pt>
                  <c:pt idx="202">
                    <c:v>0.52700000000000002</c:v>
                  </c:pt>
                  <c:pt idx="203">
                    <c:v>0.52779999999999994</c:v>
                  </c:pt>
                  <c:pt idx="204">
                    <c:v>0.52859999999999996</c:v>
                  </c:pt>
                  <c:pt idx="205">
                    <c:v>0.52939999999999998</c:v>
                  </c:pt>
                  <c:pt idx="206">
                    <c:v>0.5302</c:v>
                  </c:pt>
                  <c:pt idx="207">
                    <c:v>0.5302</c:v>
                  </c:pt>
                  <c:pt idx="208">
                    <c:v>0.53100000000000003</c:v>
                  </c:pt>
                  <c:pt idx="209">
                    <c:v>0.53100000000000003</c:v>
                  </c:pt>
                  <c:pt idx="210">
                    <c:v>0.53100000000000003</c:v>
                  </c:pt>
                  <c:pt idx="211">
                    <c:v>0.53259999999999996</c:v>
                  </c:pt>
                  <c:pt idx="212">
                    <c:v>0.53339999999999999</c:v>
                  </c:pt>
                  <c:pt idx="213">
                    <c:v>0.53339999999999999</c:v>
                  </c:pt>
                  <c:pt idx="214">
                    <c:v>0.53339999999999999</c:v>
                  </c:pt>
                  <c:pt idx="215">
                    <c:v>0.53420000000000001</c:v>
                  </c:pt>
                  <c:pt idx="216">
                    <c:v>0.53500000000000003</c:v>
                  </c:pt>
                  <c:pt idx="217">
                    <c:v>0.53579999999999994</c:v>
                  </c:pt>
                  <c:pt idx="218">
                    <c:v>0.53739999999999999</c:v>
                  </c:pt>
                  <c:pt idx="219">
                    <c:v>0.53820000000000001</c:v>
                  </c:pt>
                  <c:pt idx="220">
                    <c:v>0.53820000000000001</c:v>
                  </c:pt>
                  <c:pt idx="221">
                    <c:v>0.53900000000000003</c:v>
                  </c:pt>
                  <c:pt idx="222">
                    <c:v>0.53900000000000003</c:v>
                  </c:pt>
                  <c:pt idx="223">
                    <c:v>0.53979999999999995</c:v>
                  </c:pt>
                  <c:pt idx="224">
                    <c:v>0.53979999999999995</c:v>
                  </c:pt>
                  <c:pt idx="225">
                    <c:v>0.54059999999999997</c:v>
                  </c:pt>
                  <c:pt idx="226">
                    <c:v>0.54139999999999999</c:v>
                  </c:pt>
                  <c:pt idx="227">
                    <c:v>0.54220000000000002</c:v>
                  </c:pt>
                  <c:pt idx="228">
                    <c:v>0.54220000000000002</c:v>
                  </c:pt>
                  <c:pt idx="229">
                    <c:v>0.54300000000000004</c:v>
                  </c:pt>
                  <c:pt idx="230">
                    <c:v>0.54300000000000004</c:v>
                  </c:pt>
                  <c:pt idx="231">
                    <c:v>0.54379999999999995</c:v>
                  </c:pt>
                  <c:pt idx="232">
                    <c:v>0.54459999999999997</c:v>
                  </c:pt>
                  <c:pt idx="233">
                    <c:v>0.5454</c:v>
                  </c:pt>
                  <c:pt idx="234">
                    <c:v>0.54779999999999995</c:v>
                  </c:pt>
                  <c:pt idx="235">
                    <c:v>0.54859999999999998</c:v>
                  </c:pt>
                  <c:pt idx="236">
                    <c:v>0.54859999999999998</c:v>
                  </c:pt>
                  <c:pt idx="237">
                    <c:v>0.54859999999999998</c:v>
                  </c:pt>
                  <c:pt idx="238">
                    <c:v>0.5494</c:v>
                  </c:pt>
                  <c:pt idx="239">
                    <c:v>0.55020000000000002</c:v>
                  </c:pt>
                  <c:pt idx="240">
                    <c:v>0.55099999999999993</c:v>
                  </c:pt>
                  <c:pt idx="241">
                    <c:v>0.55179999999999996</c:v>
                  </c:pt>
                  <c:pt idx="242">
                    <c:v>0.55179999999999996</c:v>
                  </c:pt>
                  <c:pt idx="243">
                    <c:v>0.55259999999999998</c:v>
                  </c:pt>
                  <c:pt idx="244">
                    <c:v>0.5534</c:v>
                  </c:pt>
                  <c:pt idx="245">
                    <c:v>0.55420000000000003</c:v>
                  </c:pt>
                  <c:pt idx="246">
                    <c:v>0.55499999999999994</c:v>
                  </c:pt>
                  <c:pt idx="247">
                    <c:v>0.55499999999999994</c:v>
                  </c:pt>
                  <c:pt idx="248">
                    <c:v>0.55579999999999996</c:v>
                  </c:pt>
                  <c:pt idx="249">
                    <c:v>0.55659999999999998</c:v>
                  </c:pt>
                  <c:pt idx="250">
                    <c:v>0.55740000000000001</c:v>
                  </c:pt>
                  <c:pt idx="251">
                    <c:v>0.55899999999999994</c:v>
                  </c:pt>
                  <c:pt idx="252">
                    <c:v>0.55979999999999996</c:v>
                  </c:pt>
                  <c:pt idx="253">
                    <c:v>0.55979999999999996</c:v>
                  </c:pt>
                  <c:pt idx="254">
                    <c:v>0.56059999999999999</c:v>
                  </c:pt>
                  <c:pt idx="255">
                    <c:v>0.56220000000000003</c:v>
                  </c:pt>
                  <c:pt idx="256">
                    <c:v>0.56299999999999994</c:v>
                  </c:pt>
                  <c:pt idx="257">
                    <c:v>0.56299999999999994</c:v>
                  </c:pt>
                  <c:pt idx="258">
                    <c:v>0.56299999999999994</c:v>
                  </c:pt>
                  <c:pt idx="259">
                    <c:v>0.56379999999999997</c:v>
                  </c:pt>
                  <c:pt idx="260">
                    <c:v>0.56379999999999997</c:v>
                  </c:pt>
                  <c:pt idx="261">
                    <c:v>0.56459999999999999</c:v>
                  </c:pt>
                  <c:pt idx="262">
                    <c:v>0.56459999999999999</c:v>
                  </c:pt>
                  <c:pt idx="263">
                    <c:v>0.56459999999999999</c:v>
                  </c:pt>
                  <c:pt idx="264">
                    <c:v>0.56540000000000001</c:v>
                  </c:pt>
                  <c:pt idx="265">
                    <c:v>0.56540000000000001</c:v>
                  </c:pt>
                  <c:pt idx="266">
                    <c:v>0.56540000000000001</c:v>
                  </c:pt>
                  <c:pt idx="267">
                    <c:v>0.56620000000000004</c:v>
                  </c:pt>
                  <c:pt idx="268">
                    <c:v>0.56620000000000004</c:v>
                  </c:pt>
                  <c:pt idx="269">
                    <c:v>0.56620000000000004</c:v>
                  </c:pt>
                  <c:pt idx="270">
                    <c:v>0.56699999999999995</c:v>
                  </c:pt>
                  <c:pt idx="271">
                    <c:v>0.56699999999999995</c:v>
                  </c:pt>
                  <c:pt idx="272">
                    <c:v>0.56859999999999999</c:v>
                  </c:pt>
                  <c:pt idx="273">
                    <c:v>0.56940000000000002</c:v>
                  </c:pt>
                  <c:pt idx="274">
                    <c:v>0.56940000000000002</c:v>
                  </c:pt>
                  <c:pt idx="275">
                    <c:v>0.56940000000000002</c:v>
                  </c:pt>
                  <c:pt idx="276">
                    <c:v>0.57099999999999995</c:v>
                  </c:pt>
                  <c:pt idx="277">
                    <c:v>0.57099999999999995</c:v>
                  </c:pt>
                  <c:pt idx="278">
                    <c:v>0.57099999999999995</c:v>
                  </c:pt>
                  <c:pt idx="279">
                    <c:v>0.57179999999999997</c:v>
                  </c:pt>
                  <c:pt idx="280">
                    <c:v>0.5726</c:v>
                  </c:pt>
                  <c:pt idx="281">
                    <c:v>0.5726</c:v>
                  </c:pt>
                  <c:pt idx="282">
                    <c:v>0.57340000000000002</c:v>
                  </c:pt>
                  <c:pt idx="283">
                    <c:v>0.57420000000000004</c:v>
                  </c:pt>
                  <c:pt idx="284">
                    <c:v>0.57499999999999996</c:v>
                  </c:pt>
                  <c:pt idx="285">
                    <c:v>0.57499999999999996</c:v>
                  </c:pt>
                  <c:pt idx="286">
                    <c:v>0.57499999999999996</c:v>
                  </c:pt>
                  <c:pt idx="287">
                    <c:v>0.57579999999999998</c:v>
                  </c:pt>
                  <c:pt idx="288">
                    <c:v>0.57579999999999998</c:v>
                  </c:pt>
                  <c:pt idx="289">
                    <c:v>0.5766</c:v>
                  </c:pt>
                  <c:pt idx="290">
                    <c:v>0.5766</c:v>
                  </c:pt>
                  <c:pt idx="291">
                    <c:v>0.57740000000000002</c:v>
                  </c:pt>
                  <c:pt idx="292">
                    <c:v>0.57740000000000002</c:v>
                  </c:pt>
                  <c:pt idx="293">
                    <c:v>0.57819999999999994</c:v>
                  </c:pt>
                  <c:pt idx="294">
                    <c:v>0.57899999999999996</c:v>
                  </c:pt>
                  <c:pt idx="295">
                    <c:v>0.57899999999999996</c:v>
                  </c:pt>
                  <c:pt idx="296">
                    <c:v>0.57979999999999998</c:v>
                  </c:pt>
                  <c:pt idx="297">
                    <c:v>0.5806</c:v>
                  </c:pt>
                  <c:pt idx="298">
                    <c:v>0.58140000000000003</c:v>
                  </c:pt>
                  <c:pt idx="299">
                    <c:v>0.58140000000000003</c:v>
                  </c:pt>
                  <c:pt idx="300">
                    <c:v>0.58140000000000003</c:v>
                  </c:pt>
                  <c:pt idx="301">
                    <c:v>0.58219999999999994</c:v>
                  </c:pt>
                  <c:pt idx="302">
                    <c:v>0.58219999999999994</c:v>
                  </c:pt>
                  <c:pt idx="303">
                    <c:v>0.58299999999999996</c:v>
                  </c:pt>
                  <c:pt idx="304">
                    <c:v>0.58379999999999999</c:v>
                  </c:pt>
                  <c:pt idx="305">
                    <c:v>0.58379999999999999</c:v>
                  </c:pt>
                  <c:pt idx="306">
                    <c:v>0.58460000000000001</c:v>
                  </c:pt>
                  <c:pt idx="307">
                    <c:v>0.58460000000000001</c:v>
                  </c:pt>
                  <c:pt idx="308">
                    <c:v>0.58540000000000003</c:v>
                  </c:pt>
                  <c:pt idx="309">
                    <c:v>0.58540000000000003</c:v>
                  </c:pt>
                  <c:pt idx="310">
                    <c:v>0.58619999999999994</c:v>
                  </c:pt>
                  <c:pt idx="311">
                    <c:v>0.58619999999999994</c:v>
                  </c:pt>
                  <c:pt idx="312">
                    <c:v>0.58699999999999997</c:v>
                  </c:pt>
                  <c:pt idx="313">
                    <c:v>0.58699999999999997</c:v>
                  </c:pt>
                  <c:pt idx="314">
                    <c:v>0.58860000000000001</c:v>
                  </c:pt>
                  <c:pt idx="315">
                    <c:v>0.58860000000000001</c:v>
                  </c:pt>
                  <c:pt idx="316">
                    <c:v>0.58940000000000003</c:v>
                  </c:pt>
                  <c:pt idx="317">
                    <c:v>0.58940000000000003</c:v>
                  </c:pt>
                  <c:pt idx="318">
                    <c:v>0.58940000000000003</c:v>
                  </c:pt>
                  <c:pt idx="319">
                    <c:v>0.59019999999999995</c:v>
                  </c:pt>
                  <c:pt idx="320">
                    <c:v>0.59019999999999995</c:v>
                  </c:pt>
                  <c:pt idx="321">
                    <c:v>0.59099999999999997</c:v>
                  </c:pt>
                  <c:pt idx="322">
                    <c:v>0.59099999999999997</c:v>
                  </c:pt>
                  <c:pt idx="323">
                    <c:v>0.59179999999999999</c:v>
                  </c:pt>
                  <c:pt idx="324">
                    <c:v>0.59260000000000002</c:v>
                  </c:pt>
                  <c:pt idx="325">
                    <c:v>0.59260000000000002</c:v>
                  </c:pt>
                  <c:pt idx="326">
                    <c:v>0.59340000000000004</c:v>
                  </c:pt>
                  <c:pt idx="327">
                    <c:v>0.59419999999999995</c:v>
                  </c:pt>
                  <c:pt idx="328">
                    <c:v>0.59419999999999995</c:v>
                  </c:pt>
                  <c:pt idx="329">
                    <c:v>0.59499999999999997</c:v>
                  </c:pt>
                  <c:pt idx="330">
                    <c:v>0.59660000000000002</c:v>
                  </c:pt>
                  <c:pt idx="331">
                    <c:v>0.59899999999999998</c:v>
                  </c:pt>
                  <c:pt idx="332">
                    <c:v>0.59899999999999998</c:v>
                  </c:pt>
                  <c:pt idx="333">
                    <c:v>0.59899999999999998</c:v>
                  </c:pt>
                  <c:pt idx="334">
                    <c:v>0.59899999999999998</c:v>
                  </c:pt>
                  <c:pt idx="335">
                    <c:v>0.60060000000000002</c:v>
                  </c:pt>
                  <c:pt idx="336">
                    <c:v>0.60139999999999993</c:v>
                  </c:pt>
                  <c:pt idx="337">
                    <c:v>0.60139999999999993</c:v>
                  </c:pt>
                  <c:pt idx="338">
                    <c:v>0.60139999999999993</c:v>
                  </c:pt>
                  <c:pt idx="339">
                    <c:v>0.60219999999999996</c:v>
                  </c:pt>
                  <c:pt idx="340">
                    <c:v>0.60219999999999996</c:v>
                  </c:pt>
                  <c:pt idx="341">
                    <c:v>0.60299999999999998</c:v>
                  </c:pt>
                  <c:pt idx="342">
                    <c:v>0.60299999999999998</c:v>
                  </c:pt>
                  <c:pt idx="343">
                    <c:v>0.6038</c:v>
                  </c:pt>
                  <c:pt idx="344">
                    <c:v>0.6038</c:v>
                  </c:pt>
                  <c:pt idx="345">
                    <c:v>0.6038</c:v>
                  </c:pt>
                  <c:pt idx="346">
                    <c:v>0.60539999999999994</c:v>
                  </c:pt>
                  <c:pt idx="347">
                    <c:v>0.60539999999999994</c:v>
                  </c:pt>
                  <c:pt idx="348">
                    <c:v>0.60619999999999996</c:v>
                  </c:pt>
                  <c:pt idx="349">
                    <c:v>0.60619999999999996</c:v>
                  </c:pt>
                  <c:pt idx="350">
                    <c:v>0.60619999999999996</c:v>
                  </c:pt>
                  <c:pt idx="351">
                    <c:v>0.60699999999999998</c:v>
                  </c:pt>
                  <c:pt idx="352">
                    <c:v>0.60780000000000001</c:v>
                  </c:pt>
                  <c:pt idx="353">
                    <c:v>0.60860000000000003</c:v>
                  </c:pt>
                  <c:pt idx="354">
                    <c:v>0.60860000000000003</c:v>
                  </c:pt>
                  <c:pt idx="355">
                    <c:v>0.60939999999999994</c:v>
                  </c:pt>
                  <c:pt idx="356">
                    <c:v>0.61019999999999996</c:v>
                  </c:pt>
                  <c:pt idx="357">
                    <c:v>0.61019999999999996</c:v>
                  </c:pt>
                  <c:pt idx="358">
                    <c:v>0.61180000000000001</c:v>
                  </c:pt>
                  <c:pt idx="359">
                    <c:v>0.61180000000000001</c:v>
                  </c:pt>
                  <c:pt idx="360">
                    <c:v>0.61260000000000003</c:v>
                  </c:pt>
                  <c:pt idx="361">
                    <c:v>0.61260000000000003</c:v>
                  </c:pt>
                  <c:pt idx="362">
                    <c:v>0.61260000000000003</c:v>
                  </c:pt>
                  <c:pt idx="363">
                    <c:v>0.61499999999999999</c:v>
                  </c:pt>
                  <c:pt idx="364">
                    <c:v>0.61580000000000001</c:v>
                  </c:pt>
                  <c:pt idx="365">
                    <c:v>0.61580000000000001</c:v>
                  </c:pt>
                  <c:pt idx="366">
                    <c:v>0.61580000000000001</c:v>
                  </c:pt>
                  <c:pt idx="367">
                    <c:v>0.61739999999999995</c:v>
                  </c:pt>
                  <c:pt idx="368">
                    <c:v>0.61819999999999997</c:v>
                  </c:pt>
                  <c:pt idx="369">
                    <c:v>0.61899999999999999</c:v>
                  </c:pt>
                  <c:pt idx="370">
                    <c:v>0.61899999999999999</c:v>
                  </c:pt>
                  <c:pt idx="371">
                    <c:v>0.62060000000000004</c:v>
                  </c:pt>
                  <c:pt idx="372">
                    <c:v>0.62060000000000004</c:v>
                  </c:pt>
                  <c:pt idx="373">
                    <c:v>0.62139999999999995</c:v>
                  </c:pt>
                  <c:pt idx="374">
                    <c:v>0.62139999999999995</c:v>
                  </c:pt>
                  <c:pt idx="375">
                    <c:v>0.62219999999999998</c:v>
                  </c:pt>
                  <c:pt idx="376">
                    <c:v>0.623</c:v>
                  </c:pt>
                  <c:pt idx="377">
                    <c:v>0.62380000000000002</c:v>
                  </c:pt>
                  <c:pt idx="378">
                    <c:v>0.62460000000000004</c:v>
                  </c:pt>
                  <c:pt idx="379">
                    <c:v>0.62460000000000004</c:v>
                  </c:pt>
                  <c:pt idx="380">
                    <c:v>0.62460000000000004</c:v>
                  </c:pt>
                  <c:pt idx="381">
                    <c:v>0.62539999999999996</c:v>
                  </c:pt>
                  <c:pt idx="382">
                    <c:v>0.62539999999999996</c:v>
                  </c:pt>
                  <c:pt idx="383">
                    <c:v>0.62539999999999996</c:v>
                  </c:pt>
                  <c:pt idx="384">
                    <c:v>0.62619999999999998</c:v>
                  </c:pt>
                  <c:pt idx="385">
                    <c:v>0.62619999999999998</c:v>
                  </c:pt>
                  <c:pt idx="386">
                    <c:v>0.62619999999999998</c:v>
                  </c:pt>
                  <c:pt idx="387">
                    <c:v>0.627</c:v>
                  </c:pt>
                  <c:pt idx="388">
                    <c:v>0.627</c:v>
                  </c:pt>
                  <c:pt idx="389">
                    <c:v>0.62780000000000002</c:v>
                  </c:pt>
                  <c:pt idx="390">
                    <c:v>0.62780000000000002</c:v>
                  </c:pt>
                  <c:pt idx="391">
                    <c:v>0.62859999999999994</c:v>
                  </c:pt>
                  <c:pt idx="392">
                    <c:v>0.63019999999999998</c:v>
                  </c:pt>
                  <c:pt idx="393">
                    <c:v>0.63019999999999998</c:v>
                  </c:pt>
                  <c:pt idx="394">
                    <c:v>0.63100000000000001</c:v>
                  </c:pt>
                  <c:pt idx="395">
                    <c:v>0.63100000000000001</c:v>
                  </c:pt>
                  <c:pt idx="396">
                    <c:v>0.63100000000000001</c:v>
                  </c:pt>
                  <c:pt idx="397">
                    <c:v>0.63180000000000003</c:v>
                  </c:pt>
                  <c:pt idx="398">
                    <c:v>0.63259999999999994</c:v>
                  </c:pt>
                  <c:pt idx="399">
                    <c:v>0.63259999999999994</c:v>
                  </c:pt>
                  <c:pt idx="400">
                    <c:v>0.63259999999999994</c:v>
                  </c:pt>
                  <c:pt idx="401">
                    <c:v>0.63339999999999996</c:v>
                  </c:pt>
                  <c:pt idx="402">
                    <c:v>0.63339999999999996</c:v>
                  </c:pt>
                  <c:pt idx="403">
                    <c:v>0.63500000000000001</c:v>
                  </c:pt>
                  <c:pt idx="404">
                    <c:v>0.63500000000000001</c:v>
                  </c:pt>
                  <c:pt idx="405">
                    <c:v>0.63580000000000003</c:v>
                  </c:pt>
                  <c:pt idx="406">
                    <c:v>0.63580000000000003</c:v>
                  </c:pt>
                  <c:pt idx="407">
                    <c:v>0.63739999999999997</c:v>
                  </c:pt>
                  <c:pt idx="408">
                    <c:v>0.63819999999999999</c:v>
                  </c:pt>
                  <c:pt idx="409">
                    <c:v>0.63819999999999999</c:v>
                  </c:pt>
                  <c:pt idx="410">
                    <c:v>0.63900000000000001</c:v>
                  </c:pt>
                  <c:pt idx="411">
                    <c:v>0.63980000000000004</c:v>
                  </c:pt>
                  <c:pt idx="412">
                    <c:v>0.63980000000000004</c:v>
                  </c:pt>
                  <c:pt idx="413">
                    <c:v>0.64059999999999995</c:v>
                  </c:pt>
                  <c:pt idx="414">
                    <c:v>0.64059999999999995</c:v>
                  </c:pt>
                  <c:pt idx="415">
                    <c:v>0.64139999999999997</c:v>
                  </c:pt>
                  <c:pt idx="416">
                    <c:v>0.64219999999999999</c:v>
                  </c:pt>
                  <c:pt idx="417">
                    <c:v>0.64219999999999999</c:v>
                  </c:pt>
                  <c:pt idx="418">
                    <c:v>0.64300000000000002</c:v>
                  </c:pt>
                  <c:pt idx="419">
                    <c:v>0.64300000000000002</c:v>
                  </c:pt>
                  <c:pt idx="420">
                    <c:v>0.64380000000000004</c:v>
                  </c:pt>
                  <c:pt idx="421">
                    <c:v>0.64380000000000004</c:v>
                  </c:pt>
                  <c:pt idx="422">
                    <c:v>0.64459999999999995</c:v>
                  </c:pt>
                  <c:pt idx="423">
                    <c:v>0.64459999999999995</c:v>
                  </c:pt>
                  <c:pt idx="424">
                    <c:v>0.64539999999999997</c:v>
                  </c:pt>
                  <c:pt idx="425">
                    <c:v>0.64539999999999997</c:v>
                  </c:pt>
                  <c:pt idx="426">
                    <c:v>0.6462</c:v>
                  </c:pt>
                  <c:pt idx="427">
                    <c:v>0.6462</c:v>
                  </c:pt>
                  <c:pt idx="428">
                    <c:v>0.64700000000000002</c:v>
                  </c:pt>
                  <c:pt idx="429">
                    <c:v>0.64780000000000004</c:v>
                  </c:pt>
                  <c:pt idx="430">
                    <c:v>0.64780000000000004</c:v>
                  </c:pt>
                  <c:pt idx="431">
                    <c:v>0.64780000000000004</c:v>
                  </c:pt>
                  <c:pt idx="432">
                    <c:v>0.64859999999999995</c:v>
                  </c:pt>
                  <c:pt idx="433">
                    <c:v>0.64859999999999995</c:v>
                  </c:pt>
                  <c:pt idx="434">
                    <c:v>0.64859999999999995</c:v>
                  </c:pt>
                  <c:pt idx="435">
                    <c:v>0.64939999999999998</c:v>
                  </c:pt>
                  <c:pt idx="436">
                    <c:v>0.64939999999999998</c:v>
                  </c:pt>
                  <c:pt idx="437">
                    <c:v>0.65100000000000002</c:v>
                  </c:pt>
                  <c:pt idx="438">
                    <c:v>0.65179999999999993</c:v>
                  </c:pt>
                  <c:pt idx="439">
                    <c:v>0.65339999999999998</c:v>
                  </c:pt>
                  <c:pt idx="440">
                    <c:v>0.65339999999999998</c:v>
                  </c:pt>
                  <c:pt idx="441">
                    <c:v>0.65339999999999998</c:v>
                  </c:pt>
                  <c:pt idx="442">
                    <c:v>0.6542</c:v>
                  </c:pt>
                  <c:pt idx="443">
                    <c:v>0.65500000000000003</c:v>
                  </c:pt>
                  <c:pt idx="444">
                    <c:v>0.65500000000000003</c:v>
                  </c:pt>
                  <c:pt idx="445">
                    <c:v>0.65579999999999994</c:v>
                  </c:pt>
                  <c:pt idx="446">
                    <c:v>0.65579999999999994</c:v>
                  </c:pt>
                  <c:pt idx="447">
                    <c:v>0.65659999999999996</c:v>
                  </c:pt>
                  <c:pt idx="448">
                    <c:v>0.65659999999999996</c:v>
                  </c:pt>
                  <c:pt idx="449">
                    <c:v>0.65739999999999998</c:v>
                  </c:pt>
                  <c:pt idx="450">
                    <c:v>0.65739999999999998</c:v>
                  </c:pt>
                  <c:pt idx="451">
                    <c:v>0.65820000000000001</c:v>
                  </c:pt>
                  <c:pt idx="452">
                    <c:v>0.65820000000000001</c:v>
                  </c:pt>
                  <c:pt idx="453">
                    <c:v>0.65900000000000003</c:v>
                  </c:pt>
                  <c:pt idx="454">
                    <c:v>0.66059999999999997</c:v>
                  </c:pt>
                  <c:pt idx="455">
                    <c:v>0.66139999999999999</c:v>
                  </c:pt>
                  <c:pt idx="456">
                    <c:v>0.66139999999999999</c:v>
                  </c:pt>
                  <c:pt idx="457">
                    <c:v>0.66220000000000001</c:v>
                  </c:pt>
                  <c:pt idx="458">
                    <c:v>0.66300000000000003</c:v>
                  </c:pt>
                  <c:pt idx="459">
                    <c:v>0.66300000000000003</c:v>
                  </c:pt>
                  <c:pt idx="460">
                    <c:v>0.66379999999999995</c:v>
                  </c:pt>
                  <c:pt idx="461">
                    <c:v>0.66459999999999997</c:v>
                  </c:pt>
                  <c:pt idx="462">
                    <c:v>0.66539999999999999</c:v>
                  </c:pt>
                  <c:pt idx="463">
                    <c:v>0.66539999999999999</c:v>
                  </c:pt>
                  <c:pt idx="464">
                    <c:v>0.66620000000000001</c:v>
                  </c:pt>
                  <c:pt idx="465">
                    <c:v>0.66700000000000004</c:v>
                  </c:pt>
                  <c:pt idx="466">
                    <c:v>0.66779999999999995</c:v>
                  </c:pt>
                  <c:pt idx="467">
                    <c:v>0.66779999999999995</c:v>
                  </c:pt>
                  <c:pt idx="468">
                    <c:v>0.66859999999999997</c:v>
                  </c:pt>
                  <c:pt idx="469">
                    <c:v>0.6694</c:v>
                  </c:pt>
                  <c:pt idx="470">
                    <c:v>0.67020000000000002</c:v>
                  </c:pt>
                  <c:pt idx="471">
                    <c:v>0.67100000000000004</c:v>
                  </c:pt>
                  <c:pt idx="472">
                    <c:v>0.67179999999999995</c:v>
                  </c:pt>
                  <c:pt idx="473">
                    <c:v>0.67179999999999995</c:v>
                  </c:pt>
                  <c:pt idx="474">
                    <c:v>0.67259999999999998</c:v>
                  </c:pt>
                  <c:pt idx="475">
                    <c:v>0.67500000000000004</c:v>
                  </c:pt>
                  <c:pt idx="476">
                    <c:v>0.67579999999999996</c:v>
                  </c:pt>
                  <c:pt idx="477">
                    <c:v>0.67659999999999998</c:v>
                  </c:pt>
                  <c:pt idx="478">
                    <c:v>0.67659999999999998</c:v>
                  </c:pt>
                  <c:pt idx="479">
                    <c:v>0.67820000000000003</c:v>
                  </c:pt>
                  <c:pt idx="480">
                    <c:v>0.67899999999999994</c:v>
                  </c:pt>
                  <c:pt idx="481">
                    <c:v>0.67820000000000003</c:v>
                  </c:pt>
                  <c:pt idx="482">
                    <c:v>0.67899999999999994</c:v>
                  </c:pt>
                  <c:pt idx="483">
                    <c:v>0.67899999999999994</c:v>
                  </c:pt>
                  <c:pt idx="484">
                    <c:v>0.67979999999999996</c:v>
                  </c:pt>
                  <c:pt idx="485">
                    <c:v>0.67979999999999996</c:v>
                  </c:pt>
                  <c:pt idx="486">
                    <c:v>0.67979999999999996</c:v>
                  </c:pt>
                  <c:pt idx="487">
                    <c:v>0.68059999999999998</c:v>
                  </c:pt>
                  <c:pt idx="488">
                    <c:v>0.68140000000000001</c:v>
                  </c:pt>
                  <c:pt idx="489">
                    <c:v>0.68140000000000001</c:v>
                  </c:pt>
                  <c:pt idx="490">
                    <c:v>0.68220000000000003</c:v>
                  </c:pt>
                  <c:pt idx="491">
                    <c:v>0.68220000000000003</c:v>
                  </c:pt>
                  <c:pt idx="492">
                    <c:v>0.68299999999999994</c:v>
                  </c:pt>
                  <c:pt idx="493">
                    <c:v>0.68299999999999994</c:v>
                  </c:pt>
                  <c:pt idx="494">
                    <c:v>0.68379999999999996</c:v>
                  </c:pt>
                  <c:pt idx="495">
                    <c:v>0.68459999999999999</c:v>
                  </c:pt>
                  <c:pt idx="496">
                    <c:v>0.68459999999999999</c:v>
                  </c:pt>
                  <c:pt idx="497">
                    <c:v>0.68459999999999999</c:v>
                  </c:pt>
                  <c:pt idx="498">
                    <c:v>0.68540000000000001</c:v>
                  </c:pt>
                  <c:pt idx="499">
                    <c:v>0.68540000000000001</c:v>
                  </c:pt>
                  <c:pt idx="500">
                    <c:v>0.68699999999999994</c:v>
                  </c:pt>
                  <c:pt idx="501">
                    <c:v>0.68859999999999999</c:v>
                  </c:pt>
                  <c:pt idx="502">
                    <c:v>0.68859999999999999</c:v>
                  </c:pt>
                  <c:pt idx="503">
                    <c:v>0.68940000000000001</c:v>
                  </c:pt>
                  <c:pt idx="504">
                    <c:v>0.68940000000000001</c:v>
                  </c:pt>
                  <c:pt idx="505">
                    <c:v>0.69020000000000004</c:v>
                  </c:pt>
                  <c:pt idx="506">
                    <c:v>0.69099999999999995</c:v>
                  </c:pt>
                  <c:pt idx="507">
                    <c:v>0.69099999999999995</c:v>
                  </c:pt>
                  <c:pt idx="508">
                    <c:v>0.69179999999999997</c:v>
                  </c:pt>
                  <c:pt idx="509">
                    <c:v>0.69259999999999999</c:v>
                  </c:pt>
                  <c:pt idx="510">
                    <c:v>0.69340000000000002</c:v>
                  </c:pt>
                  <c:pt idx="511">
                    <c:v>0.69499999999999995</c:v>
                  </c:pt>
                  <c:pt idx="512">
                    <c:v>0.69499999999999995</c:v>
                  </c:pt>
                  <c:pt idx="513">
                    <c:v>0.69579999999999997</c:v>
                  </c:pt>
                  <c:pt idx="514">
                    <c:v>0.69579999999999997</c:v>
                  </c:pt>
                  <c:pt idx="515">
                    <c:v>0.6966</c:v>
                  </c:pt>
                  <c:pt idx="516">
                    <c:v>0.6966</c:v>
                  </c:pt>
                  <c:pt idx="517">
                    <c:v>0.6966</c:v>
                  </c:pt>
                  <c:pt idx="518">
                    <c:v>0.69740000000000002</c:v>
                  </c:pt>
                  <c:pt idx="519">
                    <c:v>0.69740000000000002</c:v>
                  </c:pt>
                  <c:pt idx="520">
                    <c:v>0.69820000000000004</c:v>
                  </c:pt>
                  <c:pt idx="521">
                    <c:v>0.69740000000000002</c:v>
                  </c:pt>
                  <c:pt idx="522">
                    <c:v>0.69740000000000002</c:v>
                  </c:pt>
                  <c:pt idx="523">
                    <c:v>0.69820000000000004</c:v>
                  </c:pt>
                  <c:pt idx="524">
                    <c:v>0.69899999999999995</c:v>
                  </c:pt>
                  <c:pt idx="525">
                    <c:v>0.69899999999999995</c:v>
                  </c:pt>
                  <c:pt idx="526">
                    <c:v>0.7006</c:v>
                  </c:pt>
                  <c:pt idx="527">
                    <c:v>0.70140000000000002</c:v>
                  </c:pt>
                  <c:pt idx="528">
                    <c:v>0.70140000000000002</c:v>
                  </c:pt>
                  <c:pt idx="529">
                    <c:v>0.70140000000000002</c:v>
                  </c:pt>
                  <c:pt idx="530">
                    <c:v>0.70140000000000002</c:v>
                  </c:pt>
                  <c:pt idx="531">
                    <c:v>0.70140000000000002</c:v>
                  </c:pt>
                  <c:pt idx="532">
                    <c:v>0.70140000000000002</c:v>
                  </c:pt>
                  <c:pt idx="533">
                    <c:v>0.70140000000000002</c:v>
                  </c:pt>
                </c:numCache>
              </c:numRef>
            </c:plus>
            <c:minus>
              <c:numRef>
                <c:f>'1'!$C$11:$C$544</c:f>
                <c:numCache>
                  <c:formatCode>General</c:formatCode>
                  <c:ptCount val="534"/>
                  <c:pt idx="0">
                    <c:v>4.5999999999999999E-3</c:v>
                  </c:pt>
                  <c:pt idx="1">
                    <c:v>6.2000000000000006E-3</c:v>
                  </c:pt>
                  <c:pt idx="2">
                    <c:v>7.8000000000000005E-3</c:v>
                  </c:pt>
                  <c:pt idx="3">
                    <c:v>1.0199999999999999E-2</c:v>
                  </c:pt>
                  <c:pt idx="4">
                    <c:v>1.0199999999999999E-2</c:v>
                  </c:pt>
                  <c:pt idx="5">
                    <c:v>1.18E-2</c:v>
                  </c:pt>
                  <c:pt idx="6">
                    <c:v>1.4999999999999999E-2</c:v>
                  </c:pt>
                  <c:pt idx="7">
                    <c:v>1.8200000000000001E-2</c:v>
                  </c:pt>
                  <c:pt idx="8">
                    <c:v>2.86E-2</c:v>
                  </c:pt>
                  <c:pt idx="9">
                    <c:v>3.1E-2</c:v>
                  </c:pt>
                  <c:pt idx="10">
                    <c:v>3.5000000000000003E-2</c:v>
                  </c:pt>
                  <c:pt idx="11">
                    <c:v>3.5800000000000005E-2</c:v>
                  </c:pt>
                  <c:pt idx="12">
                    <c:v>4.2200000000000001E-2</c:v>
                  </c:pt>
                  <c:pt idx="13">
                    <c:v>4.3800000000000006E-2</c:v>
                  </c:pt>
                  <c:pt idx="14">
                    <c:v>4.7E-2</c:v>
                  </c:pt>
                  <c:pt idx="15">
                    <c:v>4.8600000000000004E-2</c:v>
                  </c:pt>
                  <c:pt idx="16">
                    <c:v>5.1800000000000006E-2</c:v>
                  </c:pt>
                  <c:pt idx="17">
                    <c:v>5.3400000000000003E-2</c:v>
                  </c:pt>
                  <c:pt idx="18">
                    <c:v>5.5800000000000002E-2</c:v>
                  </c:pt>
                  <c:pt idx="19">
                    <c:v>5.74E-2</c:v>
                  </c:pt>
                  <c:pt idx="20">
                    <c:v>5.9000000000000004E-2</c:v>
                  </c:pt>
                  <c:pt idx="21">
                    <c:v>6.1400000000000003E-2</c:v>
                  </c:pt>
                  <c:pt idx="22">
                    <c:v>6.3E-2</c:v>
                  </c:pt>
                  <c:pt idx="23">
                    <c:v>6.9400000000000003E-2</c:v>
                  </c:pt>
                  <c:pt idx="24">
                    <c:v>7.4999999999999997E-2</c:v>
                  </c:pt>
                  <c:pt idx="25">
                    <c:v>7.8200000000000006E-2</c:v>
                  </c:pt>
                  <c:pt idx="26">
                    <c:v>8.0600000000000005E-2</c:v>
                  </c:pt>
                  <c:pt idx="27">
                    <c:v>9.5000000000000001E-2</c:v>
                  </c:pt>
                  <c:pt idx="28">
                    <c:v>9.9000000000000005E-2</c:v>
                  </c:pt>
                  <c:pt idx="29">
                    <c:v>0.1022</c:v>
                  </c:pt>
                  <c:pt idx="30">
                    <c:v>0.10540000000000001</c:v>
                  </c:pt>
                  <c:pt idx="31">
                    <c:v>0.11020000000000001</c:v>
                  </c:pt>
                  <c:pt idx="32">
                    <c:v>0.1142</c:v>
                  </c:pt>
                  <c:pt idx="33">
                    <c:v>0.12140000000000001</c:v>
                  </c:pt>
                  <c:pt idx="34">
                    <c:v>0.1246</c:v>
                  </c:pt>
                  <c:pt idx="35">
                    <c:v>0.13019999999999998</c:v>
                  </c:pt>
                  <c:pt idx="36">
                    <c:v>0.13499999999999998</c:v>
                  </c:pt>
                  <c:pt idx="37">
                    <c:v>0.14859999999999998</c:v>
                  </c:pt>
                  <c:pt idx="38">
                    <c:v>0.151</c:v>
                  </c:pt>
                  <c:pt idx="39">
                    <c:v>0.15339999999999998</c:v>
                  </c:pt>
                  <c:pt idx="40">
                    <c:v>0.16139999999999999</c:v>
                  </c:pt>
                  <c:pt idx="41">
                    <c:v>0.16699999999999998</c:v>
                  </c:pt>
                  <c:pt idx="42">
                    <c:v>0.18779999999999999</c:v>
                  </c:pt>
                  <c:pt idx="43">
                    <c:v>0.19339999999999999</c:v>
                  </c:pt>
                  <c:pt idx="44">
                    <c:v>0.19739999999999999</c:v>
                  </c:pt>
                  <c:pt idx="45">
                    <c:v>0.2014</c:v>
                  </c:pt>
                  <c:pt idx="46">
                    <c:v>0.21179999999999999</c:v>
                  </c:pt>
                  <c:pt idx="47">
                    <c:v>0.21579999999999999</c:v>
                  </c:pt>
                  <c:pt idx="48">
                    <c:v>0.22139999999999999</c:v>
                  </c:pt>
                  <c:pt idx="49">
                    <c:v>0.22699999999999998</c:v>
                  </c:pt>
                  <c:pt idx="50">
                    <c:v>0.23179999999999998</c:v>
                  </c:pt>
                  <c:pt idx="51">
                    <c:v>0.23579999999999998</c:v>
                  </c:pt>
                  <c:pt idx="52">
                    <c:v>0.23979999999999999</c:v>
                  </c:pt>
                  <c:pt idx="53">
                    <c:v>0.24059999999999998</c:v>
                  </c:pt>
                  <c:pt idx="54">
                    <c:v>0.24459999999999998</c:v>
                  </c:pt>
                  <c:pt idx="55">
                    <c:v>0.247</c:v>
                  </c:pt>
                  <c:pt idx="56">
                    <c:v>0.25419999999999998</c:v>
                  </c:pt>
                  <c:pt idx="57">
                    <c:v>0.25739999999999996</c:v>
                  </c:pt>
                  <c:pt idx="58">
                    <c:v>0.2606</c:v>
                  </c:pt>
                  <c:pt idx="59">
                    <c:v>0.26219999999999999</c:v>
                  </c:pt>
                  <c:pt idx="60">
                    <c:v>0.26619999999999999</c:v>
                  </c:pt>
                  <c:pt idx="61">
                    <c:v>0.26860000000000001</c:v>
                  </c:pt>
                  <c:pt idx="62">
                    <c:v>0.27099999999999996</c:v>
                  </c:pt>
                  <c:pt idx="63">
                    <c:v>0.29020000000000001</c:v>
                  </c:pt>
                  <c:pt idx="64">
                    <c:v>0.2974</c:v>
                  </c:pt>
                  <c:pt idx="65">
                    <c:v>0.29980000000000001</c:v>
                  </c:pt>
                  <c:pt idx="66">
                    <c:v>0.30219999999999997</c:v>
                  </c:pt>
                  <c:pt idx="67">
                    <c:v>0.30459999999999998</c:v>
                  </c:pt>
                  <c:pt idx="68">
                    <c:v>0.30619999999999997</c:v>
                  </c:pt>
                  <c:pt idx="69">
                    <c:v>0.311</c:v>
                  </c:pt>
                  <c:pt idx="70">
                    <c:v>0.315</c:v>
                  </c:pt>
                  <c:pt idx="71">
                    <c:v>0.31579999999999997</c:v>
                  </c:pt>
                  <c:pt idx="72">
                    <c:v>0.31740000000000002</c:v>
                  </c:pt>
                  <c:pt idx="73">
                    <c:v>0.31819999999999998</c:v>
                  </c:pt>
                  <c:pt idx="74">
                    <c:v>0.32300000000000001</c:v>
                  </c:pt>
                  <c:pt idx="75">
                    <c:v>0.32619999999999999</c:v>
                  </c:pt>
                  <c:pt idx="76">
                    <c:v>0.3286</c:v>
                  </c:pt>
                  <c:pt idx="77">
                    <c:v>0.33339999999999997</c:v>
                  </c:pt>
                  <c:pt idx="78">
                    <c:v>0.33660000000000001</c:v>
                  </c:pt>
                  <c:pt idx="79">
                    <c:v>0.33979999999999999</c:v>
                  </c:pt>
                  <c:pt idx="80">
                    <c:v>0.35020000000000001</c:v>
                  </c:pt>
                  <c:pt idx="81">
                    <c:v>0.35259999999999997</c:v>
                  </c:pt>
                  <c:pt idx="82">
                    <c:v>0.35420000000000001</c:v>
                  </c:pt>
                  <c:pt idx="83">
                    <c:v>0.35659999999999997</c:v>
                  </c:pt>
                  <c:pt idx="84">
                    <c:v>0.3654</c:v>
                  </c:pt>
                  <c:pt idx="85">
                    <c:v>0.36699999999999999</c:v>
                  </c:pt>
                  <c:pt idx="86">
                    <c:v>0.36940000000000001</c:v>
                  </c:pt>
                  <c:pt idx="87">
                    <c:v>0.371</c:v>
                  </c:pt>
                  <c:pt idx="88">
                    <c:v>0.37179999999999996</c:v>
                  </c:pt>
                  <c:pt idx="89">
                    <c:v>0.37579999999999997</c:v>
                  </c:pt>
                  <c:pt idx="90">
                    <c:v>0.379</c:v>
                  </c:pt>
                  <c:pt idx="91">
                    <c:v>0.38059999999999999</c:v>
                  </c:pt>
                  <c:pt idx="92">
                    <c:v>0.38300000000000001</c:v>
                  </c:pt>
                  <c:pt idx="93">
                    <c:v>0.3846</c:v>
                  </c:pt>
                  <c:pt idx="94">
                    <c:v>0.38700000000000001</c:v>
                  </c:pt>
                  <c:pt idx="95">
                    <c:v>0.3886</c:v>
                  </c:pt>
                  <c:pt idx="96">
                    <c:v>0.39179999999999998</c:v>
                  </c:pt>
                  <c:pt idx="97">
                    <c:v>0.39419999999999999</c:v>
                  </c:pt>
                  <c:pt idx="98">
                    <c:v>0.39419999999999999</c:v>
                  </c:pt>
                  <c:pt idx="99">
                    <c:v>0.39579999999999999</c:v>
                  </c:pt>
                  <c:pt idx="100">
                    <c:v>0.3982</c:v>
                  </c:pt>
                  <c:pt idx="101">
                    <c:v>0.40060000000000001</c:v>
                  </c:pt>
                  <c:pt idx="102">
                    <c:v>0.4022</c:v>
                  </c:pt>
                  <c:pt idx="103">
                    <c:v>0.40379999999999999</c:v>
                  </c:pt>
                  <c:pt idx="104">
                    <c:v>0.40539999999999998</c:v>
                  </c:pt>
                  <c:pt idx="105">
                    <c:v>0.40699999999999997</c:v>
                  </c:pt>
                  <c:pt idx="106">
                    <c:v>0.40859999999999996</c:v>
                  </c:pt>
                  <c:pt idx="107">
                    <c:v>0.41820000000000002</c:v>
                  </c:pt>
                  <c:pt idx="108">
                    <c:v>0.42059999999999997</c:v>
                  </c:pt>
                  <c:pt idx="109">
                    <c:v>0.42299999999999999</c:v>
                  </c:pt>
                  <c:pt idx="110">
                    <c:v>0.42459999999999998</c:v>
                  </c:pt>
                  <c:pt idx="111">
                    <c:v>0.42780000000000001</c:v>
                  </c:pt>
                  <c:pt idx="112">
                    <c:v>0.42780000000000001</c:v>
                  </c:pt>
                  <c:pt idx="113">
                    <c:v>0.4294</c:v>
                  </c:pt>
                  <c:pt idx="114">
                    <c:v>0.43340000000000001</c:v>
                  </c:pt>
                  <c:pt idx="115">
                    <c:v>0.43579999999999997</c:v>
                  </c:pt>
                  <c:pt idx="116">
                    <c:v>0.43819999999999998</c:v>
                  </c:pt>
                  <c:pt idx="117">
                    <c:v>0.43979999999999997</c:v>
                  </c:pt>
                  <c:pt idx="118">
                    <c:v>0.44140000000000001</c:v>
                  </c:pt>
                  <c:pt idx="119">
                    <c:v>0.44379999999999997</c:v>
                  </c:pt>
                  <c:pt idx="120">
                    <c:v>0.44539999999999996</c:v>
                  </c:pt>
                  <c:pt idx="121">
                    <c:v>0.44700000000000001</c:v>
                  </c:pt>
                  <c:pt idx="122">
                    <c:v>0.4486</c:v>
                  </c:pt>
                  <c:pt idx="123">
                    <c:v>0.45019999999999999</c:v>
                  </c:pt>
                  <c:pt idx="124">
                    <c:v>0.45500000000000002</c:v>
                  </c:pt>
                  <c:pt idx="125">
                    <c:v>0.45579999999999998</c:v>
                  </c:pt>
                  <c:pt idx="126">
                    <c:v>0.45739999999999997</c:v>
                  </c:pt>
                  <c:pt idx="127">
                    <c:v>0.45899999999999996</c:v>
                  </c:pt>
                  <c:pt idx="128">
                    <c:v>0.46139999999999998</c:v>
                  </c:pt>
                  <c:pt idx="129">
                    <c:v>0.4622</c:v>
                  </c:pt>
                  <c:pt idx="130">
                    <c:v>0.4622</c:v>
                  </c:pt>
                  <c:pt idx="131">
                    <c:v>0.46299999999999997</c:v>
                  </c:pt>
                  <c:pt idx="132">
                    <c:v>0.46379999999999999</c:v>
                  </c:pt>
                  <c:pt idx="133">
                    <c:v>0.46379999999999999</c:v>
                  </c:pt>
                  <c:pt idx="134">
                    <c:v>0.46539999999999998</c:v>
                  </c:pt>
                  <c:pt idx="135">
                    <c:v>0.4662</c:v>
                  </c:pt>
                  <c:pt idx="136">
                    <c:v>0.46699999999999997</c:v>
                  </c:pt>
                  <c:pt idx="137">
                    <c:v>0.46779999999999999</c:v>
                  </c:pt>
                  <c:pt idx="138">
                    <c:v>0.46860000000000002</c:v>
                  </c:pt>
                  <c:pt idx="139">
                    <c:v>0.4718</c:v>
                  </c:pt>
                  <c:pt idx="140">
                    <c:v>0.47259999999999996</c:v>
                  </c:pt>
                  <c:pt idx="141">
                    <c:v>0.47420000000000001</c:v>
                  </c:pt>
                  <c:pt idx="142">
                    <c:v>0.4758</c:v>
                  </c:pt>
                  <c:pt idx="143">
                    <c:v>0.48139999999999999</c:v>
                  </c:pt>
                  <c:pt idx="144">
                    <c:v>0.48219999999999996</c:v>
                  </c:pt>
                  <c:pt idx="145">
                    <c:v>0.48299999999999998</c:v>
                  </c:pt>
                  <c:pt idx="146">
                    <c:v>0.48299999999999998</c:v>
                  </c:pt>
                  <c:pt idx="147">
                    <c:v>0.48380000000000001</c:v>
                  </c:pt>
                  <c:pt idx="148">
                    <c:v>0.48380000000000001</c:v>
                  </c:pt>
                  <c:pt idx="149">
                    <c:v>0.4854</c:v>
                  </c:pt>
                  <c:pt idx="150">
                    <c:v>0.48619999999999997</c:v>
                  </c:pt>
                  <c:pt idx="151">
                    <c:v>0.48699999999999999</c:v>
                  </c:pt>
                  <c:pt idx="152">
                    <c:v>0.48699999999999999</c:v>
                  </c:pt>
                  <c:pt idx="153">
                    <c:v>0.48780000000000001</c:v>
                  </c:pt>
                  <c:pt idx="154">
                    <c:v>0.48859999999999998</c:v>
                  </c:pt>
                  <c:pt idx="155">
                    <c:v>0.4894</c:v>
                  </c:pt>
                  <c:pt idx="156">
                    <c:v>0.49099999999999999</c:v>
                  </c:pt>
                  <c:pt idx="157">
                    <c:v>0.49099999999999999</c:v>
                  </c:pt>
                  <c:pt idx="158">
                    <c:v>0.49180000000000001</c:v>
                  </c:pt>
                  <c:pt idx="159">
                    <c:v>0.49259999999999998</c:v>
                  </c:pt>
                  <c:pt idx="160">
                    <c:v>0.495</c:v>
                  </c:pt>
                  <c:pt idx="161">
                    <c:v>0.49659999999999999</c:v>
                  </c:pt>
                  <c:pt idx="162">
                    <c:v>0.49740000000000001</c:v>
                  </c:pt>
                  <c:pt idx="163">
                    <c:v>0.49819999999999998</c:v>
                  </c:pt>
                  <c:pt idx="164">
                    <c:v>0.50139999999999996</c:v>
                  </c:pt>
                  <c:pt idx="165">
                    <c:v>0.50219999999999998</c:v>
                  </c:pt>
                  <c:pt idx="166">
                    <c:v>0.503</c:v>
                  </c:pt>
                  <c:pt idx="167">
                    <c:v>0.50380000000000003</c:v>
                  </c:pt>
                  <c:pt idx="168">
                    <c:v>0.50459999999999994</c:v>
                  </c:pt>
                  <c:pt idx="169">
                    <c:v>0.50539999999999996</c:v>
                  </c:pt>
                  <c:pt idx="170">
                    <c:v>0.50539999999999996</c:v>
                  </c:pt>
                  <c:pt idx="171">
                    <c:v>0.50619999999999998</c:v>
                  </c:pt>
                  <c:pt idx="172">
                    <c:v>0.50700000000000001</c:v>
                  </c:pt>
                  <c:pt idx="173">
                    <c:v>0.50780000000000003</c:v>
                  </c:pt>
                  <c:pt idx="174">
                    <c:v>0.50859999999999994</c:v>
                  </c:pt>
                  <c:pt idx="175">
                    <c:v>0.50939999999999996</c:v>
                  </c:pt>
                  <c:pt idx="176">
                    <c:v>0.51019999999999999</c:v>
                  </c:pt>
                  <c:pt idx="177">
                    <c:v>0.51100000000000001</c:v>
                  </c:pt>
                  <c:pt idx="178">
                    <c:v>0.51180000000000003</c:v>
                  </c:pt>
                  <c:pt idx="179">
                    <c:v>0.51259999999999994</c:v>
                  </c:pt>
                  <c:pt idx="180">
                    <c:v>0.51339999999999997</c:v>
                  </c:pt>
                  <c:pt idx="181">
                    <c:v>0.51580000000000004</c:v>
                  </c:pt>
                  <c:pt idx="182">
                    <c:v>0.51659999999999995</c:v>
                  </c:pt>
                  <c:pt idx="183">
                    <c:v>0.51659999999999995</c:v>
                  </c:pt>
                  <c:pt idx="184">
                    <c:v>0.51739999999999997</c:v>
                  </c:pt>
                  <c:pt idx="185">
                    <c:v>0.51980000000000004</c:v>
                  </c:pt>
                  <c:pt idx="186">
                    <c:v>0.52139999999999997</c:v>
                  </c:pt>
                  <c:pt idx="187">
                    <c:v>0.5222</c:v>
                  </c:pt>
                  <c:pt idx="188">
                    <c:v>0.5222</c:v>
                  </c:pt>
                  <c:pt idx="189">
                    <c:v>0.5222</c:v>
                  </c:pt>
                  <c:pt idx="190">
                    <c:v>0.52300000000000002</c:v>
                  </c:pt>
                  <c:pt idx="191">
                    <c:v>0.52300000000000002</c:v>
                  </c:pt>
                  <c:pt idx="192">
                    <c:v>0.52300000000000002</c:v>
                  </c:pt>
                  <c:pt idx="193">
                    <c:v>0.52300000000000002</c:v>
                  </c:pt>
                  <c:pt idx="194">
                    <c:v>0.52380000000000004</c:v>
                  </c:pt>
                  <c:pt idx="195">
                    <c:v>0.52380000000000004</c:v>
                  </c:pt>
                  <c:pt idx="196">
                    <c:v>0.52539999999999998</c:v>
                  </c:pt>
                  <c:pt idx="197">
                    <c:v>0.52539999999999998</c:v>
                  </c:pt>
                  <c:pt idx="198">
                    <c:v>0.52539999999999998</c:v>
                  </c:pt>
                  <c:pt idx="199">
                    <c:v>0.52539999999999998</c:v>
                  </c:pt>
                  <c:pt idx="200">
                    <c:v>0.52700000000000002</c:v>
                  </c:pt>
                  <c:pt idx="201">
                    <c:v>0.52700000000000002</c:v>
                  </c:pt>
                  <c:pt idx="202">
                    <c:v>0.52700000000000002</c:v>
                  </c:pt>
                  <c:pt idx="203">
                    <c:v>0.52779999999999994</c:v>
                  </c:pt>
                  <c:pt idx="204">
                    <c:v>0.52859999999999996</c:v>
                  </c:pt>
                  <c:pt idx="205">
                    <c:v>0.52939999999999998</c:v>
                  </c:pt>
                  <c:pt idx="206">
                    <c:v>0.5302</c:v>
                  </c:pt>
                  <c:pt idx="207">
                    <c:v>0.5302</c:v>
                  </c:pt>
                  <c:pt idx="208">
                    <c:v>0.53100000000000003</c:v>
                  </c:pt>
                  <c:pt idx="209">
                    <c:v>0.53100000000000003</c:v>
                  </c:pt>
                  <c:pt idx="210">
                    <c:v>0.53100000000000003</c:v>
                  </c:pt>
                  <c:pt idx="211">
                    <c:v>0.53259999999999996</c:v>
                  </c:pt>
                  <c:pt idx="212">
                    <c:v>0.53339999999999999</c:v>
                  </c:pt>
                  <c:pt idx="213">
                    <c:v>0.53339999999999999</c:v>
                  </c:pt>
                  <c:pt idx="214">
                    <c:v>0.53339999999999999</c:v>
                  </c:pt>
                  <c:pt idx="215">
                    <c:v>0.53420000000000001</c:v>
                  </c:pt>
                  <c:pt idx="216">
                    <c:v>0.53500000000000003</c:v>
                  </c:pt>
                  <c:pt idx="217">
                    <c:v>0.53579999999999994</c:v>
                  </c:pt>
                  <c:pt idx="218">
                    <c:v>0.53739999999999999</c:v>
                  </c:pt>
                  <c:pt idx="219">
                    <c:v>0.53820000000000001</c:v>
                  </c:pt>
                  <c:pt idx="220">
                    <c:v>0.53820000000000001</c:v>
                  </c:pt>
                  <c:pt idx="221">
                    <c:v>0.53900000000000003</c:v>
                  </c:pt>
                  <c:pt idx="222">
                    <c:v>0.53900000000000003</c:v>
                  </c:pt>
                  <c:pt idx="223">
                    <c:v>0.53979999999999995</c:v>
                  </c:pt>
                  <c:pt idx="224">
                    <c:v>0.53979999999999995</c:v>
                  </c:pt>
                  <c:pt idx="225">
                    <c:v>0.54059999999999997</c:v>
                  </c:pt>
                  <c:pt idx="226">
                    <c:v>0.54139999999999999</c:v>
                  </c:pt>
                  <c:pt idx="227">
                    <c:v>0.54220000000000002</c:v>
                  </c:pt>
                  <c:pt idx="228">
                    <c:v>0.54220000000000002</c:v>
                  </c:pt>
                  <c:pt idx="229">
                    <c:v>0.54300000000000004</c:v>
                  </c:pt>
                  <c:pt idx="230">
                    <c:v>0.54300000000000004</c:v>
                  </c:pt>
                  <c:pt idx="231">
                    <c:v>0.54379999999999995</c:v>
                  </c:pt>
                  <c:pt idx="232">
                    <c:v>0.54459999999999997</c:v>
                  </c:pt>
                  <c:pt idx="233">
                    <c:v>0.5454</c:v>
                  </c:pt>
                  <c:pt idx="234">
                    <c:v>0.54779999999999995</c:v>
                  </c:pt>
                  <c:pt idx="235">
                    <c:v>0.54859999999999998</c:v>
                  </c:pt>
                  <c:pt idx="236">
                    <c:v>0.54859999999999998</c:v>
                  </c:pt>
                  <c:pt idx="237">
                    <c:v>0.54859999999999998</c:v>
                  </c:pt>
                  <c:pt idx="238">
                    <c:v>0.5494</c:v>
                  </c:pt>
                  <c:pt idx="239">
                    <c:v>0.55020000000000002</c:v>
                  </c:pt>
                  <c:pt idx="240">
                    <c:v>0.55099999999999993</c:v>
                  </c:pt>
                  <c:pt idx="241">
                    <c:v>0.55179999999999996</c:v>
                  </c:pt>
                  <c:pt idx="242">
                    <c:v>0.55179999999999996</c:v>
                  </c:pt>
                  <c:pt idx="243">
                    <c:v>0.55259999999999998</c:v>
                  </c:pt>
                  <c:pt idx="244">
                    <c:v>0.5534</c:v>
                  </c:pt>
                  <c:pt idx="245">
                    <c:v>0.55420000000000003</c:v>
                  </c:pt>
                  <c:pt idx="246">
                    <c:v>0.55499999999999994</c:v>
                  </c:pt>
                  <c:pt idx="247">
                    <c:v>0.55499999999999994</c:v>
                  </c:pt>
                  <c:pt idx="248">
                    <c:v>0.55579999999999996</c:v>
                  </c:pt>
                  <c:pt idx="249">
                    <c:v>0.55659999999999998</c:v>
                  </c:pt>
                  <c:pt idx="250">
                    <c:v>0.55740000000000001</c:v>
                  </c:pt>
                  <c:pt idx="251">
                    <c:v>0.55899999999999994</c:v>
                  </c:pt>
                  <c:pt idx="252">
                    <c:v>0.55979999999999996</c:v>
                  </c:pt>
                  <c:pt idx="253">
                    <c:v>0.55979999999999996</c:v>
                  </c:pt>
                  <c:pt idx="254">
                    <c:v>0.56059999999999999</c:v>
                  </c:pt>
                  <c:pt idx="255">
                    <c:v>0.56220000000000003</c:v>
                  </c:pt>
                  <c:pt idx="256">
                    <c:v>0.56299999999999994</c:v>
                  </c:pt>
                  <c:pt idx="257">
                    <c:v>0.56299999999999994</c:v>
                  </c:pt>
                  <c:pt idx="258">
                    <c:v>0.56299999999999994</c:v>
                  </c:pt>
                  <c:pt idx="259">
                    <c:v>0.56379999999999997</c:v>
                  </c:pt>
                  <c:pt idx="260">
                    <c:v>0.56379999999999997</c:v>
                  </c:pt>
                  <c:pt idx="261">
                    <c:v>0.56459999999999999</c:v>
                  </c:pt>
                  <c:pt idx="262">
                    <c:v>0.56459999999999999</c:v>
                  </c:pt>
                  <c:pt idx="263">
                    <c:v>0.56459999999999999</c:v>
                  </c:pt>
                  <c:pt idx="264">
                    <c:v>0.56540000000000001</c:v>
                  </c:pt>
                  <c:pt idx="265">
                    <c:v>0.56540000000000001</c:v>
                  </c:pt>
                  <c:pt idx="266">
                    <c:v>0.56540000000000001</c:v>
                  </c:pt>
                  <c:pt idx="267">
                    <c:v>0.56620000000000004</c:v>
                  </c:pt>
                  <c:pt idx="268">
                    <c:v>0.56620000000000004</c:v>
                  </c:pt>
                  <c:pt idx="269">
                    <c:v>0.56620000000000004</c:v>
                  </c:pt>
                  <c:pt idx="270">
                    <c:v>0.56699999999999995</c:v>
                  </c:pt>
                  <c:pt idx="271">
                    <c:v>0.56699999999999995</c:v>
                  </c:pt>
                  <c:pt idx="272">
                    <c:v>0.56859999999999999</c:v>
                  </c:pt>
                  <c:pt idx="273">
                    <c:v>0.56940000000000002</c:v>
                  </c:pt>
                  <c:pt idx="274">
                    <c:v>0.56940000000000002</c:v>
                  </c:pt>
                  <c:pt idx="275">
                    <c:v>0.56940000000000002</c:v>
                  </c:pt>
                  <c:pt idx="276">
                    <c:v>0.57099999999999995</c:v>
                  </c:pt>
                  <c:pt idx="277">
                    <c:v>0.57099999999999995</c:v>
                  </c:pt>
                  <c:pt idx="278">
                    <c:v>0.57099999999999995</c:v>
                  </c:pt>
                  <c:pt idx="279">
                    <c:v>0.57179999999999997</c:v>
                  </c:pt>
                  <c:pt idx="280">
                    <c:v>0.5726</c:v>
                  </c:pt>
                  <c:pt idx="281">
                    <c:v>0.5726</c:v>
                  </c:pt>
                  <c:pt idx="282">
                    <c:v>0.57340000000000002</c:v>
                  </c:pt>
                  <c:pt idx="283">
                    <c:v>0.57420000000000004</c:v>
                  </c:pt>
                  <c:pt idx="284">
                    <c:v>0.57499999999999996</c:v>
                  </c:pt>
                  <c:pt idx="285">
                    <c:v>0.57499999999999996</c:v>
                  </c:pt>
                  <c:pt idx="286">
                    <c:v>0.57499999999999996</c:v>
                  </c:pt>
                  <c:pt idx="287">
                    <c:v>0.57579999999999998</c:v>
                  </c:pt>
                  <c:pt idx="288">
                    <c:v>0.57579999999999998</c:v>
                  </c:pt>
                  <c:pt idx="289">
                    <c:v>0.5766</c:v>
                  </c:pt>
                  <c:pt idx="290">
                    <c:v>0.5766</c:v>
                  </c:pt>
                  <c:pt idx="291">
                    <c:v>0.57740000000000002</c:v>
                  </c:pt>
                  <c:pt idx="292">
                    <c:v>0.57740000000000002</c:v>
                  </c:pt>
                  <c:pt idx="293">
                    <c:v>0.57819999999999994</c:v>
                  </c:pt>
                  <c:pt idx="294">
                    <c:v>0.57899999999999996</c:v>
                  </c:pt>
                  <c:pt idx="295">
                    <c:v>0.57899999999999996</c:v>
                  </c:pt>
                  <c:pt idx="296">
                    <c:v>0.57979999999999998</c:v>
                  </c:pt>
                  <c:pt idx="297">
                    <c:v>0.5806</c:v>
                  </c:pt>
                  <c:pt idx="298">
                    <c:v>0.58140000000000003</c:v>
                  </c:pt>
                  <c:pt idx="299">
                    <c:v>0.58140000000000003</c:v>
                  </c:pt>
                  <c:pt idx="300">
                    <c:v>0.58140000000000003</c:v>
                  </c:pt>
                  <c:pt idx="301">
                    <c:v>0.58219999999999994</c:v>
                  </c:pt>
                  <c:pt idx="302">
                    <c:v>0.58219999999999994</c:v>
                  </c:pt>
                  <c:pt idx="303">
                    <c:v>0.58299999999999996</c:v>
                  </c:pt>
                  <c:pt idx="304">
                    <c:v>0.58379999999999999</c:v>
                  </c:pt>
                  <c:pt idx="305">
                    <c:v>0.58379999999999999</c:v>
                  </c:pt>
                  <c:pt idx="306">
                    <c:v>0.58460000000000001</c:v>
                  </c:pt>
                  <c:pt idx="307">
                    <c:v>0.58460000000000001</c:v>
                  </c:pt>
                  <c:pt idx="308">
                    <c:v>0.58540000000000003</c:v>
                  </c:pt>
                  <c:pt idx="309">
                    <c:v>0.58540000000000003</c:v>
                  </c:pt>
                  <c:pt idx="310">
                    <c:v>0.58619999999999994</c:v>
                  </c:pt>
                  <c:pt idx="311">
                    <c:v>0.58619999999999994</c:v>
                  </c:pt>
                  <c:pt idx="312">
                    <c:v>0.58699999999999997</c:v>
                  </c:pt>
                  <c:pt idx="313">
                    <c:v>0.58699999999999997</c:v>
                  </c:pt>
                  <c:pt idx="314">
                    <c:v>0.58860000000000001</c:v>
                  </c:pt>
                  <c:pt idx="315">
                    <c:v>0.58860000000000001</c:v>
                  </c:pt>
                  <c:pt idx="316">
                    <c:v>0.58940000000000003</c:v>
                  </c:pt>
                  <c:pt idx="317">
                    <c:v>0.58940000000000003</c:v>
                  </c:pt>
                  <c:pt idx="318">
                    <c:v>0.58940000000000003</c:v>
                  </c:pt>
                  <c:pt idx="319">
                    <c:v>0.59019999999999995</c:v>
                  </c:pt>
                  <c:pt idx="320">
                    <c:v>0.59019999999999995</c:v>
                  </c:pt>
                  <c:pt idx="321">
                    <c:v>0.59099999999999997</c:v>
                  </c:pt>
                  <c:pt idx="322">
                    <c:v>0.59099999999999997</c:v>
                  </c:pt>
                  <c:pt idx="323">
                    <c:v>0.59179999999999999</c:v>
                  </c:pt>
                  <c:pt idx="324">
                    <c:v>0.59260000000000002</c:v>
                  </c:pt>
                  <c:pt idx="325">
                    <c:v>0.59260000000000002</c:v>
                  </c:pt>
                  <c:pt idx="326">
                    <c:v>0.59340000000000004</c:v>
                  </c:pt>
                  <c:pt idx="327">
                    <c:v>0.59419999999999995</c:v>
                  </c:pt>
                  <c:pt idx="328">
                    <c:v>0.59419999999999995</c:v>
                  </c:pt>
                  <c:pt idx="329">
                    <c:v>0.59499999999999997</c:v>
                  </c:pt>
                  <c:pt idx="330">
                    <c:v>0.59660000000000002</c:v>
                  </c:pt>
                  <c:pt idx="331">
                    <c:v>0.59899999999999998</c:v>
                  </c:pt>
                  <c:pt idx="332">
                    <c:v>0.59899999999999998</c:v>
                  </c:pt>
                  <c:pt idx="333">
                    <c:v>0.59899999999999998</c:v>
                  </c:pt>
                  <c:pt idx="334">
                    <c:v>0.59899999999999998</c:v>
                  </c:pt>
                  <c:pt idx="335">
                    <c:v>0.60060000000000002</c:v>
                  </c:pt>
                  <c:pt idx="336">
                    <c:v>0.60139999999999993</c:v>
                  </c:pt>
                  <c:pt idx="337">
                    <c:v>0.60139999999999993</c:v>
                  </c:pt>
                  <c:pt idx="338">
                    <c:v>0.60139999999999993</c:v>
                  </c:pt>
                  <c:pt idx="339">
                    <c:v>0.60219999999999996</c:v>
                  </c:pt>
                  <c:pt idx="340">
                    <c:v>0.60219999999999996</c:v>
                  </c:pt>
                  <c:pt idx="341">
                    <c:v>0.60299999999999998</c:v>
                  </c:pt>
                  <c:pt idx="342">
                    <c:v>0.60299999999999998</c:v>
                  </c:pt>
                  <c:pt idx="343">
                    <c:v>0.6038</c:v>
                  </c:pt>
                  <c:pt idx="344">
                    <c:v>0.6038</c:v>
                  </c:pt>
                  <c:pt idx="345">
                    <c:v>0.6038</c:v>
                  </c:pt>
                  <c:pt idx="346">
                    <c:v>0.60539999999999994</c:v>
                  </c:pt>
                  <c:pt idx="347">
                    <c:v>0.60539999999999994</c:v>
                  </c:pt>
                  <c:pt idx="348">
                    <c:v>0.60619999999999996</c:v>
                  </c:pt>
                  <c:pt idx="349">
                    <c:v>0.60619999999999996</c:v>
                  </c:pt>
                  <c:pt idx="350">
                    <c:v>0.60619999999999996</c:v>
                  </c:pt>
                  <c:pt idx="351">
                    <c:v>0.60699999999999998</c:v>
                  </c:pt>
                  <c:pt idx="352">
                    <c:v>0.60780000000000001</c:v>
                  </c:pt>
                  <c:pt idx="353">
                    <c:v>0.60860000000000003</c:v>
                  </c:pt>
                  <c:pt idx="354">
                    <c:v>0.60860000000000003</c:v>
                  </c:pt>
                  <c:pt idx="355">
                    <c:v>0.60939999999999994</c:v>
                  </c:pt>
                  <c:pt idx="356">
                    <c:v>0.61019999999999996</c:v>
                  </c:pt>
                  <c:pt idx="357">
                    <c:v>0.61019999999999996</c:v>
                  </c:pt>
                  <c:pt idx="358">
                    <c:v>0.61180000000000001</c:v>
                  </c:pt>
                  <c:pt idx="359">
                    <c:v>0.61180000000000001</c:v>
                  </c:pt>
                  <c:pt idx="360">
                    <c:v>0.61260000000000003</c:v>
                  </c:pt>
                  <c:pt idx="361">
                    <c:v>0.61260000000000003</c:v>
                  </c:pt>
                  <c:pt idx="362">
                    <c:v>0.61260000000000003</c:v>
                  </c:pt>
                  <c:pt idx="363">
                    <c:v>0.61499999999999999</c:v>
                  </c:pt>
                  <c:pt idx="364">
                    <c:v>0.61580000000000001</c:v>
                  </c:pt>
                  <c:pt idx="365">
                    <c:v>0.61580000000000001</c:v>
                  </c:pt>
                  <c:pt idx="366">
                    <c:v>0.61580000000000001</c:v>
                  </c:pt>
                  <c:pt idx="367">
                    <c:v>0.61739999999999995</c:v>
                  </c:pt>
                  <c:pt idx="368">
                    <c:v>0.61819999999999997</c:v>
                  </c:pt>
                  <c:pt idx="369">
                    <c:v>0.61899999999999999</c:v>
                  </c:pt>
                  <c:pt idx="370">
                    <c:v>0.61899999999999999</c:v>
                  </c:pt>
                  <c:pt idx="371">
                    <c:v>0.62060000000000004</c:v>
                  </c:pt>
                  <c:pt idx="372">
                    <c:v>0.62060000000000004</c:v>
                  </c:pt>
                  <c:pt idx="373">
                    <c:v>0.62139999999999995</c:v>
                  </c:pt>
                  <c:pt idx="374">
                    <c:v>0.62139999999999995</c:v>
                  </c:pt>
                  <c:pt idx="375">
                    <c:v>0.62219999999999998</c:v>
                  </c:pt>
                  <c:pt idx="376">
                    <c:v>0.623</c:v>
                  </c:pt>
                  <c:pt idx="377">
                    <c:v>0.62380000000000002</c:v>
                  </c:pt>
                  <c:pt idx="378">
                    <c:v>0.62460000000000004</c:v>
                  </c:pt>
                  <c:pt idx="379">
                    <c:v>0.62460000000000004</c:v>
                  </c:pt>
                  <c:pt idx="380">
                    <c:v>0.62460000000000004</c:v>
                  </c:pt>
                  <c:pt idx="381">
                    <c:v>0.62539999999999996</c:v>
                  </c:pt>
                  <c:pt idx="382">
                    <c:v>0.62539999999999996</c:v>
                  </c:pt>
                  <c:pt idx="383">
                    <c:v>0.62539999999999996</c:v>
                  </c:pt>
                  <c:pt idx="384">
                    <c:v>0.62619999999999998</c:v>
                  </c:pt>
                  <c:pt idx="385">
                    <c:v>0.62619999999999998</c:v>
                  </c:pt>
                  <c:pt idx="386">
                    <c:v>0.62619999999999998</c:v>
                  </c:pt>
                  <c:pt idx="387">
                    <c:v>0.627</c:v>
                  </c:pt>
                  <c:pt idx="388">
                    <c:v>0.627</c:v>
                  </c:pt>
                  <c:pt idx="389">
                    <c:v>0.62780000000000002</c:v>
                  </c:pt>
                  <c:pt idx="390">
                    <c:v>0.62780000000000002</c:v>
                  </c:pt>
                  <c:pt idx="391">
                    <c:v>0.62859999999999994</c:v>
                  </c:pt>
                  <c:pt idx="392">
                    <c:v>0.63019999999999998</c:v>
                  </c:pt>
                  <c:pt idx="393">
                    <c:v>0.63019999999999998</c:v>
                  </c:pt>
                  <c:pt idx="394">
                    <c:v>0.63100000000000001</c:v>
                  </c:pt>
                  <c:pt idx="395">
                    <c:v>0.63100000000000001</c:v>
                  </c:pt>
                  <c:pt idx="396">
                    <c:v>0.63100000000000001</c:v>
                  </c:pt>
                  <c:pt idx="397">
                    <c:v>0.63180000000000003</c:v>
                  </c:pt>
                  <c:pt idx="398">
                    <c:v>0.63259999999999994</c:v>
                  </c:pt>
                  <c:pt idx="399">
                    <c:v>0.63259999999999994</c:v>
                  </c:pt>
                  <c:pt idx="400">
                    <c:v>0.63259999999999994</c:v>
                  </c:pt>
                  <c:pt idx="401">
                    <c:v>0.63339999999999996</c:v>
                  </c:pt>
                  <c:pt idx="402">
                    <c:v>0.63339999999999996</c:v>
                  </c:pt>
                  <c:pt idx="403">
                    <c:v>0.63500000000000001</c:v>
                  </c:pt>
                  <c:pt idx="404">
                    <c:v>0.63500000000000001</c:v>
                  </c:pt>
                  <c:pt idx="405">
                    <c:v>0.63580000000000003</c:v>
                  </c:pt>
                  <c:pt idx="406">
                    <c:v>0.63580000000000003</c:v>
                  </c:pt>
                  <c:pt idx="407">
                    <c:v>0.63739999999999997</c:v>
                  </c:pt>
                  <c:pt idx="408">
                    <c:v>0.63819999999999999</c:v>
                  </c:pt>
                  <c:pt idx="409">
                    <c:v>0.63819999999999999</c:v>
                  </c:pt>
                  <c:pt idx="410">
                    <c:v>0.63900000000000001</c:v>
                  </c:pt>
                  <c:pt idx="411">
                    <c:v>0.63980000000000004</c:v>
                  </c:pt>
                  <c:pt idx="412">
                    <c:v>0.63980000000000004</c:v>
                  </c:pt>
                  <c:pt idx="413">
                    <c:v>0.64059999999999995</c:v>
                  </c:pt>
                  <c:pt idx="414">
                    <c:v>0.64059999999999995</c:v>
                  </c:pt>
                  <c:pt idx="415">
                    <c:v>0.64139999999999997</c:v>
                  </c:pt>
                  <c:pt idx="416">
                    <c:v>0.64219999999999999</c:v>
                  </c:pt>
                  <c:pt idx="417">
                    <c:v>0.64219999999999999</c:v>
                  </c:pt>
                  <c:pt idx="418">
                    <c:v>0.64300000000000002</c:v>
                  </c:pt>
                  <c:pt idx="419">
                    <c:v>0.64300000000000002</c:v>
                  </c:pt>
                  <c:pt idx="420">
                    <c:v>0.64380000000000004</c:v>
                  </c:pt>
                  <c:pt idx="421">
                    <c:v>0.64380000000000004</c:v>
                  </c:pt>
                  <c:pt idx="422">
                    <c:v>0.64459999999999995</c:v>
                  </c:pt>
                  <c:pt idx="423">
                    <c:v>0.64459999999999995</c:v>
                  </c:pt>
                  <c:pt idx="424">
                    <c:v>0.64539999999999997</c:v>
                  </c:pt>
                  <c:pt idx="425">
                    <c:v>0.64539999999999997</c:v>
                  </c:pt>
                  <c:pt idx="426">
                    <c:v>0.6462</c:v>
                  </c:pt>
                  <c:pt idx="427">
                    <c:v>0.6462</c:v>
                  </c:pt>
                  <c:pt idx="428">
                    <c:v>0.64700000000000002</c:v>
                  </c:pt>
                  <c:pt idx="429">
                    <c:v>0.64780000000000004</c:v>
                  </c:pt>
                  <c:pt idx="430">
                    <c:v>0.64780000000000004</c:v>
                  </c:pt>
                  <c:pt idx="431">
                    <c:v>0.64780000000000004</c:v>
                  </c:pt>
                  <c:pt idx="432">
                    <c:v>0.64859999999999995</c:v>
                  </c:pt>
                  <c:pt idx="433">
                    <c:v>0.64859999999999995</c:v>
                  </c:pt>
                  <c:pt idx="434">
                    <c:v>0.64859999999999995</c:v>
                  </c:pt>
                  <c:pt idx="435">
                    <c:v>0.64939999999999998</c:v>
                  </c:pt>
                  <c:pt idx="436">
                    <c:v>0.64939999999999998</c:v>
                  </c:pt>
                  <c:pt idx="437">
                    <c:v>0.65100000000000002</c:v>
                  </c:pt>
                  <c:pt idx="438">
                    <c:v>0.65179999999999993</c:v>
                  </c:pt>
                  <c:pt idx="439">
                    <c:v>0.65339999999999998</c:v>
                  </c:pt>
                  <c:pt idx="440">
                    <c:v>0.65339999999999998</c:v>
                  </c:pt>
                  <c:pt idx="441">
                    <c:v>0.65339999999999998</c:v>
                  </c:pt>
                  <c:pt idx="442">
                    <c:v>0.6542</c:v>
                  </c:pt>
                  <c:pt idx="443">
                    <c:v>0.65500000000000003</c:v>
                  </c:pt>
                  <c:pt idx="444">
                    <c:v>0.65500000000000003</c:v>
                  </c:pt>
                  <c:pt idx="445">
                    <c:v>0.65579999999999994</c:v>
                  </c:pt>
                  <c:pt idx="446">
                    <c:v>0.65579999999999994</c:v>
                  </c:pt>
                  <c:pt idx="447">
                    <c:v>0.65659999999999996</c:v>
                  </c:pt>
                  <c:pt idx="448">
                    <c:v>0.65659999999999996</c:v>
                  </c:pt>
                  <c:pt idx="449">
                    <c:v>0.65739999999999998</c:v>
                  </c:pt>
                  <c:pt idx="450">
                    <c:v>0.65739999999999998</c:v>
                  </c:pt>
                  <c:pt idx="451">
                    <c:v>0.65820000000000001</c:v>
                  </c:pt>
                  <c:pt idx="452">
                    <c:v>0.65820000000000001</c:v>
                  </c:pt>
                  <c:pt idx="453">
                    <c:v>0.65900000000000003</c:v>
                  </c:pt>
                  <c:pt idx="454">
                    <c:v>0.66059999999999997</c:v>
                  </c:pt>
                  <c:pt idx="455">
                    <c:v>0.66139999999999999</c:v>
                  </c:pt>
                  <c:pt idx="456">
                    <c:v>0.66139999999999999</c:v>
                  </c:pt>
                  <c:pt idx="457">
                    <c:v>0.66220000000000001</c:v>
                  </c:pt>
                  <c:pt idx="458">
                    <c:v>0.66300000000000003</c:v>
                  </c:pt>
                  <c:pt idx="459">
                    <c:v>0.66300000000000003</c:v>
                  </c:pt>
                  <c:pt idx="460">
                    <c:v>0.66379999999999995</c:v>
                  </c:pt>
                  <c:pt idx="461">
                    <c:v>0.66459999999999997</c:v>
                  </c:pt>
                  <c:pt idx="462">
                    <c:v>0.66539999999999999</c:v>
                  </c:pt>
                  <c:pt idx="463">
                    <c:v>0.66539999999999999</c:v>
                  </c:pt>
                  <c:pt idx="464">
                    <c:v>0.66620000000000001</c:v>
                  </c:pt>
                  <c:pt idx="465">
                    <c:v>0.66700000000000004</c:v>
                  </c:pt>
                  <c:pt idx="466">
                    <c:v>0.66779999999999995</c:v>
                  </c:pt>
                  <c:pt idx="467">
                    <c:v>0.66779999999999995</c:v>
                  </c:pt>
                  <c:pt idx="468">
                    <c:v>0.66859999999999997</c:v>
                  </c:pt>
                  <c:pt idx="469">
                    <c:v>0.6694</c:v>
                  </c:pt>
                  <c:pt idx="470">
                    <c:v>0.67020000000000002</c:v>
                  </c:pt>
                  <c:pt idx="471">
                    <c:v>0.67100000000000004</c:v>
                  </c:pt>
                  <c:pt idx="472">
                    <c:v>0.67179999999999995</c:v>
                  </c:pt>
                  <c:pt idx="473">
                    <c:v>0.67179999999999995</c:v>
                  </c:pt>
                  <c:pt idx="474">
                    <c:v>0.67259999999999998</c:v>
                  </c:pt>
                  <c:pt idx="475">
                    <c:v>0.67500000000000004</c:v>
                  </c:pt>
                  <c:pt idx="476">
                    <c:v>0.67579999999999996</c:v>
                  </c:pt>
                  <c:pt idx="477">
                    <c:v>0.67659999999999998</c:v>
                  </c:pt>
                  <c:pt idx="478">
                    <c:v>0.67659999999999998</c:v>
                  </c:pt>
                  <c:pt idx="479">
                    <c:v>0.67820000000000003</c:v>
                  </c:pt>
                  <c:pt idx="480">
                    <c:v>0.67899999999999994</c:v>
                  </c:pt>
                  <c:pt idx="481">
                    <c:v>0.67820000000000003</c:v>
                  </c:pt>
                  <c:pt idx="482">
                    <c:v>0.67899999999999994</c:v>
                  </c:pt>
                  <c:pt idx="483">
                    <c:v>0.67899999999999994</c:v>
                  </c:pt>
                  <c:pt idx="484">
                    <c:v>0.67979999999999996</c:v>
                  </c:pt>
                  <c:pt idx="485">
                    <c:v>0.67979999999999996</c:v>
                  </c:pt>
                  <c:pt idx="486">
                    <c:v>0.67979999999999996</c:v>
                  </c:pt>
                  <c:pt idx="487">
                    <c:v>0.68059999999999998</c:v>
                  </c:pt>
                  <c:pt idx="488">
                    <c:v>0.68140000000000001</c:v>
                  </c:pt>
                  <c:pt idx="489">
                    <c:v>0.68140000000000001</c:v>
                  </c:pt>
                  <c:pt idx="490">
                    <c:v>0.68220000000000003</c:v>
                  </c:pt>
                  <c:pt idx="491">
                    <c:v>0.68220000000000003</c:v>
                  </c:pt>
                  <c:pt idx="492">
                    <c:v>0.68299999999999994</c:v>
                  </c:pt>
                  <c:pt idx="493">
                    <c:v>0.68299999999999994</c:v>
                  </c:pt>
                  <c:pt idx="494">
                    <c:v>0.68379999999999996</c:v>
                  </c:pt>
                  <c:pt idx="495">
                    <c:v>0.68459999999999999</c:v>
                  </c:pt>
                  <c:pt idx="496">
                    <c:v>0.68459999999999999</c:v>
                  </c:pt>
                  <c:pt idx="497">
                    <c:v>0.68459999999999999</c:v>
                  </c:pt>
                  <c:pt idx="498">
                    <c:v>0.68540000000000001</c:v>
                  </c:pt>
                  <c:pt idx="499">
                    <c:v>0.68540000000000001</c:v>
                  </c:pt>
                  <c:pt idx="500">
                    <c:v>0.68699999999999994</c:v>
                  </c:pt>
                  <c:pt idx="501">
                    <c:v>0.68859999999999999</c:v>
                  </c:pt>
                  <c:pt idx="502">
                    <c:v>0.68859999999999999</c:v>
                  </c:pt>
                  <c:pt idx="503">
                    <c:v>0.68940000000000001</c:v>
                  </c:pt>
                  <c:pt idx="504">
                    <c:v>0.68940000000000001</c:v>
                  </c:pt>
                  <c:pt idx="505">
                    <c:v>0.69020000000000004</c:v>
                  </c:pt>
                  <c:pt idx="506">
                    <c:v>0.69099999999999995</c:v>
                  </c:pt>
                  <c:pt idx="507">
                    <c:v>0.69099999999999995</c:v>
                  </c:pt>
                  <c:pt idx="508">
                    <c:v>0.69179999999999997</c:v>
                  </c:pt>
                  <c:pt idx="509">
                    <c:v>0.69259999999999999</c:v>
                  </c:pt>
                  <c:pt idx="510">
                    <c:v>0.69340000000000002</c:v>
                  </c:pt>
                  <c:pt idx="511">
                    <c:v>0.69499999999999995</c:v>
                  </c:pt>
                  <c:pt idx="512">
                    <c:v>0.69499999999999995</c:v>
                  </c:pt>
                  <c:pt idx="513">
                    <c:v>0.69579999999999997</c:v>
                  </c:pt>
                  <c:pt idx="514">
                    <c:v>0.69579999999999997</c:v>
                  </c:pt>
                  <c:pt idx="515">
                    <c:v>0.6966</c:v>
                  </c:pt>
                  <c:pt idx="516">
                    <c:v>0.6966</c:v>
                  </c:pt>
                  <c:pt idx="517">
                    <c:v>0.6966</c:v>
                  </c:pt>
                  <c:pt idx="518">
                    <c:v>0.69740000000000002</c:v>
                  </c:pt>
                  <c:pt idx="519">
                    <c:v>0.69740000000000002</c:v>
                  </c:pt>
                  <c:pt idx="520">
                    <c:v>0.69820000000000004</c:v>
                  </c:pt>
                  <c:pt idx="521">
                    <c:v>0.69740000000000002</c:v>
                  </c:pt>
                  <c:pt idx="522">
                    <c:v>0.69740000000000002</c:v>
                  </c:pt>
                  <c:pt idx="523">
                    <c:v>0.69820000000000004</c:v>
                  </c:pt>
                  <c:pt idx="524">
                    <c:v>0.69899999999999995</c:v>
                  </c:pt>
                  <c:pt idx="525">
                    <c:v>0.69899999999999995</c:v>
                  </c:pt>
                  <c:pt idx="526">
                    <c:v>0.7006</c:v>
                  </c:pt>
                  <c:pt idx="527">
                    <c:v>0.70140000000000002</c:v>
                  </c:pt>
                  <c:pt idx="528">
                    <c:v>0.70140000000000002</c:v>
                  </c:pt>
                  <c:pt idx="529">
                    <c:v>0.70140000000000002</c:v>
                  </c:pt>
                  <c:pt idx="530">
                    <c:v>0.70140000000000002</c:v>
                  </c:pt>
                  <c:pt idx="531">
                    <c:v>0.70140000000000002</c:v>
                  </c:pt>
                  <c:pt idx="532">
                    <c:v>0.70140000000000002</c:v>
                  </c:pt>
                  <c:pt idx="533">
                    <c:v>0.70140000000000002</c:v>
                  </c:pt>
                </c:numCache>
              </c:numRef>
            </c:minus>
            <c:spPr>
              <a:noFill/>
              <a:ln w="1270" cap="flat" cmpd="dbl" algn="ctr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'1'!$F$11:$F$544</c:f>
                <c:numCache>
                  <c:formatCode>General</c:formatCode>
                  <c:ptCount val="534"/>
                  <c:pt idx="0">
                    <c:v>5.7800000000000004E-2</c:v>
                  </c:pt>
                  <c:pt idx="1">
                    <c:v>5.7800000000000004E-2</c:v>
                  </c:pt>
                  <c:pt idx="2">
                    <c:v>5.7800000000000004E-2</c:v>
                  </c:pt>
                  <c:pt idx="3">
                    <c:v>5.7800000000000004E-2</c:v>
                  </c:pt>
                  <c:pt idx="4">
                    <c:v>5.7800000000000004E-2</c:v>
                  </c:pt>
                  <c:pt idx="5">
                    <c:v>5.7800000000000004E-2</c:v>
                  </c:pt>
                  <c:pt idx="6">
                    <c:v>5.7800000000000004E-2</c:v>
                  </c:pt>
                  <c:pt idx="7">
                    <c:v>5.7800000000000004E-2</c:v>
                  </c:pt>
                  <c:pt idx="8">
                    <c:v>5.7800000000000004E-2</c:v>
                  </c:pt>
                  <c:pt idx="9">
                    <c:v>5.7800000000000004E-2</c:v>
                  </c:pt>
                  <c:pt idx="10">
                    <c:v>5.7800000000000004E-2</c:v>
                  </c:pt>
                  <c:pt idx="11">
                    <c:v>5.7800000000000004E-2</c:v>
                  </c:pt>
                  <c:pt idx="12">
                    <c:v>5.7800000000000004E-2</c:v>
                  </c:pt>
                  <c:pt idx="13">
                    <c:v>5.7800000000000004E-2</c:v>
                  </c:pt>
                  <c:pt idx="14">
                    <c:v>5.7800000000000004E-2</c:v>
                  </c:pt>
                  <c:pt idx="15">
                    <c:v>5.7800000000000004E-2</c:v>
                  </c:pt>
                  <c:pt idx="16">
                    <c:v>5.7800000000000004E-2</c:v>
                  </c:pt>
                  <c:pt idx="17">
                    <c:v>5.7800000000000004E-2</c:v>
                  </c:pt>
                  <c:pt idx="18">
                    <c:v>5.7800000000000004E-2</c:v>
                  </c:pt>
                  <c:pt idx="19">
                    <c:v>5.7800000000000004E-2</c:v>
                  </c:pt>
                  <c:pt idx="20">
                    <c:v>5.7800000000000004E-2</c:v>
                  </c:pt>
                  <c:pt idx="21">
                    <c:v>5.7800000000000004E-2</c:v>
                  </c:pt>
                  <c:pt idx="22">
                    <c:v>5.7800000000000004E-2</c:v>
                  </c:pt>
                  <c:pt idx="23">
                    <c:v>5.7800000000000004E-2</c:v>
                  </c:pt>
                  <c:pt idx="24">
                    <c:v>5.7800000000000004E-2</c:v>
                  </c:pt>
                  <c:pt idx="25">
                    <c:v>5.7800000000000004E-2</c:v>
                  </c:pt>
                  <c:pt idx="26">
                    <c:v>5.7800000000000004E-2</c:v>
                  </c:pt>
                  <c:pt idx="27">
                    <c:v>5.7800000000000004E-2</c:v>
                  </c:pt>
                  <c:pt idx="28">
                    <c:v>5.7800000000000004E-2</c:v>
                  </c:pt>
                  <c:pt idx="29">
                    <c:v>5.7800000000000004E-2</c:v>
                  </c:pt>
                  <c:pt idx="30">
                    <c:v>5.7800000000000004E-2</c:v>
                  </c:pt>
                  <c:pt idx="31">
                    <c:v>5.7800000000000004E-2</c:v>
                  </c:pt>
                  <c:pt idx="32">
                    <c:v>5.7800000000000004E-2</c:v>
                  </c:pt>
                  <c:pt idx="33">
                    <c:v>5.7800000000000004E-2</c:v>
                  </c:pt>
                  <c:pt idx="34">
                    <c:v>5.7800000000000004E-2</c:v>
                  </c:pt>
                  <c:pt idx="35">
                    <c:v>5.7800000000000004E-2</c:v>
                  </c:pt>
                  <c:pt idx="36">
                    <c:v>5.7800000000000004E-2</c:v>
                  </c:pt>
                  <c:pt idx="37">
                    <c:v>5.7800000000000004E-2</c:v>
                  </c:pt>
                  <c:pt idx="38">
                    <c:v>5.7800000000000004E-2</c:v>
                  </c:pt>
                  <c:pt idx="39">
                    <c:v>5.7800000000000004E-2</c:v>
                  </c:pt>
                  <c:pt idx="40">
                    <c:v>5.7800000000000004E-2</c:v>
                  </c:pt>
                  <c:pt idx="41">
                    <c:v>5.7800000000000004E-2</c:v>
                  </c:pt>
                  <c:pt idx="42">
                    <c:v>5.7800000000000004E-2</c:v>
                  </c:pt>
                  <c:pt idx="43">
                    <c:v>5.7800000000000004E-2</c:v>
                  </c:pt>
                  <c:pt idx="44">
                    <c:v>5.7800000000000004E-2</c:v>
                  </c:pt>
                  <c:pt idx="45">
                    <c:v>5.7800000000000004E-2</c:v>
                  </c:pt>
                  <c:pt idx="46">
                    <c:v>5.7800000000000004E-2</c:v>
                  </c:pt>
                  <c:pt idx="47">
                    <c:v>5.7800000000000004E-2</c:v>
                  </c:pt>
                  <c:pt idx="48">
                    <c:v>5.7800000000000004E-2</c:v>
                  </c:pt>
                  <c:pt idx="49">
                    <c:v>5.7800000000000004E-2</c:v>
                  </c:pt>
                  <c:pt idx="50">
                    <c:v>5.7800000000000004E-2</c:v>
                  </c:pt>
                  <c:pt idx="51">
                    <c:v>5.7800000000000004E-2</c:v>
                  </c:pt>
                  <c:pt idx="52">
                    <c:v>5.7800000000000004E-2</c:v>
                  </c:pt>
                  <c:pt idx="53">
                    <c:v>5.7800000000000004E-2</c:v>
                  </c:pt>
                  <c:pt idx="54">
                    <c:v>5.7800000000000004E-2</c:v>
                  </c:pt>
                  <c:pt idx="55">
                    <c:v>5.7800000000000004E-2</c:v>
                  </c:pt>
                  <c:pt idx="56">
                    <c:v>5.7800000000000004E-2</c:v>
                  </c:pt>
                  <c:pt idx="57">
                    <c:v>5.7800000000000004E-2</c:v>
                  </c:pt>
                  <c:pt idx="58">
                    <c:v>5.7800000000000004E-2</c:v>
                  </c:pt>
                  <c:pt idx="59">
                    <c:v>5.7800000000000004E-2</c:v>
                  </c:pt>
                  <c:pt idx="60">
                    <c:v>5.7800000000000004E-2</c:v>
                  </c:pt>
                  <c:pt idx="61">
                    <c:v>5.7800000000000004E-2</c:v>
                  </c:pt>
                  <c:pt idx="62">
                    <c:v>5.7800000000000004E-2</c:v>
                  </c:pt>
                  <c:pt idx="63">
                    <c:v>5.7800000000000004E-2</c:v>
                  </c:pt>
                  <c:pt idx="64">
                    <c:v>5.7800000000000004E-2</c:v>
                  </c:pt>
                  <c:pt idx="65">
                    <c:v>5.7800000000000004E-2</c:v>
                  </c:pt>
                  <c:pt idx="66">
                    <c:v>5.7800000000000004E-2</c:v>
                  </c:pt>
                  <c:pt idx="67">
                    <c:v>5.7800000000000004E-2</c:v>
                  </c:pt>
                  <c:pt idx="68">
                    <c:v>5.7800000000000004E-2</c:v>
                  </c:pt>
                  <c:pt idx="69">
                    <c:v>5.7800000000000004E-2</c:v>
                  </c:pt>
                  <c:pt idx="70">
                    <c:v>5.7800000000000004E-2</c:v>
                  </c:pt>
                  <c:pt idx="71">
                    <c:v>5.7800000000000004E-2</c:v>
                  </c:pt>
                  <c:pt idx="72">
                    <c:v>5.7800000000000004E-2</c:v>
                  </c:pt>
                  <c:pt idx="73">
                    <c:v>5.7800000000000004E-2</c:v>
                  </c:pt>
                  <c:pt idx="74">
                    <c:v>5.7800000000000004E-2</c:v>
                  </c:pt>
                  <c:pt idx="75">
                    <c:v>5.7800000000000004E-2</c:v>
                  </c:pt>
                  <c:pt idx="76">
                    <c:v>5.7800000000000004E-2</c:v>
                  </c:pt>
                  <c:pt idx="77">
                    <c:v>5.7800000000000004E-2</c:v>
                  </c:pt>
                  <c:pt idx="78">
                    <c:v>5.7800000000000004E-2</c:v>
                  </c:pt>
                  <c:pt idx="79">
                    <c:v>5.7800000000000004E-2</c:v>
                  </c:pt>
                  <c:pt idx="80">
                    <c:v>5.7800000000000004E-2</c:v>
                  </c:pt>
                  <c:pt idx="81">
                    <c:v>5.7800000000000004E-2</c:v>
                  </c:pt>
                  <c:pt idx="82">
                    <c:v>5.7800000000000004E-2</c:v>
                  </c:pt>
                  <c:pt idx="83">
                    <c:v>5.7800000000000004E-2</c:v>
                  </c:pt>
                  <c:pt idx="84">
                    <c:v>5.7800000000000004E-2</c:v>
                  </c:pt>
                  <c:pt idx="85">
                    <c:v>5.7800000000000004E-2</c:v>
                  </c:pt>
                  <c:pt idx="86">
                    <c:v>5.7800000000000004E-2</c:v>
                  </c:pt>
                  <c:pt idx="87">
                    <c:v>5.7800000000000004E-2</c:v>
                  </c:pt>
                  <c:pt idx="88">
                    <c:v>5.7800000000000004E-2</c:v>
                  </c:pt>
                  <c:pt idx="89">
                    <c:v>5.7800000000000004E-2</c:v>
                  </c:pt>
                  <c:pt idx="90">
                    <c:v>5.7800000000000004E-2</c:v>
                  </c:pt>
                  <c:pt idx="91">
                    <c:v>5.7800000000000004E-2</c:v>
                  </c:pt>
                  <c:pt idx="92">
                    <c:v>5.7800000000000004E-2</c:v>
                  </c:pt>
                  <c:pt idx="93">
                    <c:v>5.7800000000000004E-2</c:v>
                  </c:pt>
                  <c:pt idx="94">
                    <c:v>5.7800000000000004E-2</c:v>
                  </c:pt>
                  <c:pt idx="95">
                    <c:v>5.7800000000000004E-2</c:v>
                  </c:pt>
                  <c:pt idx="96">
                    <c:v>5.7800000000000004E-2</c:v>
                  </c:pt>
                  <c:pt idx="97">
                    <c:v>5.7800000000000004E-2</c:v>
                  </c:pt>
                  <c:pt idx="98">
                    <c:v>5.7800000000000004E-2</c:v>
                  </c:pt>
                  <c:pt idx="99">
                    <c:v>5.7800000000000004E-2</c:v>
                  </c:pt>
                  <c:pt idx="100">
                    <c:v>5.7800000000000004E-2</c:v>
                  </c:pt>
                  <c:pt idx="101">
                    <c:v>5.7800000000000004E-2</c:v>
                  </c:pt>
                  <c:pt idx="102">
                    <c:v>5.7800000000000004E-2</c:v>
                  </c:pt>
                  <c:pt idx="103">
                    <c:v>5.7800000000000004E-2</c:v>
                  </c:pt>
                  <c:pt idx="104">
                    <c:v>5.7800000000000004E-2</c:v>
                  </c:pt>
                  <c:pt idx="105">
                    <c:v>5.7800000000000004E-2</c:v>
                  </c:pt>
                  <c:pt idx="106">
                    <c:v>5.7800000000000004E-2</c:v>
                  </c:pt>
                  <c:pt idx="107">
                    <c:v>5.79E-2</c:v>
                  </c:pt>
                  <c:pt idx="108">
                    <c:v>5.79E-2</c:v>
                  </c:pt>
                  <c:pt idx="109">
                    <c:v>5.79E-2</c:v>
                  </c:pt>
                  <c:pt idx="110">
                    <c:v>5.79E-2</c:v>
                  </c:pt>
                  <c:pt idx="111">
                    <c:v>5.79E-2</c:v>
                  </c:pt>
                  <c:pt idx="112">
                    <c:v>5.79E-2</c:v>
                  </c:pt>
                  <c:pt idx="113">
                    <c:v>5.79E-2</c:v>
                  </c:pt>
                  <c:pt idx="114">
                    <c:v>5.79E-2</c:v>
                  </c:pt>
                  <c:pt idx="115">
                    <c:v>5.79E-2</c:v>
                  </c:pt>
                  <c:pt idx="116">
                    <c:v>5.79E-2</c:v>
                  </c:pt>
                  <c:pt idx="117">
                    <c:v>5.79E-2</c:v>
                  </c:pt>
                  <c:pt idx="118">
                    <c:v>5.79E-2</c:v>
                  </c:pt>
                  <c:pt idx="119">
                    <c:v>5.79E-2</c:v>
                  </c:pt>
                  <c:pt idx="120">
                    <c:v>5.79E-2</c:v>
                  </c:pt>
                  <c:pt idx="121">
                    <c:v>5.79E-2</c:v>
                  </c:pt>
                  <c:pt idx="122">
                    <c:v>5.79E-2</c:v>
                  </c:pt>
                  <c:pt idx="123">
                    <c:v>5.79E-2</c:v>
                  </c:pt>
                  <c:pt idx="124">
                    <c:v>5.79E-2</c:v>
                  </c:pt>
                  <c:pt idx="125">
                    <c:v>5.8000000000000003E-2</c:v>
                  </c:pt>
                  <c:pt idx="126">
                    <c:v>5.8000000000000003E-2</c:v>
                  </c:pt>
                  <c:pt idx="127">
                    <c:v>5.8000000000000003E-2</c:v>
                  </c:pt>
                  <c:pt idx="128">
                    <c:v>5.8000000000000003E-2</c:v>
                  </c:pt>
                  <c:pt idx="129">
                    <c:v>5.8000000000000003E-2</c:v>
                  </c:pt>
                  <c:pt idx="130">
                    <c:v>5.8000000000000003E-2</c:v>
                  </c:pt>
                  <c:pt idx="131">
                    <c:v>5.8000000000000003E-2</c:v>
                  </c:pt>
                  <c:pt idx="132">
                    <c:v>5.8000000000000003E-2</c:v>
                  </c:pt>
                  <c:pt idx="133">
                    <c:v>5.8000000000000003E-2</c:v>
                  </c:pt>
                  <c:pt idx="134">
                    <c:v>5.8000000000000003E-2</c:v>
                  </c:pt>
                  <c:pt idx="135">
                    <c:v>5.8000000000000003E-2</c:v>
                  </c:pt>
                  <c:pt idx="136">
                    <c:v>5.8000000000000003E-2</c:v>
                  </c:pt>
                  <c:pt idx="137">
                    <c:v>5.8000000000000003E-2</c:v>
                  </c:pt>
                  <c:pt idx="138">
                    <c:v>5.8000000000000003E-2</c:v>
                  </c:pt>
                  <c:pt idx="139">
                    <c:v>5.8000000000000003E-2</c:v>
                  </c:pt>
                  <c:pt idx="140">
                    <c:v>5.8000000000000003E-2</c:v>
                  </c:pt>
                  <c:pt idx="141">
                    <c:v>5.8000000000000003E-2</c:v>
                  </c:pt>
                  <c:pt idx="142">
                    <c:v>5.8000000000000003E-2</c:v>
                  </c:pt>
                  <c:pt idx="143">
                    <c:v>5.8100000000000006E-2</c:v>
                  </c:pt>
                  <c:pt idx="144">
                    <c:v>5.8100000000000006E-2</c:v>
                  </c:pt>
                  <c:pt idx="145">
                    <c:v>5.8100000000000006E-2</c:v>
                  </c:pt>
                  <c:pt idx="146">
                    <c:v>5.8100000000000006E-2</c:v>
                  </c:pt>
                  <c:pt idx="147">
                    <c:v>5.8100000000000006E-2</c:v>
                  </c:pt>
                  <c:pt idx="148">
                    <c:v>5.8100000000000006E-2</c:v>
                  </c:pt>
                  <c:pt idx="149">
                    <c:v>5.8100000000000006E-2</c:v>
                  </c:pt>
                  <c:pt idx="150">
                    <c:v>5.8100000000000006E-2</c:v>
                  </c:pt>
                  <c:pt idx="151">
                    <c:v>5.8100000000000006E-2</c:v>
                  </c:pt>
                  <c:pt idx="152">
                    <c:v>5.8100000000000006E-2</c:v>
                  </c:pt>
                  <c:pt idx="153">
                    <c:v>5.8100000000000006E-2</c:v>
                  </c:pt>
                  <c:pt idx="154">
                    <c:v>5.8100000000000006E-2</c:v>
                  </c:pt>
                  <c:pt idx="155">
                    <c:v>5.8100000000000006E-2</c:v>
                  </c:pt>
                  <c:pt idx="156">
                    <c:v>5.8100000000000006E-2</c:v>
                  </c:pt>
                  <c:pt idx="157">
                    <c:v>5.8100000000000006E-2</c:v>
                  </c:pt>
                  <c:pt idx="158">
                    <c:v>5.8100000000000006E-2</c:v>
                  </c:pt>
                  <c:pt idx="159">
                    <c:v>5.8100000000000006E-2</c:v>
                  </c:pt>
                  <c:pt idx="160">
                    <c:v>5.8100000000000006E-2</c:v>
                  </c:pt>
                  <c:pt idx="161">
                    <c:v>5.8100000000000006E-2</c:v>
                  </c:pt>
                  <c:pt idx="162">
                    <c:v>5.8100000000000006E-2</c:v>
                  </c:pt>
                  <c:pt idx="163">
                    <c:v>5.8100000000000006E-2</c:v>
                  </c:pt>
                  <c:pt idx="164">
                    <c:v>5.8200000000000002E-2</c:v>
                  </c:pt>
                  <c:pt idx="165">
                    <c:v>5.8200000000000002E-2</c:v>
                  </c:pt>
                  <c:pt idx="166">
                    <c:v>5.8200000000000002E-2</c:v>
                  </c:pt>
                  <c:pt idx="167">
                    <c:v>5.8200000000000002E-2</c:v>
                  </c:pt>
                  <c:pt idx="168">
                    <c:v>5.8200000000000002E-2</c:v>
                  </c:pt>
                  <c:pt idx="169">
                    <c:v>5.8200000000000002E-2</c:v>
                  </c:pt>
                  <c:pt idx="170">
                    <c:v>5.8200000000000002E-2</c:v>
                  </c:pt>
                  <c:pt idx="171">
                    <c:v>5.8200000000000002E-2</c:v>
                  </c:pt>
                  <c:pt idx="172">
                    <c:v>5.8200000000000002E-2</c:v>
                  </c:pt>
                  <c:pt idx="173">
                    <c:v>5.8200000000000002E-2</c:v>
                  </c:pt>
                  <c:pt idx="174">
                    <c:v>5.8200000000000002E-2</c:v>
                  </c:pt>
                  <c:pt idx="175">
                    <c:v>5.8200000000000002E-2</c:v>
                  </c:pt>
                  <c:pt idx="176">
                    <c:v>5.8200000000000002E-2</c:v>
                  </c:pt>
                  <c:pt idx="177">
                    <c:v>5.8200000000000002E-2</c:v>
                  </c:pt>
                  <c:pt idx="178">
                    <c:v>5.8200000000000002E-2</c:v>
                  </c:pt>
                  <c:pt idx="179">
                    <c:v>5.8200000000000002E-2</c:v>
                  </c:pt>
                  <c:pt idx="180">
                    <c:v>5.8200000000000002E-2</c:v>
                  </c:pt>
                  <c:pt idx="181">
                    <c:v>5.8300000000000005E-2</c:v>
                  </c:pt>
                  <c:pt idx="182">
                    <c:v>5.8300000000000005E-2</c:v>
                  </c:pt>
                  <c:pt idx="183">
                    <c:v>5.8300000000000005E-2</c:v>
                  </c:pt>
                  <c:pt idx="184">
                    <c:v>5.8300000000000005E-2</c:v>
                  </c:pt>
                  <c:pt idx="185">
                    <c:v>5.8300000000000005E-2</c:v>
                  </c:pt>
                  <c:pt idx="186">
                    <c:v>5.8300000000000005E-2</c:v>
                  </c:pt>
                  <c:pt idx="187">
                    <c:v>5.8300000000000005E-2</c:v>
                  </c:pt>
                  <c:pt idx="188">
                    <c:v>5.8300000000000005E-2</c:v>
                  </c:pt>
                  <c:pt idx="189">
                    <c:v>5.8300000000000005E-2</c:v>
                  </c:pt>
                  <c:pt idx="190">
                    <c:v>5.8300000000000005E-2</c:v>
                  </c:pt>
                  <c:pt idx="191">
                    <c:v>5.8300000000000005E-2</c:v>
                  </c:pt>
                  <c:pt idx="192">
                    <c:v>5.8300000000000005E-2</c:v>
                  </c:pt>
                  <c:pt idx="193">
                    <c:v>5.8300000000000005E-2</c:v>
                  </c:pt>
                  <c:pt idx="194">
                    <c:v>5.8300000000000005E-2</c:v>
                  </c:pt>
                  <c:pt idx="195">
                    <c:v>5.8300000000000005E-2</c:v>
                  </c:pt>
                  <c:pt idx="196">
                    <c:v>5.8300000000000005E-2</c:v>
                  </c:pt>
                  <c:pt idx="197">
                    <c:v>5.8300000000000005E-2</c:v>
                  </c:pt>
                  <c:pt idx="198">
                    <c:v>5.8300000000000005E-2</c:v>
                  </c:pt>
                  <c:pt idx="199">
                    <c:v>5.8300000000000005E-2</c:v>
                  </c:pt>
                  <c:pt idx="200">
                    <c:v>5.8300000000000005E-2</c:v>
                  </c:pt>
                  <c:pt idx="201">
                    <c:v>5.8300000000000005E-2</c:v>
                  </c:pt>
                  <c:pt idx="202">
                    <c:v>5.8300000000000005E-2</c:v>
                  </c:pt>
                  <c:pt idx="203">
                    <c:v>5.8300000000000005E-2</c:v>
                  </c:pt>
                  <c:pt idx="204">
                    <c:v>5.8400000000000001E-2</c:v>
                  </c:pt>
                  <c:pt idx="205">
                    <c:v>5.8400000000000001E-2</c:v>
                  </c:pt>
                  <c:pt idx="206">
                    <c:v>5.8400000000000001E-2</c:v>
                  </c:pt>
                  <c:pt idx="207">
                    <c:v>5.8400000000000001E-2</c:v>
                  </c:pt>
                  <c:pt idx="208">
                    <c:v>5.8400000000000001E-2</c:v>
                  </c:pt>
                  <c:pt idx="209">
                    <c:v>5.8400000000000001E-2</c:v>
                  </c:pt>
                  <c:pt idx="210">
                    <c:v>5.8400000000000001E-2</c:v>
                  </c:pt>
                  <c:pt idx="211">
                    <c:v>5.8400000000000001E-2</c:v>
                  </c:pt>
                  <c:pt idx="212">
                    <c:v>5.8400000000000001E-2</c:v>
                  </c:pt>
                  <c:pt idx="213">
                    <c:v>5.8400000000000001E-2</c:v>
                  </c:pt>
                  <c:pt idx="214">
                    <c:v>5.8400000000000001E-2</c:v>
                  </c:pt>
                  <c:pt idx="215">
                    <c:v>5.8400000000000001E-2</c:v>
                  </c:pt>
                  <c:pt idx="216">
                    <c:v>5.8400000000000001E-2</c:v>
                  </c:pt>
                  <c:pt idx="217">
                    <c:v>5.8400000000000001E-2</c:v>
                  </c:pt>
                  <c:pt idx="218">
                    <c:v>5.8400000000000001E-2</c:v>
                  </c:pt>
                  <c:pt idx="219">
                    <c:v>5.8400000000000001E-2</c:v>
                  </c:pt>
                  <c:pt idx="220">
                    <c:v>5.8400000000000001E-2</c:v>
                  </c:pt>
                  <c:pt idx="221">
                    <c:v>5.8400000000000001E-2</c:v>
                  </c:pt>
                  <c:pt idx="222">
                    <c:v>5.8400000000000001E-2</c:v>
                  </c:pt>
                  <c:pt idx="223">
                    <c:v>5.8400000000000001E-2</c:v>
                  </c:pt>
                  <c:pt idx="224">
                    <c:v>5.8400000000000001E-2</c:v>
                  </c:pt>
                  <c:pt idx="225">
                    <c:v>5.8400000000000001E-2</c:v>
                  </c:pt>
                  <c:pt idx="226">
                    <c:v>5.8500000000000003E-2</c:v>
                  </c:pt>
                  <c:pt idx="227">
                    <c:v>5.8500000000000003E-2</c:v>
                  </c:pt>
                  <c:pt idx="228">
                    <c:v>5.8500000000000003E-2</c:v>
                  </c:pt>
                  <c:pt idx="229">
                    <c:v>5.8500000000000003E-2</c:v>
                  </c:pt>
                  <c:pt idx="230">
                    <c:v>5.8500000000000003E-2</c:v>
                  </c:pt>
                  <c:pt idx="231">
                    <c:v>5.8500000000000003E-2</c:v>
                  </c:pt>
                  <c:pt idx="232">
                    <c:v>5.8500000000000003E-2</c:v>
                  </c:pt>
                  <c:pt idx="233">
                    <c:v>5.8500000000000003E-2</c:v>
                  </c:pt>
                  <c:pt idx="234">
                    <c:v>5.8500000000000003E-2</c:v>
                  </c:pt>
                  <c:pt idx="235">
                    <c:v>5.8500000000000003E-2</c:v>
                  </c:pt>
                  <c:pt idx="236">
                    <c:v>5.8500000000000003E-2</c:v>
                  </c:pt>
                  <c:pt idx="237">
                    <c:v>5.8500000000000003E-2</c:v>
                  </c:pt>
                  <c:pt idx="238">
                    <c:v>5.8500000000000003E-2</c:v>
                  </c:pt>
                  <c:pt idx="239">
                    <c:v>5.8500000000000003E-2</c:v>
                  </c:pt>
                  <c:pt idx="240">
                    <c:v>5.8500000000000003E-2</c:v>
                  </c:pt>
                  <c:pt idx="241">
                    <c:v>5.8500000000000003E-2</c:v>
                  </c:pt>
                  <c:pt idx="242">
                    <c:v>5.8600000000000006E-2</c:v>
                  </c:pt>
                  <c:pt idx="243">
                    <c:v>5.8600000000000006E-2</c:v>
                  </c:pt>
                  <c:pt idx="244">
                    <c:v>5.8600000000000006E-2</c:v>
                  </c:pt>
                  <c:pt idx="245">
                    <c:v>5.8600000000000006E-2</c:v>
                  </c:pt>
                  <c:pt idx="246">
                    <c:v>5.8600000000000006E-2</c:v>
                  </c:pt>
                  <c:pt idx="247">
                    <c:v>5.8600000000000006E-2</c:v>
                  </c:pt>
                  <c:pt idx="248">
                    <c:v>5.8600000000000006E-2</c:v>
                  </c:pt>
                  <c:pt idx="249">
                    <c:v>5.8600000000000006E-2</c:v>
                  </c:pt>
                  <c:pt idx="250">
                    <c:v>5.8600000000000006E-2</c:v>
                  </c:pt>
                  <c:pt idx="251">
                    <c:v>5.8600000000000006E-2</c:v>
                  </c:pt>
                  <c:pt idx="252">
                    <c:v>5.8600000000000006E-2</c:v>
                  </c:pt>
                  <c:pt idx="253">
                    <c:v>5.8600000000000006E-2</c:v>
                  </c:pt>
                  <c:pt idx="254">
                    <c:v>5.8600000000000006E-2</c:v>
                  </c:pt>
                  <c:pt idx="255">
                    <c:v>5.8700000000000002E-2</c:v>
                  </c:pt>
                  <c:pt idx="256">
                    <c:v>5.8700000000000002E-2</c:v>
                  </c:pt>
                  <c:pt idx="257">
                    <c:v>5.8700000000000002E-2</c:v>
                  </c:pt>
                  <c:pt idx="258">
                    <c:v>5.8700000000000002E-2</c:v>
                  </c:pt>
                  <c:pt idx="259">
                    <c:v>5.8700000000000002E-2</c:v>
                  </c:pt>
                  <c:pt idx="260">
                    <c:v>5.8700000000000002E-2</c:v>
                  </c:pt>
                  <c:pt idx="261">
                    <c:v>5.8700000000000002E-2</c:v>
                  </c:pt>
                  <c:pt idx="262">
                    <c:v>5.8700000000000002E-2</c:v>
                  </c:pt>
                  <c:pt idx="263">
                    <c:v>5.8700000000000002E-2</c:v>
                  </c:pt>
                  <c:pt idx="264">
                    <c:v>5.8700000000000002E-2</c:v>
                  </c:pt>
                  <c:pt idx="265">
                    <c:v>5.8700000000000002E-2</c:v>
                  </c:pt>
                  <c:pt idx="266">
                    <c:v>5.8700000000000002E-2</c:v>
                  </c:pt>
                  <c:pt idx="267">
                    <c:v>5.8700000000000002E-2</c:v>
                  </c:pt>
                  <c:pt idx="268">
                    <c:v>5.8700000000000002E-2</c:v>
                  </c:pt>
                  <c:pt idx="269">
                    <c:v>5.8700000000000002E-2</c:v>
                  </c:pt>
                  <c:pt idx="270">
                    <c:v>5.8700000000000002E-2</c:v>
                  </c:pt>
                  <c:pt idx="271">
                    <c:v>5.8700000000000002E-2</c:v>
                  </c:pt>
                  <c:pt idx="272">
                    <c:v>5.8700000000000002E-2</c:v>
                  </c:pt>
                  <c:pt idx="273">
                    <c:v>5.8700000000000002E-2</c:v>
                  </c:pt>
                  <c:pt idx="274">
                    <c:v>5.8700000000000002E-2</c:v>
                  </c:pt>
                  <c:pt idx="275">
                    <c:v>5.8700000000000002E-2</c:v>
                  </c:pt>
                  <c:pt idx="276">
                    <c:v>5.8700000000000002E-2</c:v>
                  </c:pt>
                  <c:pt idx="277">
                    <c:v>5.8700000000000002E-2</c:v>
                  </c:pt>
                  <c:pt idx="278">
                    <c:v>5.8800000000000005E-2</c:v>
                  </c:pt>
                  <c:pt idx="279">
                    <c:v>5.8800000000000005E-2</c:v>
                  </c:pt>
                  <c:pt idx="280">
                    <c:v>5.8800000000000005E-2</c:v>
                  </c:pt>
                  <c:pt idx="281">
                    <c:v>5.8800000000000005E-2</c:v>
                  </c:pt>
                  <c:pt idx="282">
                    <c:v>5.8800000000000005E-2</c:v>
                  </c:pt>
                  <c:pt idx="283">
                    <c:v>5.8800000000000005E-2</c:v>
                  </c:pt>
                  <c:pt idx="284">
                    <c:v>5.8800000000000005E-2</c:v>
                  </c:pt>
                  <c:pt idx="285">
                    <c:v>5.8800000000000005E-2</c:v>
                  </c:pt>
                  <c:pt idx="286">
                    <c:v>5.8800000000000005E-2</c:v>
                  </c:pt>
                  <c:pt idx="287">
                    <c:v>5.8800000000000005E-2</c:v>
                  </c:pt>
                  <c:pt idx="288">
                    <c:v>5.8800000000000005E-2</c:v>
                  </c:pt>
                  <c:pt idx="289">
                    <c:v>5.8800000000000005E-2</c:v>
                  </c:pt>
                  <c:pt idx="290">
                    <c:v>5.8800000000000005E-2</c:v>
                  </c:pt>
                  <c:pt idx="291">
                    <c:v>5.8800000000000005E-2</c:v>
                  </c:pt>
                  <c:pt idx="292">
                    <c:v>5.8800000000000005E-2</c:v>
                  </c:pt>
                  <c:pt idx="293">
                    <c:v>5.8800000000000005E-2</c:v>
                  </c:pt>
                  <c:pt idx="294">
                    <c:v>5.8800000000000005E-2</c:v>
                  </c:pt>
                  <c:pt idx="295">
                    <c:v>5.8800000000000005E-2</c:v>
                  </c:pt>
                  <c:pt idx="296">
                    <c:v>5.8800000000000005E-2</c:v>
                  </c:pt>
                  <c:pt idx="297">
                    <c:v>5.8900000000000001E-2</c:v>
                  </c:pt>
                  <c:pt idx="298">
                    <c:v>5.8900000000000001E-2</c:v>
                  </c:pt>
                  <c:pt idx="299">
                    <c:v>5.8900000000000001E-2</c:v>
                  </c:pt>
                  <c:pt idx="300">
                    <c:v>5.8900000000000001E-2</c:v>
                  </c:pt>
                  <c:pt idx="301">
                    <c:v>5.8900000000000001E-2</c:v>
                  </c:pt>
                  <c:pt idx="302">
                    <c:v>5.8900000000000001E-2</c:v>
                  </c:pt>
                  <c:pt idx="303">
                    <c:v>5.8900000000000001E-2</c:v>
                  </c:pt>
                  <c:pt idx="304">
                    <c:v>5.8900000000000001E-2</c:v>
                  </c:pt>
                  <c:pt idx="305">
                    <c:v>5.8900000000000001E-2</c:v>
                  </c:pt>
                  <c:pt idx="306">
                    <c:v>5.8900000000000001E-2</c:v>
                  </c:pt>
                  <c:pt idx="307">
                    <c:v>5.8900000000000001E-2</c:v>
                  </c:pt>
                  <c:pt idx="308">
                    <c:v>5.8900000000000001E-2</c:v>
                  </c:pt>
                  <c:pt idx="309">
                    <c:v>5.8900000000000001E-2</c:v>
                  </c:pt>
                  <c:pt idx="310">
                    <c:v>5.8900000000000001E-2</c:v>
                  </c:pt>
                  <c:pt idx="311">
                    <c:v>5.8900000000000001E-2</c:v>
                  </c:pt>
                  <c:pt idx="312">
                    <c:v>5.8900000000000001E-2</c:v>
                  </c:pt>
                  <c:pt idx="313">
                    <c:v>5.8900000000000001E-2</c:v>
                  </c:pt>
                  <c:pt idx="314">
                    <c:v>5.9000000000000004E-2</c:v>
                  </c:pt>
                  <c:pt idx="315">
                    <c:v>5.9000000000000004E-2</c:v>
                  </c:pt>
                  <c:pt idx="316">
                    <c:v>5.9000000000000004E-2</c:v>
                  </c:pt>
                  <c:pt idx="317">
                    <c:v>5.9000000000000004E-2</c:v>
                  </c:pt>
                  <c:pt idx="318">
                    <c:v>5.9000000000000004E-2</c:v>
                  </c:pt>
                  <c:pt idx="319">
                    <c:v>5.9000000000000004E-2</c:v>
                  </c:pt>
                  <c:pt idx="320">
                    <c:v>5.9000000000000004E-2</c:v>
                  </c:pt>
                  <c:pt idx="321">
                    <c:v>5.9000000000000004E-2</c:v>
                  </c:pt>
                  <c:pt idx="322">
                    <c:v>5.9000000000000004E-2</c:v>
                  </c:pt>
                  <c:pt idx="323">
                    <c:v>5.9000000000000004E-2</c:v>
                  </c:pt>
                  <c:pt idx="324">
                    <c:v>5.9000000000000004E-2</c:v>
                  </c:pt>
                  <c:pt idx="325">
                    <c:v>5.9000000000000004E-2</c:v>
                  </c:pt>
                  <c:pt idx="326">
                    <c:v>5.9000000000000004E-2</c:v>
                  </c:pt>
                  <c:pt idx="327">
                    <c:v>5.9000000000000004E-2</c:v>
                  </c:pt>
                  <c:pt idx="328">
                    <c:v>5.9000000000000004E-2</c:v>
                  </c:pt>
                  <c:pt idx="329">
                    <c:v>5.9000000000000004E-2</c:v>
                  </c:pt>
                  <c:pt idx="330">
                    <c:v>5.91E-2</c:v>
                  </c:pt>
                  <c:pt idx="331">
                    <c:v>5.91E-2</c:v>
                  </c:pt>
                  <c:pt idx="332">
                    <c:v>5.91E-2</c:v>
                  </c:pt>
                  <c:pt idx="333">
                    <c:v>5.91E-2</c:v>
                  </c:pt>
                  <c:pt idx="334">
                    <c:v>5.91E-2</c:v>
                  </c:pt>
                  <c:pt idx="335">
                    <c:v>5.91E-2</c:v>
                  </c:pt>
                  <c:pt idx="336">
                    <c:v>5.91E-2</c:v>
                  </c:pt>
                  <c:pt idx="337">
                    <c:v>5.91E-2</c:v>
                  </c:pt>
                  <c:pt idx="338">
                    <c:v>5.91E-2</c:v>
                  </c:pt>
                  <c:pt idx="339">
                    <c:v>5.91E-2</c:v>
                  </c:pt>
                  <c:pt idx="340">
                    <c:v>5.91E-2</c:v>
                  </c:pt>
                  <c:pt idx="341">
                    <c:v>5.91E-2</c:v>
                  </c:pt>
                  <c:pt idx="342">
                    <c:v>5.91E-2</c:v>
                  </c:pt>
                  <c:pt idx="343">
                    <c:v>5.9200000000000003E-2</c:v>
                  </c:pt>
                  <c:pt idx="344">
                    <c:v>5.9200000000000003E-2</c:v>
                  </c:pt>
                  <c:pt idx="345">
                    <c:v>5.9200000000000003E-2</c:v>
                  </c:pt>
                  <c:pt idx="346">
                    <c:v>5.9200000000000003E-2</c:v>
                  </c:pt>
                  <c:pt idx="347">
                    <c:v>5.9200000000000003E-2</c:v>
                  </c:pt>
                  <c:pt idx="348">
                    <c:v>5.9200000000000003E-2</c:v>
                  </c:pt>
                  <c:pt idx="349">
                    <c:v>5.9200000000000003E-2</c:v>
                  </c:pt>
                  <c:pt idx="350">
                    <c:v>5.9200000000000003E-2</c:v>
                  </c:pt>
                  <c:pt idx="351">
                    <c:v>5.9200000000000003E-2</c:v>
                  </c:pt>
                  <c:pt idx="352">
                    <c:v>5.9200000000000003E-2</c:v>
                  </c:pt>
                  <c:pt idx="353">
                    <c:v>5.9200000000000003E-2</c:v>
                  </c:pt>
                  <c:pt idx="354">
                    <c:v>5.9200000000000003E-2</c:v>
                  </c:pt>
                  <c:pt idx="355">
                    <c:v>5.9200000000000003E-2</c:v>
                  </c:pt>
                  <c:pt idx="356">
                    <c:v>5.9300000000000005E-2</c:v>
                  </c:pt>
                  <c:pt idx="357">
                    <c:v>5.9300000000000005E-2</c:v>
                  </c:pt>
                  <c:pt idx="358">
                    <c:v>5.9300000000000005E-2</c:v>
                  </c:pt>
                  <c:pt idx="359">
                    <c:v>5.9300000000000005E-2</c:v>
                  </c:pt>
                  <c:pt idx="360">
                    <c:v>5.9300000000000005E-2</c:v>
                  </c:pt>
                  <c:pt idx="361">
                    <c:v>5.9300000000000005E-2</c:v>
                  </c:pt>
                  <c:pt idx="362">
                    <c:v>5.9300000000000005E-2</c:v>
                  </c:pt>
                  <c:pt idx="363">
                    <c:v>5.9300000000000005E-2</c:v>
                  </c:pt>
                  <c:pt idx="364">
                    <c:v>5.9300000000000005E-2</c:v>
                  </c:pt>
                  <c:pt idx="365">
                    <c:v>5.9300000000000005E-2</c:v>
                  </c:pt>
                  <c:pt idx="366">
                    <c:v>5.9300000000000005E-2</c:v>
                  </c:pt>
                  <c:pt idx="367">
                    <c:v>5.9400000000000001E-2</c:v>
                  </c:pt>
                  <c:pt idx="368">
                    <c:v>5.9400000000000001E-2</c:v>
                  </c:pt>
                  <c:pt idx="369">
                    <c:v>5.9400000000000001E-2</c:v>
                  </c:pt>
                  <c:pt idx="370">
                    <c:v>5.9400000000000001E-2</c:v>
                  </c:pt>
                  <c:pt idx="371">
                    <c:v>5.9400000000000001E-2</c:v>
                  </c:pt>
                  <c:pt idx="372">
                    <c:v>5.9400000000000001E-2</c:v>
                  </c:pt>
                  <c:pt idx="373">
                    <c:v>5.9400000000000001E-2</c:v>
                  </c:pt>
                  <c:pt idx="374">
                    <c:v>5.9400000000000001E-2</c:v>
                  </c:pt>
                  <c:pt idx="375">
                    <c:v>5.9400000000000001E-2</c:v>
                  </c:pt>
                  <c:pt idx="376">
                    <c:v>5.9500000000000004E-2</c:v>
                  </c:pt>
                  <c:pt idx="377">
                    <c:v>5.9500000000000004E-2</c:v>
                  </c:pt>
                  <c:pt idx="378">
                    <c:v>5.9500000000000004E-2</c:v>
                  </c:pt>
                  <c:pt idx="379">
                    <c:v>5.9500000000000004E-2</c:v>
                  </c:pt>
                  <c:pt idx="380">
                    <c:v>5.9500000000000004E-2</c:v>
                  </c:pt>
                  <c:pt idx="381">
                    <c:v>5.9500000000000004E-2</c:v>
                  </c:pt>
                  <c:pt idx="382">
                    <c:v>5.9500000000000004E-2</c:v>
                  </c:pt>
                  <c:pt idx="383">
                    <c:v>5.9500000000000004E-2</c:v>
                  </c:pt>
                  <c:pt idx="384">
                    <c:v>5.9500000000000004E-2</c:v>
                  </c:pt>
                  <c:pt idx="385">
                    <c:v>5.9500000000000004E-2</c:v>
                  </c:pt>
                  <c:pt idx="386">
                    <c:v>5.9500000000000004E-2</c:v>
                  </c:pt>
                  <c:pt idx="387">
                    <c:v>5.9500000000000004E-2</c:v>
                  </c:pt>
                  <c:pt idx="388">
                    <c:v>5.9500000000000004E-2</c:v>
                  </c:pt>
                  <c:pt idx="389">
                    <c:v>5.9500000000000004E-2</c:v>
                  </c:pt>
                  <c:pt idx="390">
                    <c:v>5.9500000000000004E-2</c:v>
                  </c:pt>
                  <c:pt idx="391">
                    <c:v>5.9500000000000004E-2</c:v>
                  </c:pt>
                  <c:pt idx="392">
                    <c:v>5.96E-2</c:v>
                  </c:pt>
                  <c:pt idx="393">
                    <c:v>5.96E-2</c:v>
                  </c:pt>
                  <c:pt idx="394">
                    <c:v>5.96E-2</c:v>
                  </c:pt>
                  <c:pt idx="395">
                    <c:v>5.96E-2</c:v>
                  </c:pt>
                  <c:pt idx="396">
                    <c:v>5.96E-2</c:v>
                  </c:pt>
                  <c:pt idx="397">
                    <c:v>5.96E-2</c:v>
                  </c:pt>
                  <c:pt idx="398">
                    <c:v>5.96E-2</c:v>
                  </c:pt>
                  <c:pt idx="399">
                    <c:v>5.96E-2</c:v>
                  </c:pt>
                  <c:pt idx="400">
                    <c:v>5.96E-2</c:v>
                  </c:pt>
                  <c:pt idx="401">
                    <c:v>5.96E-2</c:v>
                  </c:pt>
                  <c:pt idx="402">
                    <c:v>5.96E-2</c:v>
                  </c:pt>
                  <c:pt idx="403">
                    <c:v>5.9700000000000003E-2</c:v>
                  </c:pt>
                  <c:pt idx="404">
                    <c:v>5.9700000000000003E-2</c:v>
                  </c:pt>
                  <c:pt idx="405">
                    <c:v>5.9700000000000003E-2</c:v>
                  </c:pt>
                  <c:pt idx="406">
                    <c:v>5.9700000000000003E-2</c:v>
                  </c:pt>
                  <c:pt idx="407">
                    <c:v>5.9700000000000003E-2</c:v>
                  </c:pt>
                  <c:pt idx="408">
                    <c:v>5.9700000000000003E-2</c:v>
                  </c:pt>
                  <c:pt idx="409">
                    <c:v>5.9700000000000003E-2</c:v>
                  </c:pt>
                  <c:pt idx="410">
                    <c:v>5.9700000000000003E-2</c:v>
                  </c:pt>
                  <c:pt idx="411">
                    <c:v>5.9700000000000003E-2</c:v>
                  </c:pt>
                  <c:pt idx="412">
                    <c:v>5.9700000000000003E-2</c:v>
                  </c:pt>
                  <c:pt idx="413">
                    <c:v>5.9700000000000003E-2</c:v>
                  </c:pt>
                  <c:pt idx="414">
                    <c:v>5.9800000000000006E-2</c:v>
                  </c:pt>
                  <c:pt idx="415">
                    <c:v>5.9800000000000006E-2</c:v>
                  </c:pt>
                  <c:pt idx="416">
                    <c:v>5.9800000000000006E-2</c:v>
                  </c:pt>
                  <c:pt idx="417">
                    <c:v>5.9800000000000006E-2</c:v>
                  </c:pt>
                  <c:pt idx="418">
                    <c:v>5.9800000000000006E-2</c:v>
                  </c:pt>
                  <c:pt idx="419">
                    <c:v>5.9800000000000006E-2</c:v>
                  </c:pt>
                  <c:pt idx="420">
                    <c:v>5.9800000000000006E-2</c:v>
                  </c:pt>
                  <c:pt idx="421">
                    <c:v>5.9800000000000006E-2</c:v>
                  </c:pt>
                  <c:pt idx="422">
                    <c:v>5.9800000000000006E-2</c:v>
                  </c:pt>
                  <c:pt idx="423">
                    <c:v>5.9800000000000006E-2</c:v>
                  </c:pt>
                  <c:pt idx="424">
                    <c:v>5.9800000000000006E-2</c:v>
                  </c:pt>
                  <c:pt idx="425">
                    <c:v>5.9800000000000006E-2</c:v>
                  </c:pt>
                  <c:pt idx="426">
                    <c:v>5.9800000000000006E-2</c:v>
                  </c:pt>
                  <c:pt idx="427">
                    <c:v>5.9900000000000002E-2</c:v>
                  </c:pt>
                  <c:pt idx="428">
                    <c:v>5.9900000000000002E-2</c:v>
                  </c:pt>
                  <c:pt idx="429">
                    <c:v>5.9900000000000002E-2</c:v>
                  </c:pt>
                  <c:pt idx="430">
                    <c:v>5.9900000000000002E-2</c:v>
                  </c:pt>
                  <c:pt idx="431">
                    <c:v>5.9900000000000002E-2</c:v>
                  </c:pt>
                  <c:pt idx="432">
                    <c:v>5.9900000000000002E-2</c:v>
                  </c:pt>
                  <c:pt idx="433">
                    <c:v>5.9900000000000002E-2</c:v>
                  </c:pt>
                  <c:pt idx="434">
                    <c:v>5.9900000000000002E-2</c:v>
                  </c:pt>
                  <c:pt idx="435">
                    <c:v>5.9900000000000002E-2</c:v>
                  </c:pt>
                  <c:pt idx="436">
                    <c:v>5.9900000000000002E-2</c:v>
                  </c:pt>
                  <c:pt idx="437">
                    <c:v>5.9900000000000002E-2</c:v>
                  </c:pt>
                  <c:pt idx="438">
                    <c:v>6.0000000000000005E-2</c:v>
                  </c:pt>
                  <c:pt idx="439">
                    <c:v>6.0000000000000005E-2</c:v>
                  </c:pt>
                  <c:pt idx="440">
                    <c:v>6.0000000000000005E-2</c:v>
                  </c:pt>
                  <c:pt idx="441">
                    <c:v>6.0000000000000005E-2</c:v>
                  </c:pt>
                  <c:pt idx="442">
                    <c:v>6.0000000000000005E-2</c:v>
                  </c:pt>
                  <c:pt idx="443">
                    <c:v>6.0000000000000005E-2</c:v>
                  </c:pt>
                  <c:pt idx="444">
                    <c:v>6.0000000000000005E-2</c:v>
                  </c:pt>
                  <c:pt idx="445">
                    <c:v>6.0000000000000005E-2</c:v>
                  </c:pt>
                  <c:pt idx="446">
                    <c:v>6.0000000000000005E-2</c:v>
                  </c:pt>
                  <c:pt idx="447">
                    <c:v>6.0000000000000005E-2</c:v>
                  </c:pt>
                  <c:pt idx="448">
                    <c:v>6.0100000000000001E-2</c:v>
                  </c:pt>
                  <c:pt idx="449">
                    <c:v>6.0100000000000001E-2</c:v>
                  </c:pt>
                  <c:pt idx="450">
                    <c:v>6.0100000000000001E-2</c:v>
                  </c:pt>
                  <c:pt idx="451">
                    <c:v>6.0100000000000001E-2</c:v>
                  </c:pt>
                  <c:pt idx="452">
                    <c:v>6.0100000000000001E-2</c:v>
                  </c:pt>
                  <c:pt idx="453">
                    <c:v>6.0100000000000001E-2</c:v>
                  </c:pt>
                  <c:pt idx="454">
                    <c:v>6.0100000000000001E-2</c:v>
                  </c:pt>
                  <c:pt idx="455">
                    <c:v>6.0100000000000001E-2</c:v>
                  </c:pt>
                  <c:pt idx="456">
                    <c:v>6.0100000000000001E-2</c:v>
                  </c:pt>
                  <c:pt idx="457">
                    <c:v>6.0200000000000004E-2</c:v>
                  </c:pt>
                  <c:pt idx="458">
                    <c:v>6.0200000000000004E-2</c:v>
                  </c:pt>
                  <c:pt idx="459">
                    <c:v>6.0200000000000004E-2</c:v>
                  </c:pt>
                  <c:pt idx="460">
                    <c:v>6.0200000000000004E-2</c:v>
                  </c:pt>
                  <c:pt idx="461">
                    <c:v>6.0200000000000004E-2</c:v>
                  </c:pt>
                  <c:pt idx="462">
                    <c:v>6.0200000000000004E-2</c:v>
                  </c:pt>
                  <c:pt idx="463">
                    <c:v>6.0200000000000004E-2</c:v>
                  </c:pt>
                  <c:pt idx="464">
                    <c:v>6.0200000000000004E-2</c:v>
                  </c:pt>
                  <c:pt idx="465">
                    <c:v>6.0299999999999999E-2</c:v>
                  </c:pt>
                  <c:pt idx="466">
                    <c:v>6.0299999999999999E-2</c:v>
                  </c:pt>
                  <c:pt idx="467">
                    <c:v>6.0299999999999999E-2</c:v>
                  </c:pt>
                  <c:pt idx="468">
                    <c:v>6.0299999999999999E-2</c:v>
                  </c:pt>
                  <c:pt idx="469">
                    <c:v>6.0299999999999999E-2</c:v>
                  </c:pt>
                  <c:pt idx="470">
                    <c:v>6.0299999999999999E-2</c:v>
                  </c:pt>
                  <c:pt idx="471">
                    <c:v>6.0299999999999999E-2</c:v>
                  </c:pt>
                  <c:pt idx="472">
                    <c:v>6.0299999999999999E-2</c:v>
                  </c:pt>
                  <c:pt idx="473">
                    <c:v>6.0299999999999999E-2</c:v>
                  </c:pt>
                  <c:pt idx="474">
                    <c:v>6.0400000000000002E-2</c:v>
                  </c:pt>
                  <c:pt idx="475">
                    <c:v>6.0400000000000002E-2</c:v>
                  </c:pt>
                  <c:pt idx="476">
                    <c:v>6.0400000000000002E-2</c:v>
                  </c:pt>
                  <c:pt idx="477">
                    <c:v>6.0400000000000002E-2</c:v>
                  </c:pt>
                  <c:pt idx="478">
                    <c:v>6.0500000000000005E-2</c:v>
                  </c:pt>
                  <c:pt idx="479">
                    <c:v>6.0500000000000005E-2</c:v>
                  </c:pt>
                  <c:pt idx="480">
                    <c:v>6.0500000000000005E-2</c:v>
                  </c:pt>
                  <c:pt idx="481">
                    <c:v>6.0500000000000005E-2</c:v>
                  </c:pt>
                  <c:pt idx="482">
                    <c:v>6.0500000000000005E-2</c:v>
                  </c:pt>
                  <c:pt idx="483">
                    <c:v>6.0500000000000005E-2</c:v>
                  </c:pt>
                  <c:pt idx="484">
                    <c:v>6.0500000000000005E-2</c:v>
                  </c:pt>
                  <c:pt idx="485">
                    <c:v>6.0500000000000005E-2</c:v>
                  </c:pt>
                  <c:pt idx="486">
                    <c:v>6.0500000000000005E-2</c:v>
                  </c:pt>
                  <c:pt idx="487">
                    <c:v>6.0500000000000005E-2</c:v>
                  </c:pt>
                  <c:pt idx="488">
                    <c:v>6.0500000000000005E-2</c:v>
                  </c:pt>
                  <c:pt idx="489">
                    <c:v>6.0600000000000001E-2</c:v>
                  </c:pt>
                  <c:pt idx="490">
                    <c:v>6.0600000000000001E-2</c:v>
                  </c:pt>
                  <c:pt idx="491">
                    <c:v>6.0600000000000001E-2</c:v>
                  </c:pt>
                  <c:pt idx="492">
                    <c:v>6.0600000000000001E-2</c:v>
                  </c:pt>
                  <c:pt idx="493">
                    <c:v>6.0600000000000001E-2</c:v>
                  </c:pt>
                  <c:pt idx="494">
                    <c:v>6.0600000000000001E-2</c:v>
                  </c:pt>
                  <c:pt idx="495">
                    <c:v>6.0600000000000001E-2</c:v>
                  </c:pt>
                  <c:pt idx="496">
                    <c:v>6.0600000000000001E-2</c:v>
                  </c:pt>
                  <c:pt idx="497">
                    <c:v>6.0600000000000001E-2</c:v>
                  </c:pt>
                  <c:pt idx="498">
                    <c:v>6.0600000000000001E-2</c:v>
                  </c:pt>
                  <c:pt idx="499">
                    <c:v>6.0600000000000001E-2</c:v>
                  </c:pt>
                  <c:pt idx="500">
                    <c:v>6.0700000000000004E-2</c:v>
                  </c:pt>
                  <c:pt idx="501">
                    <c:v>6.0700000000000004E-2</c:v>
                  </c:pt>
                  <c:pt idx="502">
                    <c:v>6.0700000000000004E-2</c:v>
                  </c:pt>
                  <c:pt idx="503">
                    <c:v>6.0700000000000004E-2</c:v>
                  </c:pt>
                  <c:pt idx="504">
                    <c:v>6.0700000000000004E-2</c:v>
                  </c:pt>
                  <c:pt idx="505">
                    <c:v>6.0700000000000004E-2</c:v>
                  </c:pt>
                  <c:pt idx="506">
                    <c:v>6.08E-2</c:v>
                  </c:pt>
                  <c:pt idx="507">
                    <c:v>6.08E-2</c:v>
                  </c:pt>
                  <c:pt idx="508">
                    <c:v>6.08E-2</c:v>
                  </c:pt>
                  <c:pt idx="509">
                    <c:v>6.08E-2</c:v>
                  </c:pt>
                  <c:pt idx="510">
                    <c:v>6.08E-2</c:v>
                  </c:pt>
                  <c:pt idx="511">
                    <c:v>6.08E-2</c:v>
                  </c:pt>
                  <c:pt idx="512">
                    <c:v>6.0900000000000003E-2</c:v>
                  </c:pt>
                  <c:pt idx="513">
                    <c:v>6.0900000000000003E-2</c:v>
                  </c:pt>
                  <c:pt idx="514">
                    <c:v>6.0900000000000003E-2</c:v>
                  </c:pt>
                  <c:pt idx="515">
                    <c:v>6.0900000000000003E-2</c:v>
                  </c:pt>
                  <c:pt idx="516">
                    <c:v>6.0900000000000003E-2</c:v>
                  </c:pt>
                  <c:pt idx="517">
                    <c:v>6.0900000000000003E-2</c:v>
                  </c:pt>
                  <c:pt idx="518">
                    <c:v>6.0900000000000003E-2</c:v>
                  </c:pt>
                  <c:pt idx="519">
                    <c:v>6.0900000000000003E-2</c:v>
                  </c:pt>
                  <c:pt idx="520">
                    <c:v>6.0900000000000003E-2</c:v>
                  </c:pt>
                  <c:pt idx="521">
                    <c:v>6.0900000000000003E-2</c:v>
                  </c:pt>
                  <c:pt idx="522">
                    <c:v>6.0900000000000003E-2</c:v>
                  </c:pt>
                  <c:pt idx="523">
                    <c:v>6.0900000000000003E-2</c:v>
                  </c:pt>
                  <c:pt idx="524">
                    <c:v>6.0900000000000003E-2</c:v>
                  </c:pt>
                  <c:pt idx="525">
                    <c:v>6.0900000000000003E-2</c:v>
                  </c:pt>
                  <c:pt idx="526">
                    <c:v>6.1000000000000006E-2</c:v>
                  </c:pt>
                  <c:pt idx="527">
                    <c:v>6.1000000000000006E-2</c:v>
                  </c:pt>
                  <c:pt idx="528">
                    <c:v>6.1000000000000006E-2</c:v>
                  </c:pt>
                  <c:pt idx="529">
                    <c:v>6.1000000000000006E-2</c:v>
                  </c:pt>
                  <c:pt idx="530">
                    <c:v>6.1000000000000006E-2</c:v>
                  </c:pt>
                  <c:pt idx="531">
                    <c:v>6.1000000000000006E-2</c:v>
                  </c:pt>
                  <c:pt idx="532">
                    <c:v>6.1000000000000006E-2</c:v>
                  </c:pt>
                  <c:pt idx="533">
                    <c:v>6.1000000000000006E-2</c:v>
                  </c:pt>
                </c:numCache>
              </c:numRef>
            </c:plus>
            <c:minus>
              <c:numRef>
                <c:f>'1'!$F$11:$F$544</c:f>
                <c:numCache>
                  <c:formatCode>General</c:formatCode>
                  <c:ptCount val="534"/>
                  <c:pt idx="0">
                    <c:v>5.7800000000000004E-2</c:v>
                  </c:pt>
                  <c:pt idx="1">
                    <c:v>5.7800000000000004E-2</c:v>
                  </c:pt>
                  <c:pt idx="2">
                    <c:v>5.7800000000000004E-2</c:v>
                  </c:pt>
                  <c:pt idx="3">
                    <c:v>5.7800000000000004E-2</c:v>
                  </c:pt>
                  <c:pt idx="4">
                    <c:v>5.7800000000000004E-2</c:v>
                  </c:pt>
                  <c:pt idx="5">
                    <c:v>5.7800000000000004E-2</c:v>
                  </c:pt>
                  <c:pt idx="6">
                    <c:v>5.7800000000000004E-2</c:v>
                  </c:pt>
                  <c:pt idx="7">
                    <c:v>5.7800000000000004E-2</c:v>
                  </c:pt>
                  <c:pt idx="8">
                    <c:v>5.7800000000000004E-2</c:v>
                  </c:pt>
                  <c:pt idx="9">
                    <c:v>5.7800000000000004E-2</c:v>
                  </c:pt>
                  <c:pt idx="10">
                    <c:v>5.7800000000000004E-2</c:v>
                  </c:pt>
                  <c:pt idx="11">
                    <c:v>5.7800000000000004E-2</c:v>
                  </c:pt>
                  <c:pt idx="12">
                    <c:v>5.7800000000000004E-2</c:v>
                  </c:pt>
                  <c:pt idx="13">
                    <c:v>5.7800000000000004E-2</c:v>
                  </c:pt>
                  <c:pt idx="14">
                    <c:v>5.7800000000000004E-2</c:v>
                  </c:pt>
                  <c:pt idx="15">
                    <c:v>5.7800000000000004E-2</c:v>
                  </c:pt>
                  <c:pt idx="16">
                    <c:v>5.7800000000000004E-2</c:v>
                  </c:pt>
                  <c:pt idx="17">
                    <c:v>5.7800000000000004E-2</c:v>
                  </c:pt>
                  <c:pt idx="18">
                    <c:v>5.7800000000000004E-2</c:v>
                  </c:pt>
                  <c:pt idx="19">
                    <c:v>5.7800000000000004E-2</c:v>
                  </c:pt>
                  <c:pt idx="20">
                    <c:v>5.7800000000000004E-2</c:v>
                  </c:pt>
                  <c:pt idx="21">
                    <c:v>5.7800000000000004E-2</c:v>
                  </c:pt>
                  <c:pt idx="22">
                    <c:v>5.7800000000000004E-2</c:v>
                  </c:pt>
                  <c:pt idx="23">
                    <c:v>5.7800000000000004E-2</c:v>
                  </c:pt>
                  <c:pt idx="24">
                    <c:v>5.7800000000000004E-2</c:v>
                  </c:pt>
                  <c:pt idx="25">
                    <c:v>5.7800000000000004E-2</c:v>
                  </c:pt>
                  <c:pt idx="26">
                    <c:v>5.7800000000000004E-2</c:v>
                  </c:pt>
                  <c:pt idx="27">
                    <c:v>5.7800000000000004E-2</c:v>
                  </c:pt>
                  <c:pt idx="28">
                    <c:v>5.7800000000000004E-2</c:v>
                  </c:pt>
                  <c:pt idx="29">
                    <c:v>5.7800000000000004E-2</c:v>
                  </c:pt>
                  <c:pt idx="30">
                    <c:v>5.7800000000000004E-2</c:v>
                  </c:pt>
                  <c:pt idx="31">
                    <c:v>5.7800000000000004E-2</c:v>
                  </c:pt>
                  <c:pt idx="32">
                    <c:v>5.7800000000000004E-2</c:v>
                  </c:pt>
                  <c:pt idx="33">
                    <c:v>5.7800000000000004E-2</c:v>
                  </c:pt>
                  <c:pt idx="34">
                    <c:v>5.7800000000000004E-2</c:v>
                  </c:pt>
                  <c:pt idx="35">
                    <c:v>5.7800000000000004E-2</c:v>
                  </c:pt>
                  <c:pt idx="36">
                    <c:v>5.7800000000000004E-2</c:v>
                  </c:pt>
                  <c:pt idx="37">
                    <c:v>5.7800000000000004E-2</c:v>
                  </c:pt>
                  <c:pt idx="38">
                    <c:v>5.7800000000000004E-2</c:v>
                  </c:pt>
                  <c:pt idx="39">
                    <c:v>5.7800000000000004E-2</c:v>
                  </c:pt>
                  <c:pt idx="40">
                    <c:v>5.7800000000000004E-2</c:v>
                  </c:pt>
                  <c:pt idx="41">
                    <c:v>5.7800000000000004E-2</c:v>
                  </c:pt>
                  <c:pt idx="42">
                    <c:v>5.7800000000000004E-2</c:v>
                  </c:pt>
                  <c:pt idx="43">
                    <c:v>5.7800000000000004E-2</c:v>
                  </c:pt>
                  <c:pt idx="44">
                    <c:v>5.7800000000000004E-2</c:v>
                  </c:pt>
                  <c:pt idx="45">
                    <c:v>5.7800000000000004E-2</c:v>
                  </c:pt>
                  <c:pt idx="46">
                    <c:v>5.7800000000000004E-2</c:v>
                  </c:pt>
                  <c:pt idx="47">
                    <c:v>5.7800000000000004E-2</c:v>
                  </c:pt>
                  <c:pt idx="48">
                    <c:v>5.7800000000000004E-2</c:v>
                  </c:pt>
                  <c:pt idx="49">
                    <c:v>5.7800000000000004E-2</c:v>
                  </c:pt>
                  <c:pt idx="50">
                    <c:v>5.7800000000000004E-2</c:v>
                  </c:pt>
                  <c:pt idx="51">
                    <c:v>5.7800000000000004E-2</c:v>
                  </c:pt>
                  <c:pt idx="52">
                    <c:v>5.7800000000000004E-2</c:v>
                  </c:pt>
                  <c:pt idx="53">
                    <c:v>5.7800000000000004E-2</c:v>
                  </c:pt>
                  <c:pt idx="54">
                    <c:v>5.7800000000000004E-2</c:v>
                  </c:pt>
                  <c:pt idx="55">
                    <c:v>5.7800000000000004E-2</c:v>
                  </c:pt>
                  <c:pt idx="56">
                    <c:v>5.7800000000000004E-2</c:v>
                  </c:pt>
                  <c:pt idx="57">
                    <c:v>5.7800000000000004E-2</c:v>
                  </c:pt>
                  <c:pt idx="58">
                    <c:v>5.7800000000000004E-2</c:v>
                  </c:pt>
                  <c:pt idx="59">
                    <c:v>5.7800000000000004E-2</c:v>
                  </c:pt>
                  <c:pt idx="60">
                    <c:v>5.7800000000000004E-2</c:v>
                  </c:pt>
                  <c:pt idx="61">
                    <c:v>5.7800000000000004E-2</c:v>
                  </c:pt>
                  <c:pt idx="62">
                    <c:v>5.7800000000000004E-2</c:v>
                  </c:pt>
                  <c:pt idx="63">
                    <c:v>5.7800000000000004E-2</c:v>
                  </c:pt>
                  <c:pt idx="64">
                    <c:v>5.7800000000000004E-2</c:v>
                  </c:pt>
                  <c:pt idx="65">
                    <c:v>5.7800000000000004E-2</c:v>
                  </c:pt>
                  <c:pt idx="66">
                    <c:v>5.7800000000000004E-2</c:v>
                  </c:pt>
                  <c:pt idx="67">
                    <c:v>5.7800000000000004E-2</c:v>
                  </c:pt>
                  <c:pt idx="68">
                    <c:v>5.7800000000000004E-2</c:v>
                  </c:pt>
                  <c:pt idx="69">
                    <c:v>5.7800000000000004E-2</c:v>
                  </c:pt>
                  <c:pt idx="70">
                    <c:v>5.7800000000000004E-2</c:v>
                  </c:pt>
                  <c:pt idx="71">
                    <c:v>5.7800000000000004E-2</c:v>
                  </c:pt>
                  <c:pt idx="72">
                    <c:v>5.7800000000000004E-2</c:v>
                  </c:pt>
                  <c:pt idx="73">
                    <c:v>5.7800000000000004E-2</c:v>
                  </c:pt>
                  <c:pt idx="74">
                    <c:v>5.7800000000000004E-2</c:v>
                  </c:pt>
                  <c:pt idx="75">
                    <c:v>5.7800000000000004E-2</c:v>
                  </c:pt>
                  <c:pt idx="76">
                    <c:v>5.7800000000000004E-2</c:v>
                  </c:pt>
                  <c:pt idx="77">
                    <c:v>5.7800000000000004E-2</c:v>
                  </c:pt>
                  <c:pt idx="78">
                    <c:v>5.7800000000000004E-2</c:v>
                  </c:pt>
                  <c:pt idx="79">
                    <c:v>5.7800000000000004E-2</c:v>
                  </c:pt>
                  <c:pt idx="80">
                    <c:v>5.7800000000000004E-2</c:v>
                  </c:pt>
                  <c:pt idx="81">
                    <c:v>5.7800000000000004E-2</c:v>
                  </c:pt>
                  <c:pt idx="82">
                    <c:v>5.7800000000000004E-2</c:v>
                  </c:pt>
                  <c:pt idx="83">
                    <c:v>5.7800000000000004E-2</c:v>
                  </c:pt>
                  <c:pt idx="84">
                    <c:v>5.7800000000000004E-2</c:v>
                  </c:pt>
                  <c:pt idx="85">
                    <c:v>5.7800000000000004E-2</c:v>
                  </c:pt>
                  <c:pt idx="86">
                    <c:v>5.7800000000000004E-2</c:v>
                  </c:pt>
                  <c:pt idx="87">
                    <c:v>5.7800000000000004E-2</c:v>
                  </c:pt>
                  <c:pt idx="88">
                    <c:v>5.7800000000000004E-2</c:v>
                  </c:pt>
                  <c:pt idx="89">
                    <c:v>5.7800000000000004E-2</c:v>
                  </c:pt>
                  <c:pt idx="90">
                    <c:v>5.7800000000000004E-2</c:v>
                  </c:pt>
                  <c:pt idx="91">
                    <c:v>5.7800000000000004E-2</c:v>
                  </c:pt>
                  <c:pt idx="92">
                    <c:v>5.7800000000000004E-2</c:v>
                  </c:pt>
                  <c:pt idx="93">
                    <c:v>5.7800000000000004E-2</c:v>
                  </c:pt>
                  <c:pt idx="94">
                    <c:v>5.7800000000000004E-2</c:v>
                  </c:pt>
                  <c:pt idx="95">
                    <c:v>5.7800000000000004E-2</c:v>
                  </c:pt>
                  <c:pt idx="96">
                    <c:v>5.7800000000000004E-2</c:v>
                  </c:pt>
                  <c:pt idx="97">
                    <c:v>5.7800000000000004E-2</c:v>
                  </c:pt>
                  <c:pt idx="98">
                    <c:v>5.7800000000000004E-2</c:v>
                  </c:pt>
                  <c:pt idx="99">
                    <c:v>5.7800000000000004E-2</c:v>
                  </c:pt>
                  <c:pt idx="100">
                    <c:v>5.7800000000000004E-2</c:v>
                  </c:pt>
                  <c:pt idx="101">
                    <c:v>5.7800000000000004E-2</c:v>
                  </c:pt>
                  <c:pt idx="102">
                    <c:v>5.7800000000000004E-2</c:v>
                  </c:pt>
                  <c:pt idx="103">
                    <c:v>5.7800000000000004E-2</c:v>
                  </c:pt>
                  <c:pt idx="104">
                    <c:v>5.7800000000000004E-2</c:v>
                  </c:pt>
                  <c:pt idx="105">
                    <c:v>5.7800000000000004E-2</c:v>
                  </c:pt>
                  <c:pt idx="106">
                    <c:v>5.7800000000000004E-2</c:v>
                  </c:pt>
                  <c:pt idx="107">
                    <c:v>5.79E-2</c:v>
                  </c:pt>
                  <c:pt idx="108">
                    <c:v>5.79E-2</c:v>
                  </c:pt>
                  <c:pt idx="109">
                    <c:v>5.79E-2</c:v>
                  </c:pt>
                  <c:pt idx="110">
                    <c:v>5.79E-2</c:v>
                  </c:pt>
                  <c:pt idx="111">
                    <c:v>5.79E-2</c:v>
                  </c:pt>
                  <c:pt idx="112">
                    <c:v>5.79E-2</c:v>
                  </c:pt>
                  <c:pt idx="113">
                    <c:v>5.79E-2</c:v>
                  </c:pt>
                  <c:pt idx="114">
                    <c:v>5.79E-2</c:v>
                  </c:pt>
                  <c:pt idx="115">
                    <c:v>5.79E-2</c:v>
                  </c:pt>
                  <c:pt idx="116">
                    <c:v>5.79E-2</c:v>
                  </c:pt>
                  <c:pt idx="117">
                    <c:v>5.79E-2</c:v>
                  </c:pt>
                  <c:pt idx="118">
                    <c:v>5.79E-2</c:v>
                  </c:pt>
                  <c:pt idx="119">
                    <c:v>5.79E-2</c:v>
                  </c:pt>
                  <c:pt idx="120">
                    <c:v>5.79E-2</c:v>
                  </c:pt>
                  <c:pt idx="121">
                    <c:v>5.79E-2</c:v>
                  </c:pt>
                  <c:pt idx="122">
                    <c:v>5.79E-2</c:v>
                  </c:pt>
                  <c:pt idx="123">
                    <c:v>5.79E-2</c:v>
                  </c:pt>
                  <c:pt idx="124">
                    <c:v>5.79E-2</c:v>
                  </c:pt>
                  <c:pt idx="125">
                    <c:v>5.8000000000000003E-2</c:v>
                  </c:pt>
                  <c:pt idx="126">
                    <c:v>5.8000000000000003E-2</c:v>
                  </c:pt>
                  <c:pt idx="127">
                    <c:v>5.8000000000000003E-2</c:v>
                  </c:pt>
                  <c:pt idx="128">
                    <c:v>5.8000000000000003E-2</c:v>
                  </c:pt>
                  <c:pt idx="129">
                    <c:v>5.8000000000000003E-2</c:v>
                  </c:pt>
                  <c:pt idx="130">
                    <c:v>5.8000000000000003E-2</c:v>
                  </c:pt>
                  <c:pt idx="131">
                    <c:v>5.8000000000000003E-2</c:v>
                  </c:pt>
                  <c:pt idx="132">
                    <c:v>5.8000000000000003E-2</c:v>
                  </c:pt>
                  <c:pt idx="133">
                    <c:v>5.8000000000000003E-2</c:v>
                  </c:pt>
                  <c:pt idx="134">
                    <c:v>5.8000000000000003E-2</c:v>
                  </c:pt>
                  <c:pt idx="135">
                    <c:v>5.8000000000000003E-2</c:v>
                  </c:pt>
                  <c:pt idx="136">
                    <c:v>5.8000000000000003E-2</c:v>
                  </c:pt>
                  <c:pt idx="137">
                    <c:v>5.8000000000000003E-2</c:v>
                  </c:pt>
                  <c:pt idx="138">
                    <c:v>5.8000000000000003E-2</c:v>
                  </c:pt>
                  <c:pt idx="139">
                    <c:v>5.8000000000000003E-2</c:v>
                  </c:pt>
                  <c:pt idx="140">
                    <c:v>5.8000000000000003E-2</c:v>
                  </c:pt>
                  <c:pt idx="141">
                    <c:v>5.8000000000000003E-2</c:v>
                  </c:pt>
                  <c:pt idx="142">
                    <c:v>5.8000000000000003E-2</c:v>
                  </c:pt>
                  <c:pt idx="143">
                    <c:v>5.8100000000000006E-2</c:v>
                  </c:pt>
                  <c:pt idx="144">
                    <c:v>5.8100000000000006E-2</c:v>
                  </c:pt>
                  <c:pt idx="145">
                    <c:v>5.8100000000000006E-2</c:v>
                  </c:pt>
                  <c:pt idx="146">
                    <c:v>5.8100000000000006E-2</c:v>
                  </c:pt>
                  <c:pt idx="147">
                    <c:v>5.8100000000000006E-2</c:v>
                  </c:pt>
                  <c:pt idx="148">
                    <c:v>5.8100000000000006E-2</c:v>
                  </c:pt>
                  <c:pt idx="149">
                    <c:v>5.8100000000000006E-2</c:v>
                  </c:pt>
                  <c:pt idx="150">
                    <c:v>5.8100000000000006E-2</c:v>
                  </c:pt>
                  <c:pt idx="151">
                    <c:v>5.8100000000000006E-2</c:v>
                  </c:pt>
                  <c:pt idx="152">
                    <c:v>5.8100000000000006E-2</c:v>
                  </c:pt>
                  <c:pt idx="153">
                    <c:v>5.8100000000000006E-2</c:v>
                  </c:pt>
                  <c:pt idx="154">
                    <c:v>5.8100000000000006E-2</c:v>
                  </c:pt>
                  <c:pt idx="155">
                    <c:v>5.8100000000000006E-2</c:v>
                  </c:pt>
                  <c:pt idx="156">
                    <c:v>5.8100000000000006E-2</c:v>
                  </c:pt>
                  <c:pt idx="157">
                    <c:v>5.8100000000000006E-2</c:v>
                  </c:pt>
                  <c:pt idx="158">
                    <c:v>5.8100000000000006E-2</c:v>
                  </c:pt>
                  <c:pt idx="159">
                    <c:v>5.8100000000000006E-2</c:v>
                  </c:pt>
                  <c:pt idx="160">
                    <c:v>5.8100000000000006E-2</c:v>
                  </c:pt>
                  <c:pt idx="161">
                    <c:v>5.8100000000000006E-2</c:v>
                  </c:pt>
                  <c:pt idx="162">
                    <c:v>5.8100000000000006E-2</c:v>
                  </c:pt>
                  <c:pt idx="163">
                    <c:v>5.8100000000000006E-2</c:v>
                  </c:pt>
                  <c:pt idx="164">
                    <c:v>5.8200000000000002E-2</c:v>
                  </c:pt>
                  <c:pt idx="165">
                    <c:v>5.8200000000000002E-2</c:v>
                  </c:pt>
                  <c:pt idx="166">
                    <c:v>5.8200000000000002E-2</c:v>
                  </c:pt>
                  <c:pt idx="167">
                    <c:v>5.8200000000000002E-2</c:v>
                  </c:pt>
                  <c:pt idx="168">
                    <c:v>5.8200000000000002E-2</c:v>
                  </c:pt>
                  <c:pt idx="169">
                    <c:v>5.8200000000000002E-2</c:v>
                  </c:pt>
                  <c:pt idx="170">
                    <c:v>5.8200000000000002E-2</c:v>
                  </c:pt>
                  <c:pt idx="171">
                    <c:v>5.8200000000000002E-2</c:v>
                  </c:pt>
                  <c:pt idx="172">
                    <c:v>5.8200000000000002E-2</c:v>
                  </c:pt>
                  <c:pt idx="173">
                    <c:v>5.8200000000000002E-2</c:v>
                  </c:pt>
                  <c:pt idx="174">
                    <c:v>5.8200000000000002E-2</c:v>
                  </c:pt>
                  <c:pt idx="175">
                    <c:v>5.8200000000000002E-2</c:v>
                  </c:pt>
                  <c:pt idx="176">
                    <c:v>5.8200000000000002E-2</c:v>
                  </c:pt>
                  <c:pt idx="177">
                    <c:v>5.8200000000000002E-2</c:v>
                  </c:pt>
                  <c:pt idx="178">
                    <c:v>5.8200000000000002E-2</c:v>
                  </c:pt>
                  <c:pt idx="179">
                    <c:v>5.8200000000000002E-2</c:v>
                  </c:pt>
                  <c:pt idx="180">
                    <c:v>5.8200000000000002E-2</c:v>
                  </c:pt>
                  <c:pt idx="181">
                    <c:v>5.8300000000000005E-2</c:v>
                  </c:pt>
                  <c:pt idx="182">
                    <c:v>5.8300000000000005E-2</c:v>
                  </c:pt>
                  <c:pt idx="183">
                    <c:v>5.8300000000000005E-2</c:v>
                  </c:pt>
                  <c:pt idx="184">
                    <c:v>5.8300000000000005E-2</c:v>
                  </c:pt>
                  <c:pt idx="185">
                    <c:v>5.8300000000000005E-2</c:v>
                  </c:pt>
                  <c:pt idx="186">
                    <c:v>5.8300000000000005E-2</c:v>
                  </c:pt>
                  <c:pt idx="187">
                    <c:v>5.8300000000000005E-2</c:v>
                  </c:pt>
                  <c:pt idx="188">
                    <c:v>5.8300000000000005E-2</c:v>
                  </c:pt>
                  <c:pt idx="189">
                    <c:v>5.8300000000000005E-2</c:v>
                  </c:pt>
                  <c:pt idx="190">
                    <c:v>5.8300000000000005E-2</c:v>
                  </c:pt>
                  <c:pt idx="191">
                    <c:v>5.8300000000000005E-2</c:v>
                  </c:pt>
                  <c:pt idx="192">
                    <c:v>5.8300000000000005E-2</c:v>
                  </c:pt>
                  <c:pt idx="193">
                    <c:v>5.8300000000000005E-2</c:v>
                  </c:pt>
                  <c:pt idx="194">
                    <c:v>5.8300000000000005E-2</c:v>
                  </c:pt>
                  <c:pt idx="195">
                    <c:v>5.8300000000000005E-2</c:v>
                  </c:pt>
                  <c:pt idx="196">
                    <c:v>5.8300000000000005E-2</c:v>
                  </c:pt>
                  <c:pt idx="197">
                    <c:v>5.8300000000000005E-2</c:v>
                  </c:pt>
                  <c:pt idx="198">
                    <c:v>5.8300000000000005E-2</c:v>
                  </c:pt>
                  <c:pt idx="199">
                    <c:v>5.8300000000000005E-2</c:v>
                  </c:pt>
                  <c:pt idx="200">
                    <c:v>5.8300000000000005E-2</c:v>
                  </c:pt>
                  <c:pt idx="201">
                    <c:v>5.8300000000000005E-2</c:v>
                  </c:pt>
                  <c:pt idx="202">
                    <c:v>5.8300000000000005E-2</c:v>
                  </c:pt>
                  <c:pt idx="203">
                    <c:v>5.8300000000000005E-2</c:v>
                  </c:pt>
                  <c:pt idx="204">
                    <c:v>5.8400000000000001E-2</c:v>
                  </c:pt>
                  <c:pt idx="205">
                    <c:v>5.8400000000000001E-2</c:v>
                  </c:pt>
                  <c:pt idx="206">
                    <c:v>5.8400000000000001E-2</c:v>
                  </c:pt>
                  <c:pt idx="207">
                    <c:v>5.8400000000000001E-2</c:v>
                  </c:pt>
                  <c:pt idx="208">
                    <c:v>5.8400000000000001E-2</c:v>
                  </c:pt>
                  <c:pt idx="209">
                    <c:v>5.8400000000000001E-2</c:v>
                  </c:pt>
                  <c:pt idx="210">
                    <c:v>5.8400000000000001E-2</c:v>
                  </c:pt>
                  <c:pt idx="211">
                    <c:v>5.8400000000000001E-2</c:v>
                  </c:pt>
                  <c:pt idx="212">
                    <c:v>5.8400000000000001E-2</c:v>
                  </c:pt>
                  <c:pt idx="213">
                    <c:v>5.8400000000000001E-2</c:v>
                  </c:pt>
                  <c:pt idx="214">
                    <c:v>5.8400000000000001E-2</c:v>
                  </c:pt>
                  <c:pt idx="215">
                    <c:v>5.8400000000000001E-2</c:v>
                  </c:pt>
                  <c:pt idx="216">
                    <c:v>5.8400000000000001E-2</c:v>
                  </c:pt>
                  <c:pt idx="217">
                    <c:v>5.8400000000000001E-2</c:v>
                  </c:pt>
                  <c:pt idx="218">
                    <c:v>5.8400000000000001E-2</c:v>
                  </c:pt>
                  <c:pt idx="219">
                    <c:v>5.8400000000000001E-2</c:v>
                  </c:pt>
                  <c:pt idx="220">
                    <c:v>5.8400000000000001E-2</c:v>
                  </c:pt>
                  <c:pt idx="221">
                    <c:v>5.8400000000000001E-2</c:v>
                  </c:pt>
                  <c:pt idx="222">
                    <c:v>5.8400000000000001E-2</c:v>
                  </c:pt>
                  <c:pt idx="223">
                    <c:v>5.8400000000000001E-2</c:v>
                  </c:pt>
                  <c:pt idx="224">
                    <c:v>5.8400000000000001E-2</c:v>
                  </c:pt>
                  <c:pt idx="225">
                    <c:v>5.8400000000000001E-2</c:v>
                  </c:pt>
                  <c:pt idx="226">
                    <c:v>5.8500000000000003E-2</c:v>
                  </c:pt>
                  <c:pt idx="227">
                    <c:v>5.8500000000000003E-2</c:v>
                  </c:pt>
                  <c:pt idx="228">
                    <c:v>5.8500000000000003E-2</c:v>
                  </c:pt>
                  <c:pt idx="229">
                    <c:v>5.8500000000000003E-2</c:v>
                  </c:pt>
                  <c:pt idx="230">
                    <c:v>5.8500000000000003E-2</c:v>
                  </c:pt>
                  <c:pt idx="231">
                    <c:v>5.8500000000000003E-2</c:v>
                  </c:pt>
                  <c:pt idx="232">
                    <c:v>5.8500000000000003E-2</c:v>
                  </c:pt>
                  <c:pt idx="233">
                    <c:v>5.8500000000000003E-2</c:v>
                  </c:pt>
                  <c:pt idx="234">
                    <c:v>5.8500000000000003E-2</c:v>
                  </c:pt>
                  <c:pt idx="235">
                    <c:v>5.8500000000000003E-2</c:v>
                  </c:pt>
                  <c:pt idx="236">
                    <c:v>5.8500000000000003E-2</c:v>
                  </c:pt>
                  <c:pt idx="237">
                    <c:v>5.8500000000000003E-2</c:v>
                  </c:pt>
                  <c:pt idx="238">
                    <c:v>5.8500000000000003E-2</c:v>
                  </c:pt>
                  <c:pt idx="239">
                    <c:v>5.8500000000000003E-2</c:v>
                  </c:pt>
                  <c:pt idx="240">
                    <c:v>5.8500000000000003E-2</c:v>
                  </c:pt>
                  <c:pt idx="241">
                    <c:v>5.8500000000000003E-2</c:v>
                  </c:pt>
                  <c:pt idx="242">
                    <c:v>5.8600000000000006E-2</c:v>
                  </c:pt>
                  <c:pt idx="243">
                    <c:v>5.8600000000000006E-2</c:v>
                  </c:pt>
                  <c:pt idx="244">
                    <c:v>5.8600000000000006E-2</c:v>
                  </c:pt>
                  <c:pt idx="245">
                    <c:v>5.8600000000000006E-2</c:v>
                  </c:pt>
                  <c:pt idx="246">
                    <c:v>5.8600000000000006E-2</c:v>
                  </c:pt>
                  <c:pt idx="247">
                    <c:v>5.8600000000000006E-2</c:v>
                  </c:pt>
                  <c:pt idx="248">
                    <c:v>5.8600000000000006E-2</c:v>
                  </c:pt>
                  <c:pt idx="249">
                    <c:v>5.8600000000000006E-2</c:v>
                  </c:pt>
                  <c:pt idx="250">
                    <c:v>5.8600000000000006E-2</c:v>
                  </c:pt>
                  <c:pt idx="251">
                    <c:v>5.8600000000000006E-2</c:v>
                  </c:pt>
                  <c:pt idx="252">
                    <c:v>5.8600000000000006E-2</c:v>
                  </c:pt>
                  <c:pt idx="253">
                    <c:v>5.8600000000000006E-2</c:v>
                  </c:pt>
                  <c:pt idx="254">
                    <c:v>5.8600000000000006E-2</c:v>
                  </c:pt>
                  <c:pt idx="255">
                    <c:v>5.8700000000000002E-2</c:v>
                  </c:pt>
                  <c:pt idx="256">
                    <c:v>5.8700000000000002E-2</c:v>
                  </c:pt>
                  <c:pt idx="257">
                    <c:v>5.8700000000000002E-2</c:v>
                  </c:pt>
                  <c:pt idx="258">
                    <c:v>5.8700000000000002E-2</c:v>
                  </c:pt>
                  <c:pt idx="259">
                    <c:v>5.8700000000000002E-2</c:v>
                  </c:pt>
                  <c:pt idx="260">
                    <c:v>5.8700000000000002E-2</c:v>
                  </c:pt>
                  <c:pt idx="261">
                    <c:v>5.8700000000000002E-2</c:v>
                  </c:pt>
                  <c:pt idx="262">
                    <c:v>5.8700000000000002E-2</c:v>
                  </c:pt>
                  <c:pt idx="263">
                    <c:v>5.8700000000000002E-2</c:v>
                  </c:pt>
                  <c:pt idx="264">
                    <c:v>5.8700000000000002E-2</c:v>
                  </c:pt>
                  <c:pt idx="265">
                    <c:v>5.8700000000000002E-2</c:v>
                  </c:pt>
                  <c:pt idx="266">
                    <c:v>5.8700000000000002E-2</c:v>
                  </c:pt>
                  <c:pt idx="267">
                    <c:v>5.8700000000000002E-2</c:v>
                  </c:pt>
                  <c:pt idx="268">
                    <c:v>5.8700000000000002E-2</c:v>
                  </c:pt>
                  <c:pt idx="269">
                    <c:v>5.8700000000000002E-2</c:v>
                  </c:pt>
                  <c:pt idx="270">
                    <c:v>5.8700000000000002E-2</c:v>
                  </c:pt>
                  <c:pt idx="271">
                    <c:v>5.8700000000000002E-2</c:v>
                  </c:pt>
                  <c:pt idx="272">
                    <c:v>5.8700000000000002E-2</c:v>
                  </c:pt>
                  <c:pt idx="273">
                    <c:v>5.8700000000000002E-2</c:v>
                  </c:pt>
                  <c:pt idx="274">
                    <c:v>5.8700000000000002E-2</c:v>
                  </c:pt>
                  <c:pt idx="275">
                    <c:v>5.8700000000000002E-2</c:v>
                  </c:pt>
                  <c:pt idx="276">
                    <c:v>5.8700000000000002E-2</c:v>
                  </c:pt>
                  <c:pt idx="277">
                    <c:v>5.8700000000000002E-2</c:v>
                  </c:pt>
                  <c:pt idx="278">
                    <c:v>5.8800000000000005E-2</c:v>
                  </c:pt>
                  <c:pt idx="279">
                    <c:v>5.8800000000000005E-2</c:v>
                  </c:pt>
                  <c:pt idx="280">
                    <c:v>5.8800000000000005E-2</c:v>
                  </c:pt>
                  <c:pt idx="281">
                    <c:v>5.8800000000000005E-2</c:v>
                  </c:pt>
                  <c:pt idx="282">
                    <c:v>5.8800000000000005E-2</c:v>
                  </c:pt>
                  <c:pt idx="283">
                    <c:v>5.8800000000000005E-2</c:v>
                  </c:pt>
                  <c:pt idx="284">
                    <c:v>5.8800000000000005E-2</c:v>
                  </c:pt>
                  <c:pt idx="285">
                    <c:v>5.8800000000000005E-2</c:v>
                  </c:pt>
                  <c:pt idx="286">
                    <c:v>5.8800000000000005E-2</c:v>
                  </c:pt>
                  <c:pt idx="287">
                    <c:v>5.8800000000000005E-2</c:v>
                  </c:pt>
                  <c:pt idx="288">
                    <c:v>5.8800000000000005E-2</c:v>
                  </c:pt>
                  <c:pt idx="289">
                    <c:v>5.8800000000000005E-2</c:v>
                  </c:pt>
                  <c:pt idx="290">
                    <c:v>5.8800000000000005E-2</c:v>
                  </c:pt>
                  <c:pt idx="291">
                    <c:v>5.8800000000000005E-2</c:v>
                  </c:pt>
                  <c:pt idx="292">
                    <c:v>5.8800000000000005E-2</c:v>
                  </c:pt>
                  <c:pt idx="293">
                    <c:v>5.8800000000000005E-2</c:v>
                  </c:pt>
                  <c:pt idx="294">
                    <c:v>5.8800000000000005E-2</c:v>
                  </c:pt>
                  <c:pt idx="295">
                    <c:v>5.8800000000000005E-2</c:v>
                  </c:pt>
                  <c:pt idx="296">
                    <c:v>5.8800000000000005E-2</c:v>
                  </c:pt>
                  <c:pt idx="297">
                    <c:v>5.8900000000000001E-2</c:v>
                  </c:pt>
                  <c:pt idx="298">
                    <c:v>5.8900000000000001E-2</c:v>
                  </c:pt>
                  <c:pt idx="299">
                    <c:v>5.8900000000000001E-2</c:v>
                  </c:pt>
                  <c:pt idx="300">
                    <c:v>5.8900000000000001E-2</c:v>
                  </c:pt>
                  <c:pt idx="301">
                    <c:v>5.8900000000000001E-2</c:v>
                  </c:pt>
                  <c:pt idx="302">
                    <c:v>5.8900000000000001E-2</c:v>
                  </c:pt>
                  <c:pt idx="303">
                    <c:v>5.8900000000000001E-2</c:v>
                  </c:pt>
                  <c:pt idx="304">
                    <c:v>5.8900000000000001E-2</c:v>
                  </c:pt>
                  <c:pt idx="305">
                    <c:v>5.8900000000000001E-2</c:v>
                  </c:pt>
                  <c:pt idx="306">
                    <c:v>5.8900000000000001E-2</c:v>
                  </c:pt>
                  <c:pt idx="307">
                    <c:v>5.8900000000000001E-2</c:v>
                  </c:pt>
                  <c:pt idx="308">
                    <c:v>5.8900000000000001E-2</c:v>
                  </c:pt>
                  <c:pt idx="309">
                    <c:v>5.8900000000000001E-2</c:v>
                  </c:pt>
                  <c:pt idx="310">
                    <c:v>5.8900000000000001E-2</c:v>
                  </c:pt>
                  <c:pt idx="311">
                    <c:v>5.8900000000000001E-2</c:v>
                  </c:pt>
                  <c:pt idx="312">
                    <c:v>5.8900000000000001E-2</c:v>
                  </c:pt>
                  <c:pt idx="313">
                    <c:v>5.8900000000000001E-2</c:v>
                  </c:pt>
                  <c:pt idx="314">
                    <c:v>5.9000000000000004E-2</c:v>
                  </c:pt>
                  <c:pt idx="315">
                    <c:v>5.9000000000000004E-2</c:v>
                  </c:pt>
                  <c:pt idx="316">
                    <c:v>5.9000000000000004E-2</c:v>
                  </c:pt>
                  <c:pt idx="317">
                    <c:v>5.9000000000000004E-2</c:v>
                  </c:pt>
                  <c:pt idx="318">
                    <c:v>5.9000000000000004E-2</c:v>
                  </c:pt>
                  <c:pt idx="319">
                    <c:v>5.9000000000000004E-2</c:v>
                  </c:pt>
                  <c:pt idx="320">
                    <c:v>5.9000000000000004E-2</c:v>
                  </c:pt>
                  <c:pt idx="321">
                    <c:v>5.9000000000000004E-2</c:v>
                  </c:pt>
                  <c:pt idx="322">
                    <c:v>5.9000000000000004E-2</c:v>
                  </c:pt>
                  <c:pt idx="323">
                    <c:v>5.9000000000000004E-2</c:v>
                  </c:pt>
                  <c:pt idx="324">
                    <c:v>5.9000000000000004E-2</c:v>
                  </c:pt>
                  <c:pt idx="325">
                    <c:v>5.9000000000000004E-2</c:v>
                  </c:pt>
                  <c:pt idx="326">
                    <c:v>5.9000000000000004E-2</c:v>
                  </c:pt>
                  <c:pt idx="327">
                    <c:v>5.9000000000000004E-2</c:v>
                  </c:pt>
                  <c:pt idx="328">
                    <c:v>5.9000000000000004E-2</c:v>
                  </c:pt>
                  <c:pt idx="329">
                    <c:v>5.9000000000000004E-2</c:v>
                  </c:pt>
                  <c:pt idx="330">
                    <c:v>5.91E-2</c:v>
                  </c:pt>
                  <c:pt idx="331">
                    <c:v>5.91E-2</c:v>
                  </c:pt>
                  <c:pt idx="332">
                    <c:v>5.91E-2</c:v>
                  </c:pt>
                  <c:pt idx="333">
                    <c:v>5.91E-2</c:v>
                  </c:pt>
                  <c:pt idx="334">
                    <c:v>5.91E-2</c:v>
                  </c:pt>
                  <c:pt idx="335">
                    <c:v>5.91E-2</c:v>
                  </c:pt>
                  <c:pt idx="336">
                    <c:v>5.91E-2</c:v>
                  </c:pt>
                  <c:pt idx="337">
                    <c:v>5.91E-2</c:v>
                  </c:pt>
                  <c:pt idx="338">
                    <c:v>5.91E-2</c:v>
                  </c:pt>
                  <c:pt idx="339">
                    <c:v>5.91E-2</c:v>
                  </c:pt>
                  <c:pt idx="340">
                    <c:v>5.91E-2</c:v>
                  </c:pt>
                  <c:pt idx="341">
                    <c:v>5.91E-2</c:v>
                  </c:pt>
                  <c:pt idx="342">
                    <c:v>5.91E-2</c:v>
                  </c:pt>
                  <c:pt idx="343">
                    <c:v>5.9200000000000003E-2</c:v>
                  </c:pt>
                  <c:pt idx="344">
                    <c:v>5.9200000000000003E-2</c:v>
                  </c:pt>
                  <c:pt idx="345">
                    <c:v>5.9200000000000003E-2</c:v>
                  </c:pt>
                  <c:pt idx="346">
                    <c:v>5.9200000000000003E-2</c:v>
                  </c:pt>
                  <c:pt idx="347">
                    <c:v>5.9200000000000003E-2</c:v>
                  </c:pt>
                  <c:pt idx="348">
                    <c:v>5.9200000000000003E-2</c:v>
                  </c:pt>
                  <c:pt idx="349">
                    <c:v>5.9200000000000003E-2</c:v>
                  </c:pt>
                  <c:pt idx="350">
                    <c:v>5.9200000000000003E-2</c:v>
                  </c:pt>
                  <c:pt idx="351">
                    <c:v>5.9200000000000003E-2</c:v>
                  </c:pt>
                  <c:pt idx="352">
                    <c:v>5.9200000000000003E-2</c:v>
                  </c:pt>
                  <c:pt idx="353">
                    <c:v>5.9200000000000003E-2</c:v>
                  </c:pt>
                  <c:pt idx="354">
                    <c:v>5.9200000000000003E-2</c:v>
                  </c:pt>
                  <c:pt idx="355">
                    <c:v>5.9200000000000003E-2</c:v>
                  </c:pt>
                  <c:pt idx="356">
                    <c:v>5.9300000000000005E-2</c:v>
                  </c:pt>
                  <c:pt idx="357">
                    <c:v>5.9300000000000005E-2</c:v>
                  </c:pt>
                  <c:pt idx="358">
                    <c:v>5.9300000000000005E-2</c:v>
                  </c:pt>
                  <c:pt idx="359">
                    <c:v>5.9300000000000005E-2</c:v>
                  </c:pt>
                  <c:pt idx="360">
                    <c:v>5.9300000000000005E-2</c:v>
                  </c:pt>
                  <c:pt idx="361">
                    <c:v>5.9300000000000005E-2</c:v>
                  </c:pt>
                  <c:pt idx="362">
                    <c:v>5.9300000000000005E-2</c:v>
                  </c:pt>
                  <c:pt idx="363">
                    <c:v>5.9300000000000005E-2</c:v>
                  </c:pt>
                  <c:pt idx="364">
                    <c:v>5.9300000000000005E-2</c:v>
                  </c:pt>
                  <c:pt idx="365">
                    <c:v>5.9300000000000005E-2</c:v>
                  </c:pt>
                  <c:pt idx="366">
                    <c:v>5.9300000000000005E-2</c:v>
                  </c:pt>
                  <c:pt idx="367">
                    <c:v>5.9400000000000001E-2</c:v>
                  </c:pt>
                  <c:pt idx="368">
                    <c:v>5.9400000000000001E-2</c:v>
                  </c:pt>
                  <c:pt idx="369">
                    <c:v>5.9400000000000001E-2</c:v>
                  </c:pt>
                  <c:pt idx="370">
                    <c:v>5.9400000000000001E-2</c:v>
                  </c:pt>
                  <c:pt idx="371">
                    <c:v>5.9400000000000001E-2</c:v>
                  </c:pt>
                  <c:pt idx="372">
                    <c:v>5.9400000000000001E-2</c:v>
                  </c:pt>
                  <c:pt idx="373">
                    <c:v>5.9400000000000001E-2</c:v>
                  </c:pt>
                  <c:pt idx="374">
                    <c:v>5.9400000000000001E-2</c:v>
                  </c:pt>
                  <c:pt idx="375">
                    <c:v>5.9400000000000001E-2</c:v>
                  </c:pt>
                  <c:pt idx="376">
                    <c:v>5.9500000000000004E-2</c:v>
                  </c:pt>
                  <c:pt idx="377">
                    <c:v>5.9500000000000004E-2</c:v>
                  </c:pt>
                  <c:pt idx="378">
                    <c:v>5.9500000000000004E-2</c:v>
                  </c:pt>
                  <c:pt idx="379">
                    <c:v>5.9500000000000004E-2</c:v>
                  </c:pt>
                  <c:pt idx="380">
                    <c:v>5.9500000000000004E-2</c:v>
                  </c:pt>
                  <c:pt idx="381">
                    <c:v>5.9500000000000004E-2</c:v>
                  </c:pt>
                  <c:pt idx="382">
                    <c:v>5.9500000000000004E-2</c:v>
                  </c:pt>
                  <c:pt idx="383">
                    <c:v>5.9500000000000004E-2</c:v>
                  </c:pt>
                  <c:pt idx="384">
                    <c:v>5.9500000000000004E-2</c:v>
                  </c:pt>
                  <c:pt idx="385">
                    <c:v>5.9500000000000004E-2</c:v>
                  </c:pt>
                  <c:pt idx="386">
                    <c:v>5.9500000000000004E-2</c:v>
                  </c:pt>
                  <c:pt idx="387">
                    <c:v>5.9500000000000004E-2</c:v>
                  </c:pt>
                  <c:pt idx="388">
                    <c:v>5.9500000000000004E-2</c:v>
                  </c:pt>
                  <c:pt idx="389">
                    <c:v>5.9500000000000004E-2</c:v>
                  </c:pt>
                  <c:pt idx="390">
                    <c:v>5.9500000000000004E-2</c:v>
                  </c:pt>
                  <c:pt idx="391">
                    <c:v>5.9500000000000004E-2</c:v>
                  </c:pt>
                  <c:pt idx="392">
                    <c:v>5.96E-2</c:v>
                  </c:pt>
                  <c:pt idx="393">
                    <c:v>5.96E-2</c:v>
                  </c:pt>
                  <c:pt idx="394">
                    <c:v>5.96E-2</c:v>
                  </c:pt>
                  <c:pt idx="395">
                    <c:v>5.96E-2</c:v>
                  </c:pt>
                  <c:pt idx="396">
                    <c:v>5.96E-2</c:v>
                  </c:pt>
                  <c:pt idx="397">
                    <c:v>5.96E-2</c:v>
                  </c:pt>
                  <c:pt idx="398">
                    <c:v>5.96E-2</c:v>
                  </c:pt>
                  <c:pt idx="399">
                    <c:v>5.96E-2</c:v>
                  </c:pt>
                  <c:pt idx="400">
                    <c:v>5.96E-2</c:v>
                  </c:pt>
                  <c:pt idx="401">
                    <c:v>5.96E-2</c:v>
                  </c:pt>
                  <c:pt idx="402">
                    <c:v>5.96E-2</c:v>
                  </c:pt>
                  <c:pt idx="403">
                    <c:v>5.9700000000000003E-2</c:v>
                  </c:pt>
                  <c:pt idx="404">
                    <c:v>5.9700000000000003E-2</c:v>
                  </c:pt>
                  <c:pt idx="405">
                    <c:v>5.9700000000000003E-2</c:v>
                  </c:pt>
                  <c:pt idx="406">
                    <c:v>5.9700000000000003E-2</c:v>
                  </c:pt>
                  <c:pt idx="407">
                    <c:v>5.9700000000000003E-2</c:v>
                  </c:pt>
                  <c:pt idx="408">
                    <c:v>5.9700000000000003E-2</c:v>
                  </c:pt>
                  <c:pt idx="409">
                    <c:v>5.9700000000000003E-2</c:v>
                  </c:pt>
                  <c:pt idx="410">
                    <c:v>5.9700000000000003E-2</c:v>
                  </c:pt>
                  <c:pt idx="411">
                    <c:v>5.9700000000000003E-2</c:v>
                  </c:pt>
                  <c:pt idx="412">
                    <c:v>5.9700000000000003E-2</c:v>
                  </c:pt>
                  <c:pt idx="413">
                    <c:v>5.9700000000000003E-2</c:v>
                  </c:pt>
                  <c:pt idx="414">
                    <c:v>5.9800000000000006E-2</c:v>
                  </c:pt>
                  <c:pt idx="415">
                    <c:v>5.9800000000000006E-2</c:v>
                  </c:pt>
                  <c:pt idx="416">
                    <c:v>5.9800000000000006E-2</c:v>
                  </c:pt>
                  <c:pt idx="417">
                    <c:v>5.9800000000000006E-2</c:v>
                  </c:pt>
                  <c:pt idx="418">
                    <c:v>5.9800000000000006E-2</c:v>
                  </c:pt>
                  <c:pt idx="419">
                    <c:v>5.9800000000000006E-2</c:v>
                  </c:pt>
                  <c:pt idx="420">
                    <c:v>5.9800000000000006E-2</c:v>
                  </c:pt>
                  <c:pt idx="421">
                    <c:v>5.9800000000000006E-2</c:v>
                  </c:pt>
                  <c:pt idx="422">
                    <c:v>5.9800000000000006E-2</c:v>
                  </c:pt>
                  <c:pt idx="423">
                    <c:v>5.9800000000000006E-2</c:v>
                  </c:pt>
                  <c:pt idx="424">
                    <c:v>5.9800000000000006E-2</c:v>
                  </c:pt>
                  <c:pt idx="425">
                    <c:v>5.9800000000000006E-2</c:v>
                  </c:pt>
                  <c:pt idx="426">
                    <c:v>5.9800000000000006E-2</c:v>
                  </c:pt>
                  <c:pt idx="427">
                    <c:v>5.9900000000000002E-2</c:v>
                  </c:pt>
                  <c:pt idx="428">
                    <c:v>5.9900000000000002E-2</c:v>
                  </c:pt>
                  <c:pt idx="429">
                    <c:v>5.9900000000000002E-2</c:v>
                  </c:pt>
                  <c:pt idx="430">
                    <c:v>5.9900000000000002E-2</c:v>
                  </c:pt>
                  <c:pt idx="431">
                    <c:v>5.9900000000000002E-2</c:v>
                  </c:pt>
                  <c:pt idx="432">
                    <c:v>5.9900000000000002E-2</c:v>
                  </c:pt>
                  <c:pt idx="433">
                    <c:v>5.9900000000000002E-2</c:v>
                  </c:pt>
                  <c:pt idx="434">
                    <c:v>5.9900000000000002E-2</c:v>
                  </c:pt>
                  <c:pt idx="435">
                    <c:v>5.9900000000000002E-2</c:v>
                  </c:pt>
                  <c:pt idx="436">
                    <c:v>5.9900000000000002E-2</c:v>
                  </c:pt>
                  <c:pt idx="437">
                    <c:v>5.9900000000000002E-2</c:v>
                  </c:pt>
                  <c:pt idx="438">
                    <c:v>6.0000000000000005E-2</c:v>
                  </c:pt>
                  <c:pt idx="439">
                    <c:v>6.0000000000000005E-2</c:v>
                  </c:pt>
                  <c:pt idx="440">
                    <c:v>6.0000000000000005E-2</c:v>
                  </c:pt>
                  <c:pt idx="441">
                    <c:v>6.0000000000000005E-2</c:v>
                  </c:pt>
                  <c:pt idx="442">
                    <c:v>6.0000000000000005E-2</c:v>
                  </c:pt>
                  <c:pt idx="443">
                    <c:v>6.0000000000000005E-2</c:v>
                  </c:pt>
                  <c:pt idx="444">
                    <c:v>6.0000000000000005E-2</c:v>
                  </c:pt>
                  <c:pt idx="445">
                    <c:v>6.0000000000000005E-2</c:v>
                  </c:pt>
                  <c:pt idx="446">
                    <c:v>6.0000000000000005E-2</c:v>
                  </c:pt>
                  <c:pt idx="447">
                    <c:v>6.0000000000000005E-2</c:v>
                  </c:pt>
                  <c:pt idx="448">
                    <c:v>6.0100000000000001E-2</c:v>
                  </c:pt>
                  <c:pt idx="449">
                    <c:v>6.0100000000000001E-2</c:v>
                  </c:pt>
                  <c:pt idx="450">
                    <c:v>6.0100000000000001E-2</c:v>
                  </c:pt>
                  <c:pt idx="451">
                    <c:v>6.0100000000000001E-2</c:v>
                  </c:pt>
                  <c:pt idx="452">
                    <c:v>6.0100000000000001E-2</c:v>
                  </c:pt>
                  <c:pt idx="453">
                    <c:v>6.0100000000000001E-2</c:v>
                  </c:pt>
                  <c:pt idx="454">
                    <c:v>6.0100000000000001E-2</c:v>
                  </c:pt>
                  <c:pt idx="455">
                    <c:v>6.0100000000000001E-2</c:v>
                  </c:pt>
                  <c:pt idx="456">
                    <c:v>6.0100000000000001E-2</c:v>
                  </c:pt>
                  <c:pt idx="457">
                    <c:v>6.0200000000000004E-2</c:v>
                  </c:pt>
                  <c:pt idx="458">
                    <c:v>6.0200000000000004E-2</c:v>
                  </c:pt>
                  <c:pt idx="459">
                    <c:v>6.0200000000000004E-2</c:v>
                  </c:pt>
                  <c:pt idx="460">
                    <c:v>6.0200000000000004E-2</c:v>
                  </c:pt>
                  <c:pt idx="461">
                    <c:v>6.0200000000000004E-2</c:v>
                  </c:pt>
                  <c:pt idx="462">
                    <c:v>6.0200000000000004E-2</c:v>
                  </c:pt>
                  <c:pt idx="463">
                    <c:v>6.0200000000000004E-2</c:v>
                  </c:pt>
                  <c:pt idx="464">
                    <c:v>6.0200000000000004E-2</c:v>
                  </c:pt>
                  <c:pt idx="465">
                    <c:v>6.0299999999999999E-2</c:v>
                  </c:pt>
                  <c:pt idx="466">
                    <c:v>6.0299999999999999E-2</c:v>
                  </c:pt>
                  <c:pt idx="467">
                    <c:v>6.0299999999999999E-2</c:v>
                  </c:pt>
                  <c:pt idx="468">
                    <c:v>6.0299999999999999E-2</c:v>
                  </c:pt>
                  <c:pt idx="469">
                    <c:v>6.0299999999999999E-2</c:v>
                  </c:pt>
                  <c:pt idx="470">
                    <c:v>6.0299999999999999E-2</c:v>
                  </c:pt>
                  <c:pt idx="471">
                    <c:v>6.0299999999999999E-2</c:v>
                  </c:pt>
                  <c:pt idx="472">
                    <c:v>6.0299999999999999E-2</c:v>
                  </c:pt>
                  <c:pt idx="473">
                    <c:v>6.0299999999999999E-2</c:v>
                  </c:pt>
                  <c:pt idx="474">
                    <c:v>6.0400000000000002E-2</c:v>
                  </c:pt>
                  <c:pt idx="475">
                    <c:v>6.0400000000000002E-2</c:v>
                  </c:pt>
                  <c:pt idx="476">
                    <c:v>6.0400000000000002E-2</c:v>
                  </c:pt>
                  <c:pt idx="477">
                    <c:v>6.0400000000000002E-2</c:v>
                  </c:pt>
                  <c:pt idx="478">
                    <c:v>6.0500000000000005E-2</c:v>
                  </c:pt>
                  <c:pt idx="479">
                    <c:v>6.0500000000000005E-2</c:v>
                  </c:pt>
                  <c:pt idx="480">
                    <c:v>6.0500000000000005E-2</c:v>
                  </c:pt>
                  <c:pt idx="481">
                    <c:v>6.0500000000000005E-2</c:v>
                  </c:pt>
                  <c:pt idx="482">
                    <c:v>6.0500000000000005E-2</c:v>
                  </c:pt>
                  <c:pt idx="483">
                    <c:v>6.0500000000000005E-2</c:v>
                  </c:pt>
                  <c:pt idx="484">
                    <c:v>6.0500000000000005E-2</c:v>
                  </c:pt>
                  <c:pt idx="485">
                    <c:v>6.0500000000000005E-2</c:v>
                  </c:pt>
                  <c:pt idx="486">
                    <c:v>6.0500000000000005E-2</c:v>
                  </c:pt>
                  <c:pt idx="487">
                    <c:v>6.0500000000000005E-2</c:v>
                  </c:pt>
                  <c:pt idx="488">
                    <c:v>6.0500000000000005E-2</c:v>
                  </c:pt>
                  <c:pt idx="489">
                    <c:v>6.0600000000000001E-2</c:v>
                  </c:pt>
                  <c:pt idx="490">
                    <c:v>6.0600000000000001E-2</c:v>
                  </c:pt>
                  <c:pt idx="491">
                    <c:v>6.0600000000000001E-2</c:v>
                  </c:pt>
                  <c:pt idx="492">
                    <c:v>6.0600000000000001E-2</c:v>
                  </c:pt>
                  <c:pt idx="493">
                    <c:v>6.0600000000000001E-2</c:v>
                  </c:pt>
                  <c:pt idx="494">
                    <c:v>6.0600000000000001E-2</c:v>
                  </c:pt>
                  <c:pt idx="495">
                    <c:v>6.0600000000000001E-2</c:v>
                  </c:pt>
                  <c:pt idx="496">
                    <c:v>6.0600000000000001E-2</c:v>
                  </c:pt>
                  <c:pt idx="497">
                    <c:v>6.0600000000000001E-2</c:v>
                  </c:pt>
                  <c:pt idx="498">
                    <c:v>6.0600000000000001E-2</c:v>
                  </c:pt>
                  <c:pt idx="499">
                    <c:v>6.0600000000000001E-2</c:v>
                  </c:pt>
                  <c:pt idx="500">
                    <c:v>6.0700000000000004E-2</c:v>
                  </c:pt>
                  <c:pt idx="501">
                    <c:v>6.0700000000000004E-2</c:v>
                  </c:pt>
                  <c:pt idx="502">
                    <c:v>6.0700000000000004E-2</c:v>
                  </c:pt>
                  <c:pt idx="503">
                    <c:v>6.0700000000000004E-2</c:v>
                  </c:pt>
                  <c:pt idx="504">
                    <c:v>6.0700000000000004E-2</c:v>
                  </c:pt>
                  <c:pt idx="505">
                    <c:v>6.0700000000000004E-2</c:v>
                  </c:pt>
                  <c:pt idx="506">
                    <c:v>6.08E-2</c:v>
                  </c:pt>
                  <c:pt idx="507">
                    <c:v>6.08E-2</c:v>
                  </c:pt>
                  <c:pt idx="508">
                    <c:v>6.08E-2</c:v>
                  </c:pt>
                  <c:pt idx="509">
                    <c:v>6.08E-2</c:v>
                  </c:pt>
                  <c:pt idx="510">
                    <c:v>6.08E-2</c:v>
                  </c:pt>
                  <c:pt idx="511">
                    <c:v>6.08E-2</c:v>
                  </c:pt>
                  <c:pt idx="512">
                    <c:v>6.0900000000000003E-2</c:v>
                  </c:pt>
                  <c:pt idx="513">
                    <c:v>6.0900000000000003E-2</c:v>
                  </c:pt>
                  <c:pt idx="514">
                    <c:v>6.0900000000000003E-2</c:v>
                  </c:pt>
                  <c:pt idx="515">
                    <c:v>6.0900000000000003E-2</c:v>
                  </c:pt>
                  <c:pt idx="516">
                    <c:v>6.0900000000000003E-2</c:v>
                  </c:pt>
                  <c:pt idx="517">
                    <c:v>6.0900000000000003E-2</c:v>
                  </c:pt>
                  <c:pt idx="518">
                    <c:v>6.0900000000000003E-2</c:v>
                  </c:pt>
                  <c:pt idx="519">
                    <c:v>6.0900000000000003E-2</c:v>
                  </c:pt>
                  <c:pt idx="520">
                    <c:v>6.0900000000000003E-2</c:v>
                  </c:pt>
                  <c:pt idx="521">
                    <c:v>6.0900000000000003E-2</c:v>
                  </c:pt>
                  <c:pt idx="522">
                    <c:v>6.0900000000000003E-2</c:v>
                  </c:pt>
                  <c:pt idx="523">
                    <c:v>6.0900000000000003E-2</c:v>
                  </c:pt>
                  <c:pt idx="524">
                    <c:v>6.0900000000000003E-2</c:v>
                  </c:pt>
                  <c:pt idx="525">
                    <c:v>6.0900000000000003E-2</c:v>
                  </c:pt>
                  <c:pt idx="526">
                    <c:v>6.1000000000000006E-2</c:v>
                  </c:pt>
                  <c:pt idx="527">
                    <c:v>6.1000000000000006E-2</c:v>
                  </c:pt>
                  <c:pt idx="528">
                    <c:v>6.1000000000000006E-2</c:v>
                  </c:pt>
                  <c:pt idx="529">
                    <c:v>6.1000000000000006E-2</c:v>
                  </c:pt>
                  <c:pt idx="530">
                    <c:v>6.1000000000000006E-2</c:v>
                  </c:pt>
                  <c:pt idx="531">
                    <c:v>6.1000000000000006E-2</c:v>
                  </c:pt>
                  <c:pt idx="532">
                    <c:v>6.1000000000000006E-2</c:v>
                  </c:pt>
                  <c:pt idx="533">
                    <c:v>6.1000000000000006E-2</c:v>
                  </c:pt>
                </c:numCache>
              </c:numRef>
            </c:minus>
            <c:spPr>
              <a:noFill/>
              <a:ln w="1270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  <a:round/>
              </a:ln>
              <a:effectLst/>
            </c:spPr>
          </c:errBars>
          <c:xVal>
            <c:numRef>
              <c:f>'1'!$A$11:$A$544</c:f>
              <c:numCache>
                <c:formatCode>General</c:formatCode>
                <c:ptCount val="534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12</c:v>
                </c:pt>
                <c:pt idx="4">
                  <c:v>12</c:v>
                </c:pt>
                <c:pt idx="5">
                  <c:v>14</c:v>
                </c:pt>
                <c:pt idx="6">
                  <c:v>18</c:v>
                </c:pt>
                <c:pt idx="7">
                  <c:v>22</c:v>
                </c:pt>
                <c:pt idx="8">
                  <c:v>35</c:v>
                </c:pt>
                <c:pt idx="9">
                  <c:v>38</c:v>
                </c:pt>
                <c:pt idx="10">
                  <c:v>43</c:v>
                </c:pt>
                <c:pt idx="11">
                  <c:v>44</c:v>
                </c:pt>
                <c:pt idx="12">
                  <c:v>52</c:v>
                </c:pt>
                <c:pt idx="13">
                  <c:v>54</c:v>
                </c:pt>
                <c:pt idx="14">
                  <c:v>58</c:v>
                </c:pt>
                <c:pt idx="15">
                  <c:v>60</c:v>
                </c:pt>
                <c:pt idx="16">
                  <c:v>64</c:v>
                </c:pt>
                <c:pt idx="17">
                  <c:v>66</c:v>
                </c:pt>
                <c:pt idx="18">
                  <c:v>69</c:v>
                </c:pt>
                <c:pt idx="19">
                  <c:v>71</c:v>
                </c:pt>
                <c:pt idx="20">
                  <c:v>73</c:v>
                </c:pt>
                <c:pt idx="21">
                  <c:v>76</c:v>
                </c:pt>
                <c:pt idx="22">
                  <c:v>78</c:v>
                </c:pt>
                <c:pt idx="23">
                  <c:v>86</c:v>
                </c:pt>
                <c:pt idx="24">
                  <c:v>93</c:v>
                </c:pt>
                <c:pt idx="25">
                  <c:v>97</c:v>
                </c:pt>
                <c:pt idx="26">
                  <c:v>100</c:v>
                </c:pt>
                <c:pt idx="27">
                  <c:v>118</c:v>
                </c:pt>
                <c:pt idx="28">
                  <c:v>123</c:v>
                </c:pt>
                <c:pt idx="29">
                  <c:v>127</c:v>
                </c:pt>
                <c:pt idx="30">
                  <c:v>131</c:v>
                </c:pt>
                <c:pt idx="31">
                  <c:v>137</c:v>
                </c:pt>
                <c:pt idx="32">
                  <c:v>142</c:v>
                </c:pt>
                <c:pt idx="33">
                  <c:v>151</c:v>
                </c:pt>
                <c:pt idx="34">
                  <c:v>155</c:v>
                </c:pt>
                <c:pt idx="35">
                  <c:v>162</c:v>
                </c:pt>
                <c:pt idx="36">
                  <c:v>168</c:v>
                </c:pt>
                <c:pt idx="37">
                  <c:v>185</c:v>
                </c:pt>
                <c:pt idx="38">
                  <c:v>188</c:v>
                </c:pt>
                <c:pt idx="39">
                  <c:v>191</c:v>
                </c:pt>
                <c:pt idx="40">
                  <c:v>201</c:v>
                </c:pt>
                <c:pt idx="41">
                  <c:v>208</c:v>
                </c:pt>
                <c:pt idx="42">
                  <c:v>234</c:v>
                </c:pt>
                <c:pt idx="43">
                  <c:v>241</c:v>
                </c:pt>
                <c:pt idx="44">
                  <c:v>246</c:v>
                </c:pt>
                <c:pt idx="45">
                  <c:v>251</c:v>
                </c:pt>
                <c:pt idx="46">
                  <c:v>264</c:v>
                </c:pt>
                <c:pt idx="47">
                  <c:v>269</c:v>
                </c:pt>
                <c:pt idx="48">
                  <c:v>276</c:v>
                </c:pt>
                <c:pt idx="49">
                  <c:v>283</c:v>
                </c:pt>
                <c:pt idx="50">
                  <c:v>289</c:v>
                </c:pt>
                <c:pt idx="51">
                  <c:v>294</c:v>
                </c:pt>
                <c:pt idx="52">
                  <c:v>299</c:v>
                </c:pt>
                <c:pt idx="53">
                  <c:v>300</c:v>
                </c:pt>
                <c:pt idx="54">
                  <c:v>305</c:v>
                </c:pt>
                <c:pt idx="55">
                  <c:v>308</c:v>
                </c:pt>
                <c:pt idx="56">
                  <c:v>317</c:v>
                </c:pt>
                <c:pt idx="57">
                  <c:v>321</c:v>
                </c:pt>
                <c:pt idx="58">
                  <c:v>325</c:v>
                </c:pt>
                <c:pt idx="59">
                  <c:v>327</c:v>
                </c:pt>
                <c:pt idx="60">
                  <c:v>332</c:v>
                </c:pt>
                <c:pt idx="61">
                  <c:v>335</c:v>
                </c:pt>
                <c:pt idx="62">
                  <c:v>338</c:v>
                </c:pt>
                <c:pt idx="63">
                  <c:v>362</c:v>
                </c:pt>
                <c:pt idx="64">
                  <c:v>371</c:v>
                </c:pt>
                <c:pt idx="65">
                  <c:v>374</c:v>
                </c:pt>
                <c:pt idx="66">
                  <c:v>377</c:v>
                </c:pt>
                <c:pt idx="67">
                  <c:v>380</c:v>
                </c:pt>
                <c:pt idx="68">
                  <c:v>382</c:v>
                </c:pt>
                <c:pt idx="69">
                  <c:v>388</c:v>
                </c:pt>
                <c:pt idx="70">
                  <c:v>393</c:v>
                </c:pt>
                <c:pt idx="71">
                  <c:v>394</c:v>
                </c:pt>
                <c:pt idx="72">
                  <c:v>396</c:v>
                </c:pt>
                <c:pt idx="73">
                  <c:v>397</c:v>
                </c:pt>
                <c:pt idx="74">
                  <c:v>403</c:v>
                </c:pt>
                <c:pt idx="75">
                  <c:v>407</c:v>
                </c:pt>
                <c:pt idx="76">
                  <c:v>410</c:v>
                </c:pt>
                <c:pt idx="77">
                  <c:v>416</c:v>
                </c:pt>
                <c:pt idx="78">
                  <c:v>420</c:v>
                </c:pt>
                <c:pt idx="79">
                  <c:v>424</c:v>
                </c:pt>
                <c:pt idx="80">
                  <c:v>437</c:v>
                </c:pt>
                <c:pt idx="81">
                  <c:v>440</c:v>
                </c:pt>
                <c:pt idx="82">
                  <c:v>442</c:v>
                </c:pt>
                <c:pt idx="83">
                  <c:v>445</c:v>
                </c:pt>
                <c:pt idx="84">
                  <c:v>456</c:v>
                </c:pt>
                <c:pt idx="85">
                  <c:v>458</c:v>
                </c:pt>
                <c:pt idx="86">
                  <c:v>461</c:v>
                </c:pt>
                <c:pt idx="87">
                  <c:v>463</c:v>
                </c:pt>
                <c:pt idx="88">
                  <c:v>464</c:v>
                </c:pt>
                <c:pt idx="89">
                  <c:v>469</c:v>
                </c:pt>
                <c:pt idx="90">
                  <c:v>473</c:v>
                </c:pt>
                <c:pt idx="91">
                  <c:v>475</c:v>
                </c:pt>
                <c:pt idx="92">
                  <c:v>478</c:v>
                </c:pt>
                <c:pt idx="93">
                  <c:v>480</c:v>
                </c:pt>
                <c:pt idx="94">
                  <c:v>483</c:v>
                </c:pt>
                <c:pt idx="95">
                  <c:v>485</c:v>
                </c:pt>
                <c:pt idx="96">
                  <c:v>489</c:v>
                </c:pt>
                <c:pt idx="97">
                  <c:v>492</c:v>
                </c:pt>
                <c:pt idx="98">
                  <c:v>492</c:v>
                </c:pt>
                <c:pt idx="99">
                  <c:v>494</c:v>
                </c:pt>
                <c:pt idx="100">
                  <c:v>497</c:v>
                </c:pt>
                <c:pt idx="101">
                  <c:v>500</c:v>
                </c:pt>
                <c:pt idx="102">
                  <c:v>502</c:v>
                </c:pt>
                <c:pt idx="103">
                  <c:v>504</c:v>
                </c:pt>
                <c:pt idx="104">
                  <c:v>506</c:v>
                </c:pt>
                <c:pt idx="105">
                  <c:v>508</c:v>
                </c:pt>
                <c:pt idx="106">
                  <c:v>510</c:v>
                </c:pt>
                <c:pt idx="107">
                  <c:v>522</c:v>
                </c:pt>
                <c:pt idx="108">
                  <c:v>525</c:v>
                </c:pt>
                <c:pt idx="109">
                  <c:v>528</c:v>
                </c:pt>
                <c:pt idx="110">
                  <c:v>530</c:v>
                </c:pt>
                <c:pt idx="111">
                  <c:v>534</c:v>
                </c:pt>
                <c:pt idx="112">
                  <c:v>534</c:v>
                </c:pt>
                <c:pt idx="113">
                  <c:v>536</c:v>
                </c:pt>
                <c:pt idx="114">
                  <c:v>541</c:v>
                </c:pt>
                <c:pt idx="115">
                  <c:v>544</c:v>
                </c:pt>
                <c:pt idx="116">
                  <c:v>547</c:v>
                </c:pt>
                <c:pt idx="117">
                  <c:v>549</c:v>
                </c:pt>
                <c:pt idx="118">
                  <c:v>551</c:v>
                </c:pt>
                <c:pt idx="119">
                  <c:v>554</c:v>
                </c:pt>
                <c:pt idx="120">
                  <c:v>556</c:v>
                </c:pt>
                <c:pt idx="121">
                  <c:v>558</c:v>
                </c:pt>
                <c:pt idx="122">
                  <c:v>560</c:v>
                </c:pt>
                <c:pt idx="123">
                  <c:v>562</c:v>
                </c:pt>
                <c:pt idx="124">
                  <c:v>568</c:v>
                </c:pt>
                <c:pt idx="125">
                  <c:v>569</c:v>
                </c:pt>
                <c:pt idx="126">
                  <c:v>571</c:v>
                </c:pt>
                <c:pt idx="127">
                  <c:v>573</c:v>
                </c:pt>
                <c:pt idx="128">
                  <c:v>576</c:v>
                </c:pt>
                <c:pt idx="129">
                  <c:v>577</c:v>
                </c:pt>
                <c:pt idx="130">
                  <c:v>577</c:v>
                </c:pt>
                <c:pt idx="131">
                  <c:v>578</c:v>
                </c:pt>
                <c:pt idx="132">
                  <c:v>579</c:v>
                </c:pt>
                <c:pt idx="133">
                  <c:v>579</c:v>
                </c:pt>
                <c:pt idx="134">
                  <c:v>581</c:v>
                </c:pt>
                <c:pt idx="135">
                  <c:v>582</c:v>
                </c:pt>
                <c:pt idx="136">
                  <c:v>583</c:v>
                </c:pt>
                <c:pt idx="137">
                  <c:v>584</c:v>
                </c:pt>
                <c:pt idx="138">
                  <c:v>585</c:v>
                </c:pt>
                <c:pt idx="139">
                  <c:v>589</c:v>
                </c:pt>
                <c:pt idx="140">
                  <c:v>590</c:v>
                </c:pt>
                <c:pt idx="141">
                  <c:v>592</c:v>
                </c:pt>
                <c:pt idx="142">
                  <c:v>594</c:v>
                </c:pt>
                <c:pt idx="143">
                  <c:v>601</c:v>
                </c:pt>
                <c:pt idx="144">
                  <c:v>602</c:v>
                </c:pt>
                <c:pt idx="145">
                  <c:v>603</c:v>
                </c:pt>
                <c:pt idx="146">
                  <c:v>603</c:v>
                </c:pt>
                <c:pt idx="147">
                  <c:v>604</c:v>
                </c:pt>
                <c:pt idx="148">
                  <c:v>604</c:v>
                </c:pt>
                <c:pt idx="149">
                  <c:v>606</c:v>
                </c:pt>
                <c:pt idx="150">
                  <c:v>607</c:v>
                </c:pt>
                <c:pt idx="151">
                  <c:v>608</c:v>
                </c:pt>
                <c:pt idx="152">
                  <c:v>608</c:v>
                </c:pt>
                <c:pt idx="153">
                  <c:v>609</c:v>
                </c:pt>
                <c:pt idx="154">
                  <c:v>610</c:v>
                </c:pt>
                <c:pt idx="155">
                  <c:v>611</c:v>
                </c:pt>
                <c:pt idx="156">
                  <c:v>613</c:v>
                </c:pt>
                <c:pt idx="157">
                  <c:v>613</c:v>
                </c:pt>
                <c:pt idx="158">
                  <c:v>614</c:v>
                </c:pt>
                <c:pt idx="159">
                  <c:v>615</c:v>
                </c:pt>
                <c:pt idx="160">
                  <c:v>618</c:v>
                </c:pt>
                <c:pt idx="161">
                  <c:v>620</c:v>
                </c:pt>
                <c:pt idx="162">
                  <c:v>621</c:v>
                </c:pt>
                <c:pt idx="163">
                  <c:v>622</c:v>
                </c:pt>
                <c:pt idx="164">
                  <c:v>626</c:v>
                </c:pt>
                <c:pt idx="165">
                  <c:v>627</c:v>
                </c:pt>
                <c:pt idx="166">
                  <c:v>628</c:v>
                </c:pt>
                <c:pt idx="167">
                  <c:v>629</c:v>
                </c:pt>
                <c:pt idx="168">
                  <c:v>630</c:v>
                </c:pt>
                <c:pt idx="169">
                  <c:v>631</c:v>
                </c:pt>
                <c:pt idx="170">
                  <c:v>631</c:v>
                </c:pt>
                <c:pt idx="171">
                  <c:v>632</c:v>
                </c:pt>
                <c:pt idx="172">
                  <c:v>633</c:v>
                </c:pt>
                <c:pt idx="173">
                  <c:v>634</c:v>
                </c:pt>
                <c:pt idx="174">
                  <c:v>635</c:v>
                </c:pt>
                <c:pt idx="175">
                  <c:v>636</c:v>
                </c:pt>
                <c:pt idx="176">
                  <c:v>637</c:v>
                </c:pt>
                <c:pt idx="177">
                  <c:v>638</c:v>
                </c:pt>
                <c:pt idx="178">
                  <c:v>639</c:v>
                </c:pt>
                <c:pt idx="179">
                  <c:v>640</c:v>
                </c:pt>
                <c:pt idx="180">
                  <c:v>641</c:v>
                </c:pt>
                <c:pt idx="181">
                  <c:v>644</c:v>
                </c:pt>
                <c:pt idx="182">
                  <c:v>645</c:v>
                </c:pt>
                <c:pt idx="183">
                  <c:v>645</c:v>
                </c:pt>
                <c:pt idx="184">
                  <c:v>646</c:v>
                </c:pt>
                <c:pt idx="185">
                  <c:v>649</c:v>
                </c:pt>
                <c:pt idx="186">
                  <c:v>651</c:v>
                </c:pt>
                <c:pt idx="187">
                  <c:v>652</c:v>
                </c:pt>
                <c:pt idx="188">
                  <c:v>652</c:v>
                </c:pt>
                <c:pt idx="189">
                  <c:v>652</c:v>
                </c:pt>
                <c:pt idx="190">
                  <c:v>653</c:v>
                </c:pt>
                <c:pt idx="191">
                  <c:v>653</c:v>
                </c:pt>
                <c:pt idx="192">
                  <c:v>653</c:v>
                </c:pt>
                <c:pt idx="193">
                  <c:v>653</c:v>
                </c:pt>
                <c:pt idx="194">
                  <c:v>654</c:v>
                </c:pt>
                <c:pt idx="195">
                  <c:v>654</c:v>
                </c:pt>
                <c:pt idx="196">
                  <c:v>656</c:v>
                </c:pt>
                <c:pt idx="197">
                  <c:v>656</c:v>
                </c:pt>
                <c:pt idx="198">
                  <c:v>656</c:v>
                </c:pt>
                <c:pt idx="199">
                  <c:v>656</c:v>
                </c:pt>
                <c:pt idx="200">
                  <c:v>658</c:v>
                </c:pt>
                <c:pt idx="201">
                  <c:v>658</c:v>
                </c:pt>
                <c:pt idx="202">
                  <c:v>658</c:v>
                </c:pt>
                <c:pt idx="203">
                  <c:v>659</c:v>
                </c:pt>
                <c:pt idx="204">
                  <c:v>660</c:v>
                </c:pt>
                <c:pt idx="205">
                  <c:v>661</c:v>
                </c:pt>
                <c:pt idx="206">
                  <c:v>662</c:v>
                </c:pt>
                <c:pt idx="207">
                  <c:v>662</c:v>
                </c:pt>
                <c:pt idx="208">
                  <c:v>663</c:v>
                </c:pt>
                <c:pt idx="209">
                  <c:v>663</c:v>
                </c:pt>
                <c:pt idx="210">
                  <c:v>663</c:v>
                </c:pt>
                <c:pt idx="211">
                  <c:v>665</c:v>
                </c:pt>
                <c:pt idx="212">
                  <c:v>666</c:v>
                </c:pt>
                <c:pt idx="213">
                  <c:v>666</c:v>
                </c:pt>
                <c:pt idx="214">
                  <c:v>666</c:v>
                </c:pt>
                <c:pt idx="215">
                  <c:v>667</c:v>
                </c:pt>
                <c:pt idx="216">
                  <c:v>668</c:v>
                </c:pt>
                <c:pt idx="217">
                  <c:v>669</c:v>
                </c:pt>
                <c:pt idx="218">
                  <c:v>671</c:v>
                </c:pt>
                <c:pt idx="219">
                  <c:v>672</c:v>
                </c:pt>
                <c:pt idx="220">
                  <c:v>672</c:v>
                </c:pt>
                <c:pt idx="221">
                  <c:v>673</c:v>
                </c:pt>
                <c:pt idx="222">
                  <c:v>673</c:v>
                </c:pt>
                <c:pt idx="223">
                  <c:v>674</c:v>
                </c:pt>
                <c:pt idx="224">
                  <c:v>674</c:v>
                </c:pt>
                <c:pt idx="225">
                  <c:v>675</c:v>
                </c:pt>
                <c:pt idx="226">
                  <c:v>676</c:v>
                </c:pt>
                <c:pt idx="227">
                  <c:v>677</c:v>
                </c:pt>
                <c:pt idx="228">
                  <c:v>677</c:v>
                </c:pt>
                <c:pt idx="229">
                  <c:v>678</c:v>
                </c:pt>
                <c:pt idx="230">
                  <c:v>678</c:v>
                </c:pt>
                <c:pt idx="231">
                  <c:v>679</c:v>
                </c:pt>
                <c:pt idx="232">
                  <c:v>680</c:v>
                </c:pt>
                <c:pt idx="233">
                  <c:v>681</c:v>
                </c:pt>
                <c:pt idx="234">
                  <c:v>684</c:v>
                </c:pt>
                <c:pt idx="235">
                  <c:v>685</c:v>
                </c:pt>
                <c:pt idx="236">
                  <c:v>685</c:v>
                </c:pt>
                <c:pt idx="237">
                  <c:v>685</c:v>
                </c:pt>
                <c:pt idx="238">
                  <c:v>686</c:v>
                </c:pt>
                <c:pt idx="239">
                  <c:v>687</c:v>
                </c:pt>
                <c:pt idx="240">
                  <c:v>688</c:v>
                </c:pt>
                <c:pt idx="241">
                  <c:v>689</c:v>
                </c:pt>
                <c:pt idx="242">
                  <c:v>689</c:v>
                </c:pt>
                <c:pt idx="243">
                  <c:v>690</c:v>
                </c:pt>
                <c:pt idx="244">
                  <c:v>691</c:v>
                </c:pt>
                <c:pt idx="245">
                  <c:v>692</c:v>
                </c:pt>
                <c:pt idx="246">
                  <c:v>693</c:v>
                </c:pt>
                <c:pt idx="247">
                  <c:v>693</c:v>
                </c:pt>
                <c:pt idx="248">
                  <c:v>694</c:v>
                </c:pt>
                <c:pt idx="249">
                  <c:v>695</c:v>
                </c:pt>
                <c:pt idx="250">
                  <c:v>696</c:v>
                </c:pt>
                <c:pt idx="251">
                  <c:v>698</c:v>
                </c:pt>
                <c:pt idx="252">
                  <c:v>699</c:v>
                </c:pt>
                <c:pt idx="253">
                  <c:v>699</c:v>
                </c:pt>
                <c:pt idx="254">
                  <c:v>700</c:v>
                </c:pt>
                <c:pt idx="255">
                  <c:v>702</c:v>
                </c:pt>
                <c:pt idx="256">
                  <c:v>703</c:v>
                </c:pt>
                <c:pt idx="257">
                  <c:v>703</c:v>
                </c:pt>
                <c:pt idx="258">
                  <c:v>703</c:v>
                </c:pt>
                <c:pt idx="259">
                  <c:v>704</c:v>
                </c:pt>
                <c:pt idx="260">
                  <c:v>704</c:v>
                </c:pt>
                <c:pt idx="261">
                  <c:v>705</c:v>
                </c:pt>
                <c:pt idx="262">
                  <c:v>705</c:v>
                </c:pt>
                <c:pt idx="263">
                  <c:v>705</c:v>
                </c:pt>
                <c:pt idx="264">
                  <c:v>706</c:v>
                </c:pt>
                <c:pt idx="265">
                  <c:v>706</c:v>
                </c:pt>
                <c:pt idx="266">
                  <c:v>706</c:v>
                </c:pt>
                <c:pt idx="267">
                  <c:v>707</c:v>
                </c:pt>
                <c:pt idx="268">
                  <c:v>707</c:v>
                </c:pt>
                <c:pt idx="269">
                  <c:v>707</c:v>
                </c:pt>
                <c:pt idx="270">
                  <c:v>708</c:v>
                </c:pt>
                <c:pt idx="271">
                  <c:v>708</c:v>
                </c:pt>
                <c:pt idx="272">
                  <c:v>710</c:v>
                </c:pt>
                <c:pt idx="273">
                  <c:v>711</c:v>
                </c:pt>
                <c:pt idx="274">
                  <c:v>711</c:v>
                </c:pt>
                <c:pt idx="275">
                  <c:v>711</c:v>
                </c:pt>
                <c:pt idx="276">
                  <c:v>713</c:v>
                </c:pt>
                <c:pt idx="277">
                  <c:v>713</c:v>
                </c:pt>
                <c:pt idx="278">
                  <c:v>713</c:v>
                </c:pt>
                <c:pt idx="279">
                  <c:v>714</c:v>
                </c:pt>
                <c:pt idx="280">
                  <c:v>715</c:v>
                </c:pt>
                <c:pt idx="281">
                  <c:v>715</c:v>
                </c:pt>
                <c:pt idx="282">
                  <c:v>716</c:v>
                </c:pt>
                <c:pt idx="283">
                  <c:v>717</c:v>
                </c:pt>
                <c:pt idx="284">
                  <c:v>718</c:v>
                </c:pt>
                <c:pt idx="285">
                  <c:v>718</c:v>
                </c:pt>
                <c:pt idx="286">
                  <c:v>718</c:v>
                </c:pt>
                <c:pt idx="287">
                  <c:v>719</c:v>
                </c:pt>
                <c:pt idx="288">
                  <c:v>719</c:v>
                </c:pt>
                <c:pt idx="289">
                  <c:v>720</c:v>
                </c:pt>
                <c:pt idx="290">
                  <c:v>720</c:v>
                </c:pt>
                <c:pt idx="291">
                  <c:v>721</c:v>
                </c:pt>
                <c:pt idx="292">
                  <c:v>721</c:v>
                </c:pt>
                <c:pt idx="293">
                  <c:v>722</c:v>
                </c:pt>
                <c:pt idx="294">
                  <c:v>723</c:v>
                </c:pt>
                <c:pt idx="295">
                  <c:v>723</c:v>
                </c:pt>
                <c:pt idx="296">
                  <c:v>724</c:v>
                </c:pt>
                <c:pt idx="297">
                  <c:v>725</c:v>
                </c:pt>
                <c:pt idx="298">
                  <c:v>726</c:v>
                </c:pt>
                <c:pt idx="299">
                  <c:v>726</c:v>
                </c:pt>
                <c:pt idx="300">
                  <c:v>726</c:v>
                </c:pt>
                <c:pt idx="301">
                  <c:v>727</c:v>
                </c:pt>
                <c:pt idx="302">
                  <c:v>727</c:v>
                </c:pt>
                <c:pt idx="303">
                  <c:v>728</c:v>
                </c:pt>
                <c:pt idx="304">
                  <c:v>729</c:v>
                </c:pt>
                <c:pt idx="305">
                  <c:v>729</c:v>
                </c:pt>
                <c:pt idx="306">
                  <c:v>730</c:v>
                </c:pt>
                <c:pt idx="307">
                  <c:v>730</c:v>
                </c:pt>
                <c:pt idx="308">
                  <c:v>731</c:v>
                </c:pt>
                <c:pt idx="309">
                  <c:v>731</c:v>
                </c:pt>
                <c:pt idx="310">
                  <c:v>732</c:v>
                </c:pt>
                <c:pt idx="311">
                  <c:v>732</c:v>
                </c:pt>
                <c:pt idx="312">
                  <c:v>733</c:v>
                </c:pt>
                <c:pt idx="313">
                  <c:v>733</c:v>
                </c:pt>
                <c:pt idx="314">
                  <c:v>735</c:v>
                </c:pt>
                <c:pt idx="315">
                  <c:v>735</c:v>
                </c:pt>
                <c:pt idx="316">
                  <c:v>736</c:v>
                </c:pt>
                <c:pt idx="317">
                  <c:v>736</c:v>
                </c:pt>
                <c:pt idx="318">
                  <c:v>736</c:v>
                </c:pt>
                <c:pt idx="319">
                  <c:v>737</c:v>
                </c:pt>
                <c:pt idx="320">
                  <c:v>737</c:v>
                </c:pt>
                <c:pt idx="321">
                  <c:v>738</c:v>
                </c:pt>
                <c:pt idx="322">
                  <c:v>738</c:v>
                </c:pt>
                <c:pt idx="323">
                  <c:v>739</c:v>
                </c:pt>
                <c:pt idx="324">
                  <c:v>740</c:v>
                </c:pt>
                <c:pt idx="325">
                  <c:v>740</c:v>
                </c:pt>
                <c:pt idx="326">
                  <c:v>741</c:v>
                </c:pt>
                <c:pt idx="327">
                  <c:v>742</c:v>
                </c:pt>
                <c:pt idx="328">
                  <c:v>742</c:v>
                </c:pt>
                <c:pt idx="329">
                  <c:v>743</c:v>
                </c:pt>
                <c:pt idx="330">
                  <c:v>745</c:v>
                </c:pt>
                <c:pt idx="331">
                  <c:v>748</c:v>
                </c:pt>
                <c:pt idx="332">
                  <c:v>748</c:v>
                </c:pt>
                <c:pt idx="333">
                  <c:v>748</c:v>
                </c:pt>
                <c:pt idx="334">
                  <c:v>748</c:v>
                </c:pt>
                <c:pt idx="335">
                  <c:v>750</c:v>
                </c:pt>
                <c:pt idx="336">
                  <c:v>751</c:v>
                </c:pt>
                <c:pt idx="337">
                  <c:v>751</c:v>
                </c:pt>
                <c:pt idx="338">
                  <c:v>751</c:v>
                </c:pt>
                <c:pt idx="339">
                  <c:v>752</c:v>
                </c:pt>
                <c:pt idx="340">
                  <c:v>752</c:v>
                </c:pt>
                <c:pt idx="341">
                  <c:v>753</c:v>
                </c:pt>
                <c:pt idx="342">
                  <c:v>753</c:v>
                </c:pt>
                <c:pt idx="343">
                  <c:v>754</c:v>
                </c:pt>
                <c:pt idx="344">
                  <c:v>754</c:v>
                </c:pt>
                <c:pt idx="345">
                  <c:v>754</c:v>
                </c:pt>
                <c:pt idx="346">
                  <c:v>756</c:v>
                </c:pt>
                <c:pt idx="347">
                  <c:v>756</c:v>
                </c:pt>
                <c:pt idx="348">
                  <c:v>757</c:v>
                </c:pt>
                <c:pt idx="349">
                  <c:v>757</c:v>
                </c:pt>
                <c:pt idx="350">
                  <c:v>757</c:v>
                </c:pt>
                <c:pt idx="351">
                  <c:v>758</c:v>
                </c:pt>
                <c:pt idx="352">
                  <c:v>759</c:v>
                </c:pt>
                <c:pt idx="353">
                  <c:v>760</c:v>
                </c:pt>
                <c:pt idx="354">
                  <c:v>760</c:v>
                </c:pt>
                <c:pt idx="355">
                  <c:v>761</c:v>
                </c:pt>
                <c:pt idx="356">
                  <c:v>762</c:v>
                </c:pt>
                <c:pt idx="357">
                  <c:v>762</c:v>
                </c:pt>
                <c:pt idx="358">
                  <c:v>764</c:v>
                </c:pt>
                <c:pt idx="359">
                  <c:v>764</c:v>
                </c:pt>
                <c:pt idx="360">
                  <c:v>765</c:v>
                </c:pt>
                <c:pt idx="361">
                  <c:v>765</c:v>
                </c:pt>
                <c:pt idx="362">
                  <c:v>765</c:v>
                </c:pt>
                <c:pt idx="363">
                  <c:v>768</c:v>
                </c:pt>
                <c:pt idx="364">
                  <c:v>769</c:v>
                </c:pt>
                <c:pt idx="365">
                  <c:v>769</c:v>
                </c:pt>
                <c:pt idx="366">
                  <c:v>769</c:v>
                </c:pt>
                <c:pt idx="367">
                  <c:v>771</c:v>
                </c:pt>
                <c:pt idx="368">
                  <c:v>772</c:v>
                </c:pt>
                <c:pt idx="369">
                  <c:v>773</c:v>
                </c:pt>
                <c:pt idx="370">
                  <c:v>773</c:v>
                </c:pt>
                <c:pt idx="371">
                  <c:v>775</c:v>
                </c:pt>
                <c:pt idx="372">
                  <c:v>775</c:v>
                </c:pt>
                <c:pt idx="373">
                  <c:v>776</c:v>
                </c:pt>
                <c:pt idx="374">
                  <c:v>776</c:v>
                </c:pt>
                <c:pt idx="375">
                  <c:v>777</c:v>
                </c:pt>
                <c:pt idx="376">
                  <c:v>778</c:v>
                </c:pt>
                <c:pt idx="377">
                  <c:v>779</c:v>
                </c:pt>
                <c:pt idx="378">
                  <c:v>780</c:v>
                </c:pt>
                <c:pt idx="379">
                  <c:v>780</c:v>
                </c:pt>
                <c:pt idx="380">
                  <c:v>780</c:v>
                </c:pt>
                <c:pt idx="381">
                  <c:v>781</c:v>
                </c:pt>
                <c:pt idx="382">
                  <c:v>781</c:v>
                </c:pt>
                <c:pt idx="383">
                  <c:v>781</c:v>
                </c:pt>
                <c:pt idx="384">
                  <c:v>782</c:v>
                </c:pt>
                <c:pt idx="385">
                  <c:v>782</c:v>
                </c:pt>
                <c:pt idx="386">
                  <c:v>782</c:v>
                </c:pt>
                <c:pt idx="387">
                  <c:v>783</c:v>
                </c:pt>
                <c:pt idx="388">
                  <c:v>783</c:v>
                </c:pt>
                <c:pt idx="389">
                  <c:v>784</c:v>
                </c:pt>
                <c:pt idx="390">
                  <c:v>784</c:v>
                </c:pt>
                <c:pt idx="391">
                  <c:v>785</c:v>
                </c:pt>
                <c:pt idx="392">
                  <c:v>787</c:v>
                </c:pt>
                <c:pt idx="393">
                  <c:v>787</c:v>
                </c:pt>
                <c:pt idx="394">
                  <c:v>788</c:v>
                </c:pt>
                <c:pt idx="395">
                  <c:v>788</c:v>
                </c:pt>
                <c:pt idx="396">
                  <c:v>788</c:v>
                </c:pt>
                <c:pt idx="397">
                  <c:v>789</c:v>
                </c:pt>
                <c:pt idx="398">
                  <c:v>790</c:v>
                </c:pt>
                <c:pt idx="399">
                  <c:v>790</c:v>
                </c:pt>
                <c:pt idx="400">
                  <c:v>790</c:v>
                </c:pt>
                <c:pt idx="401">
                  <c:v>791</c:v>
                </c:pt>
                <c:pt idx="402">
                  <c:v>791</c:v>
                </c:pt>
                <c:pt idx="403">
                  <c:v>793</c:v>
                </c:pt>
                <c:pt idx="404">
                  <c:v>793</c:v>
                </c:pt>
                <c:pt idx="405">
                  <c:v>794</c:v>
                </c:pt>
                <c:pt idx="406">
                  <c:v>794</c:v>
                </c:pt>
                <c:pt idx="407">
                  <c:v>796</c:v>
                </c:pt>
                <c:pt idx="408">
                  <c:v>797</c:v>
                </c:pt>
                <c:pt idx="409">
                  <c:v>797</c:v>
                </c:pt>
                <c:pt idx="410">
                  <c:v>798</c:v>
                </c:pt>
                <c:pt idx="411">
                  <c:v>799</c:v>
                </c:pt>
                <c:pt idx="412">
                  <c:v>799</c:v>
                </c:pt>
                <c:pt idx="413">
                  <c:v>800</c:v>
                </c:pt>
                <c:pt idx="414">
                  <c:v>800</c:v>
                </c:pt>
                <c:pt idx="415">
                  <c:v>801</c:v>
                </c:pt>
                <c:pt idx="416">
                  <c:v>802</c:v>
                </c:pt>
                <c:pt idx="417">
                  <c:v>802</c:v>
                </c:pt>
                <c:pt idx="418">
                  <c:v>803</c:v>
                </c:pt>
                <c:pt idx="419">
                  <c:v>803</c:v>
                </c:pt>
                <c:pt idx="420">
                  <c:v>804</c:v>
                </c:pt>
                <c:pt idx="421">
                  <c:v>804</c:v>
                </c:pt>
                <c:pt idx="422">
                  <c:v>805</c:v>
                </c:pt>
                <c:pt idx="423">
                  <c:v>805</c:v>
                </c:pt>
                <c:pt idx="424">
                  <c:v>806</c:v>
                </c:pt>
                <c:pt idx="425">
                  <c:v>806</c:v>
                </c:pt>
                <c:pt idx="426">
                  <c:v>807</c:v>
                </c:pt>
                <c:pt idx="427">
                  <c:v>807</c:v>
                </c:pt>
                <c:pt idx="428">
                  <c:v>808</c:v>
                </c:pt>
                <c:pt idx="429">
                  <c:v>809</c:v>
                </c:pt>
                <c:pt idx="430">
                  <c:v>809</c:v>
                </c:pt>
                <c:pt idx="431">
                  <c:v>809</c:v>
                </c:pt>
                <c:pt idx="432">
                  <c:v>810</c:v>
                </c:pt>
                <c:pt idx="433">
                  <c:v>810</c:v>
                </c:pt>
                <c:pt idx="434">
                  <c:v>810</c:v>
                </c:pt>
                <c:pt idx="435">
                  <c:v>811</c:v>
                </c:pt>
                <c:pt idx="436">
                  <c:v>811</c:v>
                </c:pt>
                <c:pt idx="437">
                  <c:v>813</c:v>
                </c:pt>
                <c:pt idx="438">
                  <c:v>814</c:v>
                </c:pt>
                <c:pt idx="439">
                  <c:v>816</c:v>
                </c:pt>
                <c:pt idx="440">
                  <c:v>816</c:v>
                </c:pt>
                <c:pt idx="441">
                  <c:v>816</c:v>
                </c:pt>
                <c:pt idx="442">
                  <c:v>817</c:v>
                </c:pt>
                <c:pt idx="443">
                  <c:v>818</c:v>
                </c:pt>
                <c:pt idx="444">
                  <c:v>818</c:v>
                </c:pt>
                <c:pt idx="445">
                  <c:v>819</c:v>
                </c:pt>
                <c:pt idx="446">
                  <c:v>819</c:v>
                </c:pt>
                <c:pt idx="447">
                  <c:v>820</c:v>
                </c:pt>
                <c:pt idx="448">
                  <c:v>820</c:v>
                </c:pt>
                <c:pt idx="449">
                  <c:v>821</c:v>
                </c:pt>
                <c:pt idx="450">
                  <c:v>821</c:v>
                </c:pt>
                <c:pt idx="451">
                  <c:v>822</c:v>
                </c:pt>
                <c:pt idx="452">
                  <c:v>822</c:v>
                </c:pt>
                <c:pt idx="453">
                  <c:v>823</c:v>
                </c:pt>
                <c:pt idx="454">
                  <c:v>825</c:v>
                </c:pt>
                <c:pt idx="455">
                  <c:v>826</c:v>
                </c:pt>
                <c:pt idx="456">
                  <c:v>826</c:v>
                </c:pt>
                <c:pt idx="457">
                  <c:v>827</c:v>
                </c:pt>
                <c:pt idx="458">
                  <c:v>828</c:v>
                </c:pt>
                <c:pt idx="459">
                  <c:v>828</c:v>
                </c:pt>
                <c:pt idx="460">
                  <c:v>829</c:v>
                </c:pt>
                <c:pt idx="461">
                  <c:v>830</c:v>
                </c:pt>
                <c:pt idx="462">
                  <c:v>831</c:v>
                </c:pt>
                <c:pt idx="463">
                  <c:v>831</c:v>
                </c:pt>
                <c:pt idx="464">
                  <c:v>832</c:v>
                </c:pt>
                <c:pt idx="465">
                  <c:v>833</c:v>
                </c:pt>
                <c:pt idx="466">
                  <c:v>834</c:v>
                </c:pt>
                <c:pt idx="467">
                  <c:v>834</c:v>
                </c:pt>
                <c:pt idx="468">
                  <c:v>835</c:v>
                </c:pt>
                <c:pt idx="469">
                  <c:v>836</c:v>
                </c:pt>
                <c:pt idx="470">
                  <c:v>837</c:v>
                </c:pt>
                <c:pt idx="471">
                  <c:v>838</c:v>
                </c:pt>
                <c:pt idx="472">
                  <c:v>839</c:v>
                </c:pt>
                <c:pt idx="473">
                  <c:v>839</c:v>
                </c:pt>
                <c:pt idx="474">
                  <c:v>840</c:v>
                </c:pt>
                <c:pt idx="475">
                  <c:v>843</c:v>
                </c:pt>
                <c:pt idx="476">
                  <c:v>844</c:v>
                </c:pt>
                <c:pt idx="477">
                  <c:v>845</c:v>
                </c:pt>
                <c:pt idx="478">
                  <c:v>845</c:v>
                </c:pt>
                <c:pt idx="479">
                  <c:v>847</c:v>
                </c:pt>
                <c:pt idx="480">
                  <c:v>848</c:v>
                </c:pt>
                <c:pt idx="481">
                  <c:v>847</c:v>
                </c:pt>
                <c:pt idx="482">
                  <c:v>848</c:v>
                </c:pt>
                <c:pt idx="483">
                  <c:v>848</c:v>
                </c:pt>
                <c:pt idx="484">
                  <c:v>849</c:v>
                </c:pt>
                <c:pt idx="485">
                  <c:v>849</c:v>
                </c:pt>
                <c:pt idx="486">
                  <c:v>849</c:v>
                </c:pt>
                <c:pt idx="487">
                  <c:v>850</c:v>
                </c:pt>
                <c:pt idx="488">
                  <c:v>851</c:v>
                </c:pt>
                <c:pt idx="489">
                  <c:v>851</c:v>
                </c:pt>
                <c:pt idx="490">
                  <c:v>852</c:v>
                </c:pt>
                <c:pt idx="491">
                  <c:v>852</c:v>
                </c:pt>
                <c:pt idx="492">
                  <c:v>853</c:v>
                </c:pt>
                <c:pt idx="493">
                  <c:v>853</c:v>
                </c:pt>
                <c:pt idx="494">
                  <c:v>854</c:v>
                </c:pt>
                <c:pt idx="495">
                  <c:v>855</c:v>
                </c:pt>
                <c:pt idx="496">
                  <c:v>855</c:v>
                </c:pt>
                <c:pt idx="497">
                  <c:v>855</c:v>
                </c:pt>
                <c:pt idx="498">
                  <c:v>856</c:v>
                </c:pt>
                <c:pt idx="499">
                  <c:v>856</c:v>
                </c:pt>
                <c:pt idx="500">
                  <c:v>858</c:v>
                </c:pt>
                <c:pt idx="501">
                  <c:v>860</c:v>
                </c:pt>
                <c:pt idx="502">
                  <c:v>860</c:v>
                </c:pt>
                <c:pt idx="503">
                  <c:v>861</c:v>
                </c:pt>
                <c:pt idx="504">
                  <c:v>861</c:v>
                </c:pt>
                <c:pt idx="505">
                  <c:v>862</c:v>
                </c:pt>
                <c:pt idx="506">
                  <c:v>863</c:v>
                </c:pt>
                <c:pt idx="507">
                  <c:v>863</c:v>
                </c:pt>
                <c:pt idx="508">
                  <c:v>864</c:v>
                </c:pt>
                <c:pt idx="509">
                  <c:v>865</c:v>
                </c:pt>
                <c:pt idx="510">
                  <c:v>866</c:v>
                </c:pt>
                <c:pt idx="511">
                  <c:v>868</c:v>
                </c:pt>
                <c:pt idx="512">
                  <c:v>868</c:v>
                </c:pt>
                <c:pt idx="513">
                  <c:v>869</c:v>
                </c:pt>
                <c:pt idx="514">
                  <c:v>869</c:v>
                </c:pt>
                <c:pt idx="515">
                  <c:v>870</c:v>
                </c:pt>
                <c:pt idx="516">
                  <c:v>870</c:v>
                </c:pt>
                <c:pt idx="517">
                  <c:v>870</c:v>
                </c:pt>
                <c:pt idx="518">
                  <c:v>871</c:v>
                </c:pt>
                <c:pt idx="519">
                  <c:v>871</c:v>
                </c:pt>
                <c:pt idx="520">
                  <c:v>872</c:v>
                </c:pt>
                <c:pt idx="521">
                  <c:v>871</c:v>
                </c:pt>
                <c:pt idx="522">
                  <c:v>871</c:v>
                </c:pt>
                <c:pt idx="523">
                  <c:v>872</c:v>
                </c:pt>
                <c:pt idx="524">
                  <c:v>873</c:v>
                </c:pt>
                <c:pt idx="525">
                  <c:v>873</c:v>
                </c:pt>
                <c:pt idx="526">
                  <c:v>875</c:v>
                </c:pt>
                <c:pt idx="527">
                  <c:v>876</c:v>
                </c:pt>
                <c:pt idx="528">
                  <c:v>876</c:v>
                </c:pt>
                <c:pt idx="529">
                  <c:v>876</c:v>
                </c:pt>
                <c:pt idx="530">
                  <c:v>876</c:v>
                </c:pt>
                <c:pt idx="531">
                  <c:v>876</c:v>
                </c:pt>
                <c:pt idx="532">
                  <c:v>876</c:v>
                </c:pt>
                <c:pt idx="533">
                  <c:v>876</c:v>
                </c:pt>
              </c:numCache>
            </c:numRef>
          </c:xVal>
          <c:yVal>
            <c:numRef>
              <c:f>'1'!$D$11:$D$544</c:f>
              <c:numCache>
                <c:formatCode>General</c:formatCode>
                <c:ptCount val="5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-1.00000004749745E-3</c:v>
                </c:pt>
                <c:pt idx="16">
                  <c:v>1.00000004749745E-3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-1.00000004749745E-3</c:v>
                </c:pt>
                <c:pt idx="30">
                  <c:v>1.00000004749745E-3</c:v>
                </c:pt>
                <c:pt idx="31">
                  <c:v>1.00000004749745E-3</c:v>
                </c:pt>
                <c:pt idx="32">
                  <c:v>-1.00000004749745E-3</c:v>
                </c:pt>
                <c:pt idx="33">
                  <c:v>-1.00000004749745E-3</c:v>
                </c:pt>
                <c:pt idx="34">
                  <c:v>-1.00000004749745E-3</c:v>
                </c:pt>
                <c:pt idx="35">
                  <c:v>-1.00000004749745E-3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-1.00000004749745E-3</c:v>
                </c:pt>
                <c:pt idx="43">
                  <c:v>1.00000004749745E-3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1.00000004749745E-3</c:v>
                </c:pt>
                <c:pt idx="55">
                  <c:v>1.00000004749745E-3</c:v>
                </c:pt>
                <c:pt idx="56">
                  <c:v>2.0000000949949E-3</c:v>
                </c:pt>
                <c:pt idx="57">
                  <c:v>3.0000000260770299E-3</c:v>
                </c:pt>
                <c:pt idx="58">
                  <c:v>3.0000000260770299E-3</c:v>
                </c:pt>
                <c:pt idx="59">
                  <c:v>3.0000000260770299E-3</c:v>
                </c:pt>
                <c:pt idx="60">
                  <c:v>4.0000001899898104E-3</c:v>
                </c:pt>
                <c:pt idx="61">
                  <c:v>4.9999998882412902E-3</c:v>
                </c:pt>
                <c:pt idx="62">
                  <c:v>6.0000000521540598E-3</c:v>
                </c:pt>
                <c:pt idx="63">
                  <c:v>8.9999996125698107E-3</c:v>
                </c:pt>
                <c:pt idx="64">
                  <c:v>1.2000000104308101E-2</c:v>
                </c:pt>
                <c:pt idx="65">
                  <c:v>1.60000007599592E-2</c:v>
                </c:pt>
                <c:pt idx="66">
                  <c:v>1.8999999389052401E-2</c:v>
                </c:pt>
                <c:pt idx="67">
                  <c:v>2.0999999716877899E-2</c:v>
                </c:pt>
                <c:pt idx="68">
                  <c:v>2.3000000044703501E-2</c:v>
                </c:pt>
                <c:pt idx="69">
                  <c:v>2.5000000372528999E-2</c:v>
                </c:pt>
                <c:pt idx="70">
                  <c:v>2.8000000864267301E-2</c:v>
                </c:pt>
                <c:pt idx="71">
                  <c:v>3.0999999493360499E-2</c:v>
                </c:pt>
                <c:pt idx="72">
                  <c:v>3.4000001847744002E-2</c:v>
                </c:pt>
                <c:pt idx="73">
                  <c:v>3.5999998450279201E-2</c:v>
                </c:pt>
                <c:pt idx="74">
                  <c:v>3.7999998778104803E-2</c:v>
                </c:pt>
                <c:pt idx="75">
                  <c:v>4.1000001132488299E-2</c:v>
                </c:pt>
                <c:pt idx="76">
                  <c:v>4.39999997615814E-2</c:v>
                </c:pt>
                <c:pt idx="77">
                  <c:v>4.80000004172325E-2</c:v>
                </c:pt>
                <c:pt idx="78">
                  <c:v>5.2999999374151202E-2</c:v>
                </c:pt>
                <c:pt idx="79">
                  <c:v>5.9999998658895499E-2</c:v>
                </c:pt>
                <c:pt idx="80">
                  <c:v>7.9999998211860698E-2</c:v>
                </c:pt>
                <c:pt idx="81">
                  <c:v>8.6999997496604906E-2</c:v>
                </c:pt>
                <c:pt idx="82">
                  <c:v>9.3000002205371898E-2</c:v>
                </c:pt>
                <c:pt idx="83">
                  <c:v>9.8999999463558197E-2</c:v>
                </c:pt>
                <c:pt idx="84">
                  <c:v>0.129999995231628</c:v>
                </c:pt>
                <c:pt idx="85">
                  <c:v>0.135000005364418</c:v>
                </c:pt>
                <c:pt idx="86">
                  <c:v>0.14100000262260401</c:v>
                </c:pt>
                <c:pt idx="87">
                  <c:v>0.158999994397163</c:v>
                </c:pt>
                <c:pt idx="88">
                  <c:v>0.15999999642372101</c:v>
                </c:pt>
                <c:pt idx="89">
                  <c:v>0.181999996304512</c:v>
                </c:pt>
                <c:pt idx="90">
                  <c:v>0.18400000035762801</c:v>
                </c:pt>
                <c:pt idx="91">
                  <c:v>0.20399999618530301</c:v>
                </c:pt>
                <c:pt idx="92">
                  <c:v>0.206000000238419</c:v>
                </c:pt>
                <c:pt idx="93">
                  <c:v>0.20999999344348899</c:v>
                </c:pt>
                <c:pt idx="94">
                  <c:v>0.23199999332428001</c:v>
                </c:pt>
                <c:pt idx="95">
                  <c:v>0.23700000345706901</c:v>
                </c:pt>
                <c:pt idx="96">
                  <c:v>0.25799998641014099</c:v>
                </c:pt>
                <c:pt idx="97">
                  <c:v>0.277999997138977</c:v>
                </c:pt>
                <c:pt idx="98">
                  <c:v>0.28000000119209301</c:v>
                </c:pt>
                <c:pt idx="99">
                  <c:v>0.28499999642372098</c:v>
                </c:pt>
                <c:pt idx="100">
                  <c:v>0.30799999833107</c:v>
                </c:pt>
                <c:pt idx="101">
                  <c:v>0.33000001311302202</c:v>
                </c:pt>
                <c:pt idx="102">
                  <c:v>0.33199998736381497</c:v>
                </c:pt>
                <c:pt idx="103">
                  <c:v>0.354999989271164</c:v>
                </c:pt>
                <c:pt idx="104">
                  <c:v>0.375</c:v>
                </c:pt>
                <c:pt idx="105">
                  <c:v>0.37700000405311601</c:v>
                </c:pt>
                <c:pt idx="106">
                  <c:v>0.39599999785423301</c:v>
                </c:pt>
                <c:pt idx="107">
                  <c:v>0.49700000882148698</c:v>
                </c:pt>
                <c:pt idx="108">
                  <c:v>0.52200001478195202</c:v>
                </c:pt>
                <c:pt idx="109">
                  <c:v>0.55900001525878895</c:v>
                </c:pt>
                <c:pt idx="110">
                  <c:v>0.58099997043609597</c:v>
                </c:pt>
                <c:pt idx="111">
                  <c:v>0.62599998712539695</c:v>
                </c:pt>
                <c:pt idx="112">
                  <c:v>0.625</c:v>
                </c:pt>
                <c:pt idx="113">
                  <c:v>0.64899998903274503</c:v>
                </c:pt>
                <c:pt idx="114">
                  <c:v>0.69400000572204601</c:v>
                </c:pt>
                <c:pt idx="115">
                  <c:v>0.72899997234344505</c:v>
                </c:pt>
                <c:pt idx="116">
                  <c:v>0.778999984264374</c:v>
                </c:pt>
                <c:pt idx="117">
                  <c:v>0.799000024795532</c:v>
                </c:pt>
                <c:pt idx="118">
                  <c:v>0.837000012397766</c:v>
                </c:pt>
                <c:pt idx="119">
                  <c:v>0.86100000143051103</c:v>
                </c:pt>
                <c:pt idx="120">
                  <c:v>0.90200001001357999</c:v>
                </c:pt>
                <c:pt idx="121">
                  <c:v>0.94599997997283902</c:v>
                </c:pt>
                <c:pt idx="122">
                  <c:v>0.96899998188018799</c:v>
                </c:pt>
                <c:pt idx="123">
                  <c:v>0.99299997091293302</c:v>
                </c:pt>
                <c:pt idx="124">
                  <c:v>1.09300005435944</c:v>
                </c:pt>
                <c:pt idx="125">
                  <c:v>1.11199998855591</c:v>
                </c:pt>
                <c:pt idx="126">
                  <c:v>1.1490000486373899</c:v>
                </c:pt>
                <c:pt idx="127">
                  <c:v>1.18799996376038</c:v>
                </c:pt>
                <c:pt idx="128">
                  <c:v>1.2339999675750699</c:v>
                </c:pt>
                <c:pt idx="129">
                  <c:v>1.2560000419616699</c:v>
                </c:pt>
                <c:pt idx="130">
                  <c:v>1.25899994373322</c:v>
                </c:pt>
                <c:pt idx="131">
                  <c:v>1.2790000438690201</c:v>
                </c:pt>
                <c:pt idx="132">
                  <c:v>1.2979999780654901</c:v>
                </c:pt>
                <c:pt idx="133">
                  <c:v>1.3190000057220499</c:v>
                </c:pt>
                <c:pt idx="134">
                  <c:v>1.3380000591278101</c:v>
                </c:pt>
                <c:pt idx="135">
                  <c:v>1.36199998855591</c:v>
                </c:pt>
                <c:pt idx="136">
                  <c:v>1.38399994373322</c:v>
                </c:pt>
                <c:pt idx="137">
                  <c:v>1.4190000295639</c:v>
                </c:pt>
                <c:pt idx="138">
                  <c:v>1.442999958992</c:v>
                </c:pt>
                <c:pt idx="139">
                  <c:v>1.5210000276565601</c:v>
                </c:pt>
                <c:pt idx="140">
                  <c:v>1.5420000553131099</c:v>
                </c:pt>
                <c:pt idx="141">
                  <c:v>1.5809999704361</c:v>
                </c:pt>
                <c:pt idx="142">
                  <c:v>1.6349999904632599</c:v>
                </c:pt>
                <c:pt idx="143">
                  <c:v>1.7979999780654901</c:v>
                </c:pt>
                <c:pt idx="144">
                  <c:v>1.8240000009536701</c:v>
                </c:pt>
                <c:pt idx="145">
                  <c:v>1.84899997711182</c:v>
                </c:pt>
                <c:pt idx="146">
                  <c:v>1.85199999809265</c:v>
                </c:pt>
                <c:pt idx="147">
                  <c:v>1.8719999790191699</c:v>
                </c:pt>
                <c:pt idx="148">
                  <c:v>1.8940000534057599</c:v>
                </c:pt>
                <c:pt idx="149">
                  <c:v>1.92400002479553</c:v>
                </c:pt>
                <c:pt idx="150">
                  <c:v>1.94599997997284</c:v>
                </c:pt>
                <c:pt idx="151">
                  <c:v>1.96800005435944</c:v>
                </c:pt>
                <c:pt idx="152">
                  <c:v>2.0060000419616699</c:v>
                </c:pt>
                <c:pt idx="153">
                  <c:v>2.0439999103546098</c:v>
                </c:pt>
                <c:pt idx="154">
                  <c:v>2.0480000972747798</c:v>
                </c:pt>
                <c:pt idx="155">
                  <c:v>2.0910000801086399</c:v>
                </c:pt>
                <c:pt idx="156">
                  <c:v>2.1150000095367401</c:v>
                </c:pt>
                <c:pt idx="157">
                  <c:v>2.1329998970031698</c:v>
                </c:pt>
                <c:pt idx="158">
                  <c:v>2.17400002479553</c:v>
                </c:pt>
                <c:pt idx="159">
                  <c:v>2.1960000991821298</c:v>
                </c:pt>
                <c:pt idx="160">
                  <c:v>2.27600002288818</c:v>
                </c:pt>
                <c:pt idx="161">
                  <c:v>2.3250000476837198</c:v>
                </c:pt>
                <c:pt idx="162">
                  <c:v>2.3499999046325701</c:v>
                </c:pt>
                <c:pt idx="163">
                  <c:v>2.3940000534057599</c:v>
                </c:pt>
                <c:pt idx="164">
                  <c:v>2.5309998989105198</c:v>
                </c:pt>
                <c:pt idx="165">
                  <c:v>2.56599998474121</c:v>
                </c:pt>
                <c:pt idx="166">
                  <c:v>2.5869998931884801</c:v>
                </c:pt>
                <c:pt idx="167">
                  <c:v>2.6059999465942401</c:v>
                </c:pt>
                <c:pt idx="168">
                  <c:v>2.65100002288818</c:v>
                </c:pt>
                <c:pt idx="169">
                  <c:v>2.6689999103546098</c:v>
                </c:pt>
                <c:pt idx="170">
                  <c:v>2.69099998474121</c:v>
                </c:pt>
                <c:pt idx="171">
                  <c:v>2.7170000076293901</c:v>
                </c:pt>
                <c:pt idx="172">
                  <c:v>2.7349998950958301</c:v>
                </c:pt>
                <c:pt idx="173">
                  <c:v>2.77600002288818</c:v>
                </c:pt>
                <c:pt idx="174">
                  <c:v>2.81299996376038</c:v>
                </c:pt>
                <c:pt idx="175">
                  <c:v>2.8610000610351598</c:v>
                </c:pt>
                <c:pt idx="176">
                  <c:v>2.8819999694824201</c:v>
                </c:pt>
                <c:pt idx="177">
                  <c:v>2.9040000438690199</c:v>
                </c:pt>
                <c:pt idx="178">
                  <c:v>2.9500000476837198</c:v>
                </c:pt>
                <c:pt idx="179">
                  <c:v>2.9930000305175799</c:v>
                </c:pt>
                <c:pt idx="180">
                  <c:v>3.0409998893737802</c:v>
                </c:pt>
                <c:pt idx="181">
                  <c:v>3.1370000839233398</c:v>
                </c:pt>
                <c:pt idx="182">
                  <c:v>3.1730000972747798</c:v>
                </c:pt>
                <c:pt idx="183">
                  <c:v>3.1940000057220499</c:v>
                </c:pt>
                <c:pt idx="184">
                  <c:v>3.2119998931884801</c:v>
                </c:pt>
                <c:pt idx="185">
                  <c:v>3.3410000801086399</c:v>
                </c:pt>
                <c:pt idx="186">
                  <c:v>3.3910000324249299</c:v>
                </c:pt>
                <c:pt idx="187">
                  <c:v>3.4330000877380402</c:v>
                </c:pt>
                <c:pt idx="188">
                  <c:v>3.4360001087188698</c:v>
                </c:pt>
                <c:pt idx="189">
                  <c:v>3.44099998474121</c:v>
                </c:pt>
                <c:pt idx="190">
                  <c:v>3.4619998931884801</c:v>
                </c:pt>
                <c:pt idx="191">
                  <c:v>3.4660000801086399</c:v>
                </c:pt>
                <c:pt idx="192">
                  <c:v>3.4849998950958301</c:v>
                </c:pt>
                <c:pt idx="193">
                  <c:v>3.48699998855591</c:v>
                </c:pt>
                <c:pt idx="194">
                  <c:v>3.5060000419616699</c:v>
                </c:pt>
                <c:pt idx="195">
                  <c:v>3.52600002288818</c:v>
                </c:pt>
                <c:pt idx="196">
                  <c:v>3.58899998664856</c:v>
                </c:pt>
                <c:pt idx="197">
                  <c:v>3.5940001010894802</c:v>
                </c:pt>
                <c:pt idx="198">
                  <c:v>3.59899997711182</c:v>
                </c:pt>
                <c:pt idx="199">
                  <c:v>3.6240000724792498</c:v>
                </c:pt>
                <c:pt idx="200">
                  <c:v>3.6670000553131099</c:v>
                </c:pt>
                <c:pt idx="201">
                  <c:v>3.6900000572204599</c:v>
                </c:pt>
                <c:pt idx="202">
                  <c:v>3.6900000572204599</c:v>
                </c:pt>
                <c:pt idx="203">
                  <c:v>3.7390000820159899</c:v>
                </c:pt>
                <c:pt idx="204">
                  <c:v>3.7839999198913601</c:v>
                </c:pt>
                <c:pt idx="205">
                  <c:v>3.80299997329712</c:v>
                </c:pt>
                <c:pt idx="206">
                  <c:v>3.8280000686645499</c:v>
                </c:pt>
                <c:pt idx="207">
                  <c:v>3.8640000820159899</c:v>
                </c:pt>
                <c:pt idx="208">
                  <c:v>3.8889999389648402</c:v>
                </c:pt>
                <c:pt idx="209">
                  <c:v>3.9089999198913601</c:v>
                </c:pt>
                <c:pt idx="210">
                  <c:v>3.8900001049041699</c:v>
                </c:pt>
                <c:pt idx="211">
                  <c:v>3.9590001106262198</c:v>
                </c:pt>
                <c:pt idx="212">
                  <c:v>4.0029997825622603</c:v>
                </c:pt>
                <c:pt idx="213">
                  <c:v>4.0219998359680202</c:v>
                </c:pt>
                <c:pt idx="214">
                  <c:v>4.0250000953674299</c:v>
                </c:pt>
                <c:pt idx="215">
                  <c:v>4.0479998588562003</c:v>
                </c:pt>
                <c:pt idx="216">
                  <c:v>4.0890002250671396</c:v>
                </c:pt>
                <c:pt idx="217">
                  <c:v>4.1810002326965297</c:v>
                </c:pt>
                <c:pt idx="218">
                  <c:v>4.2300000190734899</c:v>
                </c:pt>
                <c:pt idx="219">
                  <c:v>4.2789998054504403</c:v>
                </c:pt>
                <c:pt idx="220">
                  <c:v>4.28200006484985</c:v>
                </c:pt>
                <c:pt idx="221">
                  <c:v>4.3080000877380398</c:v>
                </c:pt>
                <c:pt idx="222">
                  <c:v>4.3449997901916504</c:v>
                </c:pt>
                <c:pt idx="223">
                  <c:v>4.3850002288818404</c:v>
                </c:pt>
                <c:pt idx="224">
                  <c:v>4.38800001144409</c:v>
                </c:pt>
                <c:pt idx="225">
                  <c:v>4.4099998474121103</c:v>
                </c:pt>
                <c:pt idx="226">
                  <c:v>4.4640002250671396</c:v>
                </c:pt>
                <c:pt idx="227">
                  <c:v>4.5050001144409197</c:v>
                </c:pt>
                <c:pt idx="228">
                  <c:v>4.52699995040894</c:v>
                </c:pt>
                <c:pt idx="229">
                  <c:v>4.5489997863769496</c:v>
                </c:pt>
                <c:pt idx="230">
                  <c:v>4.57200002670288</c:v>
                </c:pt>
                <c:pt idx="231">
                  <c:v>4.5920000076293901</c:v>
                </c:pt>
                <c:pt idx="232">
                  <c:v>4.65700006484985</c:v>
                </c:pt>
                <c:pt idx="233">
                  <c:v>4.7210001945495597</c:v>
                </c:pt>
                <c:pt idx="234">
                  <c:v>4.8400001525878897</c:v>
                </c:pt>
                <c:pt idx="235">
                  <c:v>4.8800001144409197</c:v>
                </c:pt>
                <c:pt idx="236">
                  <c:v>4.90199995040894</c:v>
                </c:pt>
                <c:pt idx="237">
                  <c:v>4.9039998054504403</c:v>
                </c:pt>
                <c:pt idx="238">
                  <c:v>4.9310002326965297</c:v>
                </c:pt>
                <c:pt idx="239">
                  <c:v>4.9910001754760698</c:v>
                </c:pt>
                <c:pt idx="240">
                  <c:v>5.0430002212524396</c:v>
                </c:pt>
                <c:pt idx="241">
                  <c:v>5.0890002250671396</c:v>
                </c:pt>
                <c:pt idx="242">
                  <c:v>5.1279997825622603</c:v>
                </c:pt>
                <c:pt idx="243">
                  <c:v>5.1300001144409197</c:v>
                </c:pt>
                <c:pt idx="244">
                  <c:v>5.1789999008178702</c:v>
                </c:pt>
                <c:pt idx="245">
                  <c:v>5.2620000839233398</c:v>
                </c:pt>
                <c:pt idx="246">
                  <c:v>5.2810001373290998</c:v>
                </c:pt>
                <c:pt idx="247">
                  <c:v>5.3249998092651403</c:v>
                </c:pt>
                <c:pt idx="248">
                  <c:v>5.3720002174377397</c:v>
                </c:pt>
                <c:pt idx="249">
                  <c:v>5.3959999084472701</c:v>
                </c:pt>
                <c:pt idx="250">
                  <c:v>5.4419999122619602</c:v>
                </c:pt>
                <c:pt idx="251">
                  <c:v>5.5840001106262198</c:v>
                </c:pt>
                <c:pt idx="252">
                  <c:v>5.6180000305175799</c:v>
                </c:pt>
                <c:pt idx="253">
                  <c:v>5.6449999809265101</c:v>
                </c:pt>
                <c:pt idx="254">
                  <c:v>5.6640000343322798</c:v>
                </c:pt>
                <c:pt idx="255">
                  <c:v>5.7719998359680202</c:v>
                </c:pt>
                <c:pt idx="256">
                  <c:v>5.8200001716613796</c:v>
                </c:pt>
                <c:pt idx="257">
                  <c:v>5.8390002250671396</c:v>
                </c:pt>
                <c:pt idx="258">
                  <c:v>5.8629999160766602</c:v>
                </c:pt>
                <c:pt idx="259">
                  <c:v>5.8810000419616699</c:v>
                </c:pt>
                <c:pt idx="260">
                  <c:v>5.9039998054504403</c:v>
                </c:pt>
                <c:pt idx="261">
                  <c:v>5.9260001182556197</c:v>
                </c:pt>
                <c:pt idx="262">
                  <c:v>5.9530000686645499</c:v>
                </c:pt>
                <c:pt idx="263">
                  <c:v>5.97300004959106</c:v>
                </c:pt>
                <c:pt idx="264">
                  <c:v>5.9930000305175799</c:v>
                </c:pt>
                <c:pt idx="265">
                  <c:v>6.0190000534057599</c:v>
                </c:pt>
                <c:pt idx="266">
                  <c:v>6.0240001678466797</c:v>
                </c:pt>
                <c:pt idx="267">
                  <c:v>6.0450000762939498</c:v>
                </c:pt>
                <c:pt idx="268">
                  <c:v>6.0630002021789604</c:v>
                </c:pt>
                <c:pt idx="269">
                  <c:v>6.0819997787475604</c:v>
                </c:pt>
                <c:pt idx="270">
                  <c:v>6.1020002365112296</c:v>
                </c:pt>
                <c:pt idx="271">
                  <c:v>6.1269998550415004</c:v>
                </c:pt>
                <c:pt idx="272">
                  <c:v>6.2490000724792498</c:v>
                </c:pt>
                <c:pt idx="273">
                  <c:v>6.2690000534057599</c:v>
                </c:pt>
                <c:pt idx="274">
                  <c:v>6.2880001068115199</c:v>
                </c:pt>
                <c:pt idx="275">
                  <c:v>6.3080000877380398</c:v>
                </c:pt>
                <c:pt idx="276">
                  <c:v>6.4159998893737802</c:v>
                </c:pt>
                <c:pt idx="277">
                  <c:v>6.4190001487731898</c:v>
                </c:pt>
                <c:pt idx="278">
                  <c:v>6.4400000572204599</c:v>
                </c:pt>
                <c:pt idx="279">
                  <c:v>6.4819998741149902</c:v>
                </c:pt>
                <c:pt idx="280">
                  <c:v>6.5019998550415004</c:v>
                </c:pt>
                <c:pt idx="281">
                  <c:v>6.5599999427795401</c:v>
                </c:pt>
                <c:pt idx="282">
                  <c:v>6.6059999465942401</c:v>
                </c:pt>
                <c:pt idx="283">
                  <c:v>6.6350002288818404</c:v>
                </c:pt>
                <c:pt idx="284">
                  <c:v>6.6880002021789604</c:v>
                </c:pt>
                <c:pt idx="285">
                  <c:v>6.7140002250671396</c:v>
                </c:pt>
                <c:pt idx="286">
                  <c:v>6.7379999160766602</c:v>
                </c:pt>
                <c:pt idx="287">
                  <c:v>6.7569999694824201</c:v>
                </c:pt>
                <c:pt idx="288">
                  <c:v>6.77699995040894</c:v>
                </c:pt>
                <c:pt idx="289">
                  <c:v>6.8169999122619602</c:v>
                </c:pt>
                <c:pt idx="290">
                  <c:v>6.8579998016357404</c:v>
                </c:pt>
                <c:pt idx="291">
                  <c:v>6.8769998550415004</c:v>
                </c:pt>
                <c:pt idx="292">
                  <c:v>6.9140000343322798</c:v>
                </c:pt>
                <c:pt idx="293">
                  <c:v>6.9899997711181596</c:v>
                </c:pt>
                <c:pt idx="294">
                  <c:v>7.0110001564025897</c:v>
                </c:pt>
                <c:pt idx="295">
                  <c:v>7.0339999198913601</c:v>
                </c:pt>
                <c:pt idx="296">
                  <c:v>7.0739998817443803</c:v>
                </c:pt>
                <c:pt idx="297">
                  <c:v>7.1560001373290998</c:v>
                </c:pt>
                <c:pt idx="298">
                  <c:v>7.19700002670288</c:v>
                </c:pt>
                <c:pt idx="299">
                  <c:v>7.2270002365112296</c:v>
                </c:pt>
                <c:pt idx="300">
                  <c:v>7.2300000190734899</c:v>
                </c:pt>
                <c:pt idx="301">
                  <c:v>7.2729997634887704</c:v>
                </c:pt>
                <c:pt idx="302">
                  <c:v>7.3150000572204599</c:v>
                </c:pt>
                <c:pt idx="303">
                  <c:v>7.3740000724792498</c:v>
                </c:pt>
                <c:pt idx="304">
                  <c:v>7.3969998359680202</c:v>
                </c:pt>
                <c:pt idx="305">
                  <c:v>7.4169998168945304</c:v>
                </c:pt>
                <c:pt idx="306">
                  <c:v>7.4580001831054696</c:v>
                </c:pt>
                <c:pt idx="307">
                  <c:v>7.4800000190734899</c:v>
                </c:pt>
                <c:pt idx="308">
                  <c:v>7.5380001068115199</c:v>
                </c:pt>
                <c:pt idx="309">
                  <c:v>7.5409998893737802</c:v>
                </c:pt>
                <c:pt idx="310">
                  <c:v>7.61199998855591</c:v>
                </c:pt>
                <c:pt idx="311">
                  <c:v>7.6149997711181596</c:v>
                </c:pt>
                <c:pt idx="312">
                  <c:v>7.6609997749328604</c:v>
                </c:pt>
                <c:pt idx="313">
                  <c:v>7.7030000686645499</c:v>
                </c:pt>
                <c:pt idx="314">
                  <c:v>7.7979998588562003</c:v>
                </c:pt>
                <c:pt idx="315">
                  <c:v>7.82200002670288</c:v>
                </c:pt>
                <c:pt idx="316">
                  <c:v>7.8680000305175799</c:v>
                </c:pt>
                <c:pt idx="317">
                  <c:v>7.8920001983642596</c:v>
                </c:pt>
                <c:pt idx="318">
                  <c:v>7.92799997329712</c:v>
                </c:pt>
                <c:pt idx="319">
                  <c:v>7.9489998817443803</c:v>
                </c:pt>
                <c:pt idx="320">
                  <c:v>7.9710001945495597</c:v>
                </c:pt>
                <c:pt idx="321">
                  <c:v>8.0150003433227504</c:v>
                </c:pt>
                <c:pt idx="322">
                  <c:v>8.0349998474121094</c:v>
                </c:pt>
                <c:pt idx="323">
                  <c:v>8.0950002670288104</c:v>
                </c:pt>
                <c:pt idx="324">
                  <c:v>8.1370000839233398</c:v>
                </c:pt>
                <c:pt idx="325">
                  <c:v>8.1820001602172905</c:v>
                </c:pt>
                <c:pt idx="326">
                  <c:v>8.2030000686645508</c:v>
                </c:pt>
                <c:pt idx="327">
                  <c:v>8.2729997634887695</c:v>
                </c:pt>
                <c:pt idx="328">
                  <c:v>8.3229999542236293</c:v>
                </c:pt>
                <c:pt idx="329">
                  <c:v>8.4160003662109393</c:v>
                </c:pt>
                <c:pt idx="330">
                  <c:v>8.5629997253418004</c:v>
                </c:pt>
                <c:pt idx="331">
                  <c:v>8.7279996871948207</c:v>
                </c:pt>
                <c:pt idx="332">
                  <c:v>8.7489995956420898</c:v>
                </c:pt>
                <c:pt idx="333">
                  <c:v>8.7519998550415004</c:v>
                </c:pt>
                <c:pt idx="334">
                  <c:v>8.7729997634887695</c:v>
                </c:pt>
                <c:pt idx="335">
                  <c:v>8.8850002288818395</c:v>
                </c:pt>
                <c:pt idx="336">
                  <c:v>8.9250001907348597</c:v>
                </c:pt>
                <c:pt idx="337">
                  <c:v>8.9300003051757795</c:v>
                </c:pt>
                <c:pt idx="338">
                  <c:v>8.9689998626709002</c:v>
                </c:pt>
                <c:pt idx="339">
                  <c:v>9.01299953460693</c:v>
                </c:pt>
                <c:pt idx="340">
                  <c:v>9.0509996414184606</c:v>
                </c:pt>
                <c:pt idx="341">
                  <c:v>9.0740003585815394</c:v>
                </c:pt>
                <c:pt idx="342">
                  <c:v>9.0970001220703107</c:v>
                </c:pt>
                <c:pt idx="343">
                  <c:v>9.1599998474121094</c:v>
                </c:pt>
                <c:pt idx="344">
                  <c:v>9.1850004196166992</c:v>
                </c:pt>
                <c:pt idx="345">
                  <c:v>9.2259998321533203</c:v>
                </c:pt>
                <c:pt idx="346">
                  <c:v>9.3479995727539098</c:v>
                </c:pt>
                <c:pt idx="347">
                  <c:v>9.3710002899169904</c:v>
                </c:pt>
                <c:pt idx="348">
                  <c:v>9.3920001983642596</c:v>
                </c:pt>
                <c:pt idx="349">
                  <c:v>9.4119997024536097</c:v>
                </c:pt>
                <c:pt idx="350">
                  <c:v>9.4560003280639595</c:v>
                </c:pt>
                <c:pt idx="351">
                  <c:v>9.5109996795654297</c:v>
                </c:pt>
                <c:pt idx="352">
                  <c:v>9.5579996109008807</c:v>
                </c:pt>
                <c:pt idx="353">
                  <c:v>9.61200046539307</c:v>
                </c:pt>
                <c:pt idx="354">
                  <c:v>9.6470003128051793</c:v>
                </c:pt>
                <c:pt idx="355">
                  <c:v>9.7089996337890607</c:v>
                </c:pt>
                <c:pt idx="356">
                  <c:v>9.7740001678466797</c:v>
                </c:pt>
                <c:pt idx="357">
                  <c:v>9.8409996032714808</c:v>
                </c:pt>
                <c:pt idx="358">
                  <c:v>9.9340000152587908</c:v>
                </c:pt>
                <c:pt idx="359">
                  <c:v>9.9759998321533203</c:v>
                </c:pt>
                <c:pt idx="360">
                  <c:v>9.9989995956420898</c:v>
                </c:pt>
                <c:pt idx="361">
                  <c:v>10.0349998474121</c:v>
                </c:pt>
                <c:pt idx="362">
                  <c:v>10.0640001296997</c:v>
                </c:pt>
                <c:pt idx="363">
                  <c:v>10.2829999923706</c:v>
                </c:pt>
                <c:pt idx="364">
                  <c:v>10.338000297546399</c:v>
                </c:pt>
                <c:pt idx="365">
                  <c:v>10.3620004653931</c:v>
                </c:pt>
                <c:pt idx="366">
                  <c:v>10.397000312805201</c:v>
                </c:pt>
                <c:pt idx="367">
                  <c:v>10.5200004577637</c:v>
                </c:pt>
                <c:pt idx="368">
                  <c:v>10.5769996643066</c:v>
                </c:pt>
                <c:pt idx="369">
                  <c:v>10.649000167846699</c:v>
                </c:pt>
                <c:pt idx="370">
                  <c:v>10.668999671936</c:v>
                </c:pt>
                <c:pt idx="371">
                  <c:v>10.847999572753899</c:v>
                </c:pt>
                <c:pt idx="372">
                  <c:v>10.8649997711182</c:v>
                </c:pt>
                <c:pt idx="373">
                  <c:v>10.897000312805201</c:v>
                </c:pt>
                <c:pt idx="374">
                  <c:v>10.9390001296997</c:v>
                </c:pt>
                <c:pt idx="375">
                  <c:v>11.012000083923301</c:v>
                </c:pt>
                <c:pt idx="376">
                  <c:v>11.145999908447299</c:v>
                </c:pt>
                <c:pt idx="377">
                  <c:v>11.220999717712401</c:v>
                </c:pt>
                <c:pt idx="378">
                  <c:v>11.2449998855591</c:v>
                </c:pt>
                <c:pt idx="379">
                  <c:v>11.310000419616699</c:v>
                </c:pt>
                <c:pt idx="380">
                  <c:v>11.3290004730225</c:v>
                </c:pt>
                <c:pt idx="381">
                  <c:v>11.3500003814697</c:v>
                </c:pt>
                <c:pt idx="382">
                  <c:v>11.387000083923301</c:v>
                </c:pt>
                <c:pt idx="383">
                  <c:v>11.4230003356934</c:v>
                </c:pt>
                <c:pt idx="384">
                  <c:v>11.444999694824199</c:v>
                </c:pt>
                <c:pt idx="385">
                  <c:v>11.4840002059937</c:v>
                </c:pt>
                <c:pt idx="386">
                  <c:v>11.486000061035201</c:v>
                </c:pt>
                <c:pt idx="387">
                  <c:v>11.508999824523899</c:v>
                </c:pt>
                <c:pt idx="388">
                  <c:v>11.600999832153301</c:v>
                </c:pt>
                <c:pt idx="389">
                  <c:v>11.645999908447299</c:v>
                </c:pt>
                <c:pt idx="390">
                  <c:v>11.6890001296997</c:v>
                </c:pt>
                <c:pt idx="391">
                  <c:v>11.736000061035201</c:v>
                </c:pt>
                <c:pt idx="392">
                  <c:v>11.876000404357899</c:v>
                </c:pt>
                <c:pt idx="393">
                  <c:v>11.916999816894499</c:v>
                </c:pt>
                <c:pt idx="394">
                  <c:v>11.9390001296997</c:v>
                </c:pt>
                <c:pt idx="395">
                  <c:v>11.987999916076699</c:v>
                </c:pt>
                <c:pt idx="396">
                  <c:v>12.0310001373291</c:v>
                </c:pt>
                <c:pt idx="397">
                  <c:v>12.0909996032715</c:v>
                </c:pt>
                <c:pt idx="398">
                  <c:v>12.133999824523899</c:v>
                </c:pt>
                <c:pt idx="399">
                  <c:v>12.203000068664601</c:v>
                </c:pt>
                <c:pt idx="400">
                  <c:v>12.206000328064</c:v>
                </c:pt>
                <c:pt idx="401">
                  <c:v>12.2679996490479</c:v>
                </c:pt>
                <c:pt idx="402">
                  <c:v>12.3079996109009</c:v>
                </c:pt>
                <c:pt idx="403">
                  <c:v>12.453000068664601</c:v>
                </c:pt>
                <c:pt idx="404">
                  <c:v>12.4750003814697</c:v>
                </c:pt>
                <c:pt idx="405">
                  <c:v>12.4980001449585</c:v>
                </c:pt>
                <c:pt idx="406">
                  <c:v>12.548999786376999</c:v>
                </c:pt>
                <c:pt idx="407">
                  <c:v>12.720999717712401</c:v>
                </c:pt>
                <c:pt idx="408">
                  <c:v>12.770999908447299</c:v>
                </c:pt>
                <c:pt idx="409">
                  <c:v>12.8109998703003</c:v>
                </c:pt>
                <c:pt idx="410">
                  <c:v>12.897000312805201</c:v>
                </c:pt>
                <c:pt idx="411">
                  <c:v>12.991000175476101</c:v>
                </c:pt>
                <c:pt idx="412">
                  <c:v>13.0170001983643</c:v>
                </c:pt>
                <c:pt idx="413">
                  <c:v>13.0690002441406</c:v>
                </c:pt>
                <c:pt idx="414">
                  <c:v>13.154000282287599</c:v>
                </c:pt>
                <c:pt idx="415">
                  <c:v>13.236000061035201</c:v>
                </c:pt>
                <c:pt idx="416">
                  <c:v>13.3009996414185</c:v>
                </c:pt>
                <c:pt idx="417">
                  <c:v>13.3369998931885</c:v>
                </c:pt>
                <c:pt idx="418">
                  <c:v>13.3769998550415</c:v>
                </c:pt>
                <c:pt idx="419">
                  <c:v>13.432000160217299</c:v>
                </c:pt>
                <c:pt idx="420">
                  <c:v>13.4720001220703</c:v>
                </c:pt>
                <c:pt idx="421">
                  <c:v>13.513999938964799</c:v>
                </c:pt>
                <c:pt idx="422">
                  <c:v>13.5380001068115</c:v>
                </c:pt>
                <c:pt idx="423">
                  <c:v>13.5909996032715</c:v>
                </c:pt>
                <c:pt idx="424">
                  <c:v>13.682000160217299</c:v>
                </c:pt>
                <c:pt idx="425">
                  <c:v>13.7189998626709</c:v>
                </c:pt>
                <c:pt idx="426">
                  <c:v>13.7629995346069</c:v>
                </c:pt>
                <c:pt idx="427">
                  <c:v>13.786999702453601</c:v>
                </c:pt>
                <c:pt idx="428">
                  <c:v>13.902000427246101</c:v>
                </c:pt>
                <c:pt idx="429">
                  <c:v>13.947999954223601</c:v>
                </c:pt>
                <c:pt idx="430">
                  <c:v>13.968000411987299</c:v>
                </c:pt>
                <c:pt idx="431">
                  <c:v>13.9919996261597</c:v>
                </c:pt>
                <c:pt idx="432">
                  <c:v>14.012000083923301</c:v>
                </c:pt>
                <c:pt idx="433">
                  <c:v>14.0530004501343</c:v>
                </c:pt>
                <c:pt idx="434">
                  <c:v>14.0719995498657</c:v>
                </c:pt>
                <c:pt idx="435">
                  <c:v>14.1429996490479</c:v>
                </c:pt>
                <c:pt idx="436">
                  <c:v>14.2159996032715</c:v>
                </c:pt>
                <c:pt idx="437">
                  <c:v>14.3879995346069</c:v>
                </c:pt>
                <c:pt idx="438">
                  <c:v>14.5129995346069</c:v>
                </c:pt>
                <c:pt idx="439">
                  <c:v>14.6560001373291</c:v>
                </c:pt>
                <c:pt idx="440">
                  <c:v>14.699999809265099</c:v>
                </c:pt>
                <c:pt idx="441">
                  <c:v>14.7200002670288</c:v>
                </c:pt>
                <c:pt idx="442">
                  <c:v>14.760999679565399</c:v>
                </c:pt>
                <c:pt idx="443">
                  <c:v>14.850999832153301</c:v>
                </c:pt>
                <c:pt idx="444">
                  <c:v>14.895999908447299</c:v>
                </c:pt>
                <c:pt idx="445">
                  <c:v>14.956000328064</c:v>
                </c:pt>
                <c:pt idx="446">
                  <c:v>14.9829998016357</c:v>
                </c:pt>
                <c:pt idx="447">
                  <c:v>15.0719995498657</c:v>
                </c:pt>
                <c:pt idx="448">
                  <c:v>15.116000175476101</c:v>
                </c:pt>
                <c:pt idx="449">
                  <c:v>15.1759996414185</c:v>
                </c:pt>
                <c:pt idx="450">
                  <c:v>15.213000297546399</c:v>
                </c:pt>
                <c:pt idx="451">
                  <c:v>15.2659997940063</c:v>
                </c:pt>
                <c:pt idx="452">
                  <c:v>15.3240003585815</c:v>
                </c:pt>
                <c:pt idx="453">
                  <c:v>15.3979997634888</c:v>
                </c:pt>
                <c:pt idx="454">
                  <c:v>15.647000312805201</c:v>
                </c:pt>
                <c:pt idx="455">
                  <c:v>15.725999832153301</c:v>
                </c:pt>
                <c:pt idx="456">
                  <c:v>15.756999969482401</c:v>
                </c:pt>
                <c:pt idx="457">
                  <c:v>15.8240003585815</c:v>
                </c:pt>
                <c:pt idx="458">
                  <c:v>15.918000221252401</c:v>
                </c:pt>
                <c:pt idx="459">
                  <c:v>15.953000068664601</c:v>
                </c:pt>
                <c:pt idx="460">
                  <c:v>15.998999595642101</c:v>
                </c:pt>
                <c:pt idx="461">
                  <c:v>16.0820007324219</c:v>
                </c:pt>
                <c:pt idx="462">
                  <c:v>16.191999435424801</c:v>
                </c:pt>
                <c:pt idx="463">
                  <c:v>16.2630004882813</c:v>
                </c:pt>
                <c:pt idx="464">
                  <c:v>16.3589992523193</c:v>
                </c:pt>
                <c:pt idx="465">
                  <c:v>16.4379997253418</c:v>
                </c:pt>
                <c:pt idx="466">
                  <c:v>16.5130004882813</c:v>
                </c:pt>
                <c:pt idx="467">
                  <c:v>16.590999603271499</c:v>
                </c:pt>
                <c:pt idx="468">
                  <c:v>16.6879997253418</c:v>
                </c:pt>
                <c:pt idx="469">
                  <c:v>16.802000045776399</c:v>
                </c:pt>
                <c:pt idx="470">
                  <c:v>16.936000823974599</c:v>
                </c:pt>
                <c:pt idx="471">
                  <c:v>16.9570007324219</c:v>
                </c:pt>
                <c:pt idx="472">
                  <c:v>17.058000564575199</c:v>
                </c:pt>
                <c:pt idx="473">
                  <c:v>17.097999572753899</c:v>
                </c:pt>
                <c:pt idx="474">
                  <c:v>17.2600002288818</c:v>
                </c:pt>
                <c:pt idx="475">
                  <c:v>17.617000579833999</c:v>
                </c:pt>
                <c:pt idx="476">
                  <c:v>17.693000793456999</c:v>
                </c:pt>
                <c:pt idx="477">
                  <c:v>17.7469997406006</c:v>
                </c:pt>
                <c:pt idx="478">
                  <c:v>17.775999069213899</c:v>
                </c:pt>
                <c:pt idx="479">
                  <c:v>18.020999908447301</c:v>
                </c:pt>
                <c:pt idx="480">
                  <c:v>18.072999954223601</c:v>
                </c:pt>
                <c:pt idx="481">
                  <c:v>18.054000854492202</c:v>
                </c:pt>
                <c:pt idx="482">
                  <c:v>18.1480007171631</c:v>
                </c:pt>
                <c:pt idx="483">
                  <c:v>18.1709995269775</c:v>
                </c:pt>
                <c:pt idx="484">
                  <c:v>18.216999053955099</c:v>
                </c:pt>
                <c:pt idx="485">
                  <c:v>18.2630004882813</c:v>
                </c:pt>
                <c:pt idx="486">
                  <c:v>18.229000091552699</c:v>
                </c:pt>
                <c:pt idx="487">
                  <c:v>18.349000930786101</c:v>
                </c:pt>
                <c:pt idx="488">
                  <c:v>18.422000885009801</c:v>
                </c:pt>
                <c:pt idx="489">
                  <c:v>18.444999694824201</c:v>
                </c:pt>
                <c:pt idx="490">
                  <c:v>18.533000946044901</c:v>
                </c:pt>
                <c:pt idx="491">
                  <c:v>18.583000183105501</c:v>
                </c:pt>
                <c:pt idx="492">
                  <c:v>18.636999130248999</c:v>
                </c:pt>
                <c:pt idx="493">
                  <c:v>18.722999572753899</c:v>
                </c:pt>
                <c:pt idx="494">
                  <c:v>18.811000823974599</c:v>
                </c:pt>
                <c:pt idx="495">
                  <c:v>18.8579998016357</c:v>
                </c:pt>
                <c:pt idx="496">
                  <c:v>18.906000137329102</c:v>
                </c:pt>
                <c:pt idx="497">
                  <c:v>18.965000152587901</c:v>
                </c:pt>
                <c:pt idx="498">
                  <c:v>18.989000320434599</c:v>
                </c:pt>
                <c:pt idx="499">
                  <c:v>19.058000564575199</c:v>
                </c:pt>
                <c:pt idx="500">
                  <c:v>19.232000350952099</c:v>
                </c:pt>
                <c:pt idx="501">
                  <c:v>19.423999786376999</c:v>
                </c:pt>
                <c:pt idx="502">
                  <c:v>19.504999160766602</c:v>
                </c:pt>
                <c:pt idx="503">
                  <c:v>19.534000396728501</c:v>
                </c:pt>
                <c:pt idx="504">
                  <c:v>19.576000213623001</c:v>
                </c:pt>
                <c:pt idx="505">
                  <c:v>19.670000076293899</c:v>
                </c:pt>
                <c:pt idx="506">
                  <c:v>19.767999649047901</c:v>
                </c:pt>
                <c:pt idx="507">
                  <c:v>19.7670001983643</c:v>
                </c:pt>
                <c:pt idx="508">
                  <c:v>19.909000396728501</c:v>
                </c:pt>
                <c:pt idx="509">
                  <c:v>20.07200050354</c:v>
                </c:pt>
                <c:pt idx="510">
                  <c:v>20.145999908447301</c:v>
                </c:pt>
                <c:pt idx="511">
                  <c:v>20.406000137329102</c:v>
                </c:pt>
                <c:pt idx="512">
                  <c:v>20.450000762939499</c:v>
                </c:pt>
                <c:pt idx="513">
                  <c:v>20.4769992828369</c:v>
                </c:pt>
                <c:pt idx="514">
                  <c:v>20.528999328613299</c:v>
                </c:pt>
                <c:pt idx="515">
                  <c:v>20.6340007781982</c:v>
                </c:pt>
                <c:pt idx="516">
                  <c:v>20.638999938964801</c:v>
                </c:pt>
                <c:pt idx="517">
                  <c:v>20.681999206543001</c:v>
                </c:pt>
                <c:pt idx="518">
                  <c:v>20.725000381469702</c:v>
                </c:pt>
                <c:pt idx="519">
                  <c:v>20.787000656127901</c:v>
                </c:pt>
                <c:pt idx="520">
                  <c:v>20.844999313354499</c:v>
                </c:pt>
                <c:pt idx="521">
                  <c:v>20.804000854492202</c:v>
                </c:pt>
                <c:pt idx="522">
                  <c:v>20.834999084472699</c:v>
                </c:pt>
                <c:pt idx="523">
                  <c:v>20.9379997253418</c:v>
                </c:pt>
                <c:pt idx="524">
                  <c:v>20.982000350952099</c:v>
                </c:pt>
                <c:pt idx="525">
                  <c:v>21.041000366210898</c:v>
                </c:pt>
                <c:pt idx="526">
                  <c:v>21.246000289916999</c:v>
                </c:pt>
                <c:pt idx="527">
                  <c:v>21.3780002593994</c:v>
                </c:pt>
                <c:pt idx="528">
                  <c:v>21.405000686645501</c:v>
                </c:pt>
                <c:pt idx="529">
                  <c:v>21.408000946044901</c:v>
                </c:pt>
                <c:pt idx="530">
                  <c:v>21.419000625610401</c:v>
                </c:pt>
                <c:pt idx="531">
                  <c:v>21.4209995269775</c:v>
                </c:pt>
                <c:pt idx="532">
                  <c:v>21.422000885009801</c:v>
                </c:pt>
                <c:pt idx="533">
                  <c:v>21.422000885009801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6-4372-A10E-A73BCD4FBFA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"/>
            <c:backward val="20"/>
            <c:dispRSqr val="0"/>
            <c:dispEq val="1"/>
            <c:trendlineLbl>
              <c:layout>
                <c:manualLayout>
                  <c:x val="-5.2153781913624436E-2"/>
                  <c:y val="-4.553050323066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'1'!$A$200:$A$544</c:f>
              <c:numCache>
                <c:formatCode>General</c:formatCode>
                <c:ptCount val="345"/>
                <c:pt idx="0">
                  <c:v>652</c:v>
                </c:pt>
                <c:pt idx="1">
                  <c:v>653</c:v>
                </c:pt>
                <c:pt idx="2">
                  <c:v>653</c:v>
                </c:pt>
                <c:pt idx="3">
                  <c:v>653</c:v>
                </c:pt>
                <c:pt idx="4">
                  <c:v>653</c:v>
                </c:pt>
                <c:pt idx="5">
                  <c:v>654</c:v>
                </c:pt>
                <c:pt idx="6">
                  <c:v>654</c:v>
                </c:pt>
                <c:pt idx="7">
                  <c:v>656</c:v>
                </c:pt>
                <c:pt idx="8">
                  <c:v>656</c:v>
                </c:pt>
                <c:pt idx="9">
                  <c:v>656</c:v>
                </c:pt>
                <c:pt idx="10">
                  <c:v>656</c:v>
                </c:pt>
                <c:pt idx="11">
                  <c:v>658</c:v>
                </c:pt>
                <c:pt idx="12">
                  <c:v>658</c:v>
                </c:pt>
                <c:pt idx="13">
                  <c:v>658</c:v>
                </c:pt>
                <c:pt idx="14">
                  <c:v>659</c:v>
                </c:pt>
                <c:pt idx="15">
                  <c:v>660</c:v>
                </c:pt>
                <c:pt idx="16">
                  <c:v>661</c:v>
                </c:pt>
                <c:pt idx="17">
                  <c:v>662</c:v>
                </c:pt>
                <c:pt idx="18">
                  <c:v>662</c:v>
                </c:pt>
                <c:pt idx="19">
                  <c:v>663</c:v>
                </c:pt>
                <c:pt idx="20">
                  <c:v>663</c:v>
                </c:pt>
                <c:pt idx="21">
                  <c:v>663</c:v>
                </c:pt>
                <c:pt idx="22">
                  <c:v>665</c:v>
                </c:pt>
                <c:pt idx="23">
                  <c:v>666</c:v>
                </c:pt>
                <c:pt idx="24">
                  <c:v>666</c:v>
                </c:pt>
                <c:pt idx="25">
                  <c:v>666</c:v>
                </c:pt>
                <c:pt idx="26">
                  <c:v>667</c:v>
                </c:pt>
                <c:pt idx="27">
                  <c:v>668</c:v>
                </c:pt>
                <c:pt idx="28">
                  <c:v>669</c:v>
                </c:pt>
                <c:pt idx="29">
                  <c:v>671</c:v>
                </c:pt>
                <c:pt idx="30">
                  <c:v>672</c:v>
                </c:pt>
                <c:pt idx="31">
                  <c:v>672</c:v>
                </c:pt>
                <c:pt idx="32">
                  <c:v>673</c:v>
                </c:pt>
                <c:pt idx="33">
                  <c:v>673</c:v>
                </c:pt>
                <c:pt idx="34">
                  <c:v>674</c:v>
                </c:pt>
                <c:pt idx="35">
                  <c:v>674</c:v>
                </c:pt>
                <c:pt idx="36">
                  <c:v>675</c:v>
                </c:pt>
                <c:pt idx="37">
                  <c:v>676</c:v>
                </c:pt>
                <c:pt idx="38">
                  <c:v>677</c:v>
                </c:pt>
                <c:pt idx="39">
                  <c:v>677</c:v>
                </c:pt>
                <c:pt idx="40">
                  <c:v>678</c:v>
                </c:pt>
                <c:pt idx="41">
                  <c:v>678</c:v>
                </c:pt>
                <c:pt idx="42">
                  <c:v>679</c:v>
                </c:pt>
                <c:pt idx="43">
                  <c:v>680</c:v>
                </c:pt>
                <c:pt idx="44">
                  <c:v>681</c:v>
                </c:pt>
                <c:pt idx="45">
                  <c:v>684</c:v>
                </c:pt>
                <c:pt idx="46">
                  <c:v>685</c:v>
                </c:pt>
                <c:pt idx="47">
                  <c:v>685</c:v>
                </c:pt>
                <c:pt idx="48">
                  <c:v>685</c:v>
                </c:pt>
                <c:pt idx="49">
                  <c:v>686</c:v>
                </c:pt>
                <c:pt idx="50">
                  <c:v>687</c:v>
                </c:pt>
                <c:pt idx="51">
                  <c:v>688</c:v>
                </c:pt>
                <c:pt idx="52">
                  <c:v>689</c:v>
                </c:pt>
                <c:pt idx="53">
                  <c:v>689</c:v>
                </c:pt>
                <c:pt idx="54">
                  <c:v>690</c:v>
                </c:pt>
                <c:pt idx="55">
                  <c:v>691</c:v>
                </c:pt>
                <c:pt idx="56">
                  <c:v>692</c:v>
                </c:pt>
                <c:pt idx="57">
                  <c:v>693</c:v>
                </c:pt>
                <c:pt idx="58">
                  <c:v>693</c:v>
                </c:pt>
                <c:pt idx="59">
                  <c:v>694</c:v>
                </c:pt>
                <c:pt idx="60">
                  <c:v>695</c:v>
                </c:pt>
                <c:pt idx="61">
                  <c:v>696</c:v>
                </c:pt>
                <c:pt idx="62">
                  <c:v>698</c:v>
                </c:pt>
                <c:pt idx="63">
                  <c:v>699</c:v>
                </c:pt>
                <c:pt idx="64">
                  <c:v>699</c:v>
                </c:pt>
                <c:pt idx="65">
                  <c:v>700</c:v>
                </c:pt>
                <c:pt idx="66">
                  <c:v>702</c:v>
                </c:pt>
                <c:pt idx="67">
                  <c:v>703</c:v>
                </c:pt>
                <c:pt idx="68">
                  <c:v>703</c:v>
                </c:pt>
                <c:pt idx="69">
                  <c:v>703</c:v>
                </c:pt>
                <c:pt idx="70">
                  <c:v>704</c:v>
                </c:pt>
                <c:pt idx="71">
                  <c:v>704</c:v>
                </c:pt>
                <c:pt idx="72">
                  <c:v>705</c:v>
                </c:pt>
                <c:pt idx="73">
                  <c:v>705</c:v>
                </c:pt>
                <c:pt idx="74">
                  <c:v>705</c:v>
                </c:pt>
                <c:pt idx="75">
                  <c:v>706</c:v>
                </c:pt>
                <c:pt idx="76">
                  <c:v>706</c:v>
                </c:pt>
                <c:pt idx="77">
                  <c:v>706</c:v>
                </c:pt>
                <c:pt idx="78">
                  <c:v>707</c:v>
                </c:pt>
                <c:pt idx="79">
                  <c:v>707</c:v>
                </c:pt>
                <c:pt idx="80">
                  <c:v>707</c:v>
                </c:pt>
                <c:pt idx="81">
                  <c:v>708</c:v>
                </c:pt>
                <c:pt idx="82">
                  <c:v>708</c:v>
                </c:pt>
                <c:pt idx="83">
                  <c:v>710</c:v>
                </c:pt>
                <c:pt idx="84">
                  <c:v>711</c:v>
                </c:pt>
                <c:pt idx="85">
                  <c:v>711</c:v>
                </c:pt>
                <c:pt idx="86">
                  <c:v>711</c:v>
                </c:pt>
                <c:pt idx="87">
                  <c:v>713</c:v>
                </c:pt>
                <c:pt idx="88">
                  <c:v>713</c:v>
                </c:pt>
                <c:pt idx="89">
                  <c:v>713</c:v>
                </c:pt>
                <c:pt idx="90">
                  <c:v>714</c:v>
                </c:pt>
                <c:pt idx="91">
                  <c:v>715</c:v>
                </c:pt>
                <c:pt idx="92">
                  <c:v>715</c:v>
                </c:pt>
                <c:pt idx="93">
                  <c:v>716</c:v>
                </c:pt>
                <c:pt idx="94">
                  <c:v>717</c:v>
                </c:pt>
                <c:pt idx="95">
                  <c:v>718</c:v>
                </c:pt>
                <c:pt idx="96">
                  <c:v>718</c:v>
                </c:pt>
                <c:pt idx="97">
                  <c:v>718</c:v>
                </c:pt>
                <c:pt idx="98">
                  <c:v>719</c:v>
                </c:pt>
                <c:pt idx="99">
                  <c:v>719</c:v>
                </c:pt>
                <c:pt idx="100">
                  <c:v>720</c:v>
                </c:pt>
                <c:pt idx="101">
                  <c:v>720</c:v>
                </c:pt>
                <c:pt idx="102">
                  <c:v>721</c:v>
                </c:pt>
                <c:pt idx="103">
                  <c:v>721</c:v>
                </c:pt>
                <c:pt idx="104">
                  <c:v>722</c:v>
                </c:pt>
                <c:pt idx="105">
                  <c:v>723</c:v>
                </c:pt>
                <c:pt idx="106">
                  <c:v>723</c:v>
                </c:pt>
                <c:pt idx="107">
                  <c:v>724</c:v>
                </c:pt>
                <c:pt idx="108">
                  <c:v>725</c:v>
                </c:pt>
                <c:pt idx="109">
                  <c:v>726</c:v>
                </c:pt>
                <c:pt idx="110">
                  <c:v>726</c:v>
                </c:pt>
                <c:pt idx="111">
                  <c:v>726</c:v>
                </c:pt>
                <c:pt idx="112">
                  <c:v>727</c:v>
                </c:pt>
                <c:pt idx="113">
                  <c:v>727</c:v>
                </c:pt>
                <c:pt idx="114">
                  <c:v>728</c:v>
                </c:pt>
                <c:pt idx="115">
                  <c:v>729</c:v>
                </c:pt>
                <c:pt idx="116">
                  <c:v>729</c:v>
                </c:pt>
                <c:pt idx="117">
                  <c:v>730</c:v>
                </c:pt>
                <c:pt idx="118">
                  <c:v>730</c:v>
                </c:pt>
                <c:pt idx="119">
                  <c:v>731</c:v>
                </c:pt>
                <c:pt idx="120">
                  <c:v>731</c:v>
                </c:pt>
                <c:pt idx="121">
                  <c:v>732</c:v>
                </c:pt>
                <c:pt idx="122">
                  <c:v>732</c:v>
                </c:pt>
                <c:pt idx="123">
                  <c:v>733</c:v>
                </c:pt>
                <c:pt idx="124">
                  <c:v>733</c:v>
                </c:pt>
                <c:pt idx="125">
                  <c:v>735</c:v>
                </c:pt>
                <c:pt idx="126">
                  <c:v>735</c:v>
                </c:pt>
                <c:pt idx="127">
                  <c:v>736</c:v>
                </c:pt>
                <c:pt idx="128">
                  <c:v>736</c:v>
                </c:pt>
                <c:pt idx="129">
                  <c:v>736</c:v>
                </c:pt>
                <c:pt idx="130">
                  <c:v>737</c:v>
                </c:pt>
                <c:pt idx="131">
                  <c:v>737</c:v>
                </c:pt>
                <c:pt idx="132">
                  <c:v>738</c:v>
                </c:pt>
                <c:pt idx="133">
                  <c:v>738</c:v>
                </c:pt>
                <c:pt idx="134">
                  <c:v>739</c:v>
                </c:pt>
                <c:pt idx="135">
                  <c:v>740</c:v>
                </c:pt>
                <c:pt idx="136">
                  <c:v>740</c:v>
                </c:pt>
                <c:pt idx="137">
                  <c:v>741</c:v>
                </c:pt>
                <c:pt idx="138">
                  <c:v>742</c:v>
                </c:pt>
                <c:pt idx="139">
                  <c:v>742</c:v>
                </c:pt>
                <c:pt idx="140">
                  <c:v>743</c:v>
                </c:pt>
                <c:pt idx="141">
                  <c:v>745</c:v>
                </c:pt>
                <c:pt idx="142">
                  <c:v>748</c:v>
                </c:pt>
                <c:pt idx="143">
                  <c:v>748</c:v>
                </c:pt>
                <c:pt idx="144">
                  <c:v>748</c:v>
                </c:pt>
                <c:pt idx="145">
                  <c:v>748</c:v>
                </c:pt>
                <c:pt idx="146">
                  <c:v>750</c:v>
                </c:pt>
                <c:pt idx="147">
                  <c:v>751</c:v>
                </c:pt>
                <c:pt idx="148">
                  <c:v>751</c:v>
                </c:pt>
                <c:pt idx="149">
                  <c:v>751</c:v>
                </c:pt>
                <c:pt idx="150">
                  <c:v>752</c:v>
                </c:pt>
                <c:pt idx="151">
                  <c:v>752</c:v>
                </c:pt>
                <c:pt idx="152">
                  <c:v>753</c:v>
                </c:pt>
                <c:pt idx="153">
                  <c:v>753</c:v>
                </c:pt>
                <c:pt idx="154">
                  <c:v>754</c:v>
                </c:pt>
                <c:pt idx="155">
                  <c:v>754</c:v>
                </c:pt>
                <c:pt idx="156">
                  <c:v>754</c:v>
                </c:pt>
                <c:pt idx="157">
                  <c:v>756</c:v>
                </c:pt>
                <c:pt idx="158">
                  <c:v>756</c:v>
                </c:pt>
                <c:pt idx="159">
                  <c:v>757</c:v>
                </c:pt>
                <c:pt idx="160">
                  <c:v>757</c:v>
                </c:pt>
                <c:pt idx="161">
                  <c:v>757</c:v>
                </c:pt>
                <c:pt idx="162">
                  <c:v>758</c:v>
                </c:pt>
                <c:pt idx="163">
                  <c:v>759</c:v>
                </c:pt>
                <c:pt idx="164">
                  <c:v>760</c:v>
                </c:pt>
                <c:pt idx="165">
                  <c:v>760</c:v>
                </c:pt>
                <c:pt idx="166">
                  <c:v>761</c:v>
                </c:pt>
                <c:pt idx="167">
                  <c:v>762</c:v>
                </c:pt>
                <c:pt idx="168">
                  <c:v>762</c:v>
                </c:pt>
                <c:pt idx="169">
                  <c:v>764</c:v>
                </c:pt>
                <c:pt idx="170">
                  <c:v>764</c:v>
                </c:pt>
                <c:pt idx="171">
                  <c:v>765</c:v>
                </c:pt>
                <c:pt idx="172">
                  <c:v>765</c:v>
                </c:pt>
                <c:pt idx="173">
                  <c:v>765</c:v>
                </c:pt>
                <c:pt idx="174">
                  <c:v>768</c:v>
                </c:pt>
                <c:pt idx="175">
                  <c:v>769</c:v>
                </c:pt>
                <c:pt idx="176">
                  <c:v>769</c:v>
                </c:pt>
                <c:pt idx="177">
                  <c:v>769</c:v>
                </c:pt>
                <c:pt idx="178">
                  <c:v>771</c:v>
                </c:pt>
                <c:pt idx="179">
                  <c:v>772</c:v>
                </c:pt>
                <c:pt idx="180">
                  <c:v>773</c:v>
                </c:pt>
                <c:pt idx="181">
                  <c:v>773</c:v>
                </c:pt>
                <c:pt idx="182">
                  <c:v>775</c:v>
                </c:pt>
                <c:pt idx="183">
                  <c:v>775</c:v>
                </c:pt>
                <c:pt idx="184">
                  <c:v>776</c:v>
                </c:pt>
                <c:pt idx="185">
                  <c:v>776</c:v>
                </c:pt>
                <c:pt idx="186">
                  <c:v>777</c:v>
                </c:pt>
                <c:pt idx="187">
                  <c:v>778</c:v>
                </c:pt>
                <c:pt idx="188">
                  <c:v>779</c:v>
                </c:pt>
                <c:pt idx="189">
                  <c:v>780</c:v>
                </c:pt>
                <c:pt idx="190">
                  <c:v>780</c:v>
                </c:pt>
                <c:pt idx="191">
                  <c:v>780</c:v>
                </c:pt>
                <c:pt idx="192">
                  <c:v>781</c:v>
                </c:pt>
                <c:pt idx="193">
                  <c:v>781</c:v>
                </c:pt>
                <c:pt idx="194">
                  <c:v>781</c:v>
                </c:pt>
                <c:pt idx="195">
                  <c:v>782</c:v>
                </c:pt>
                <c:pt idx="196">
                  <c:v>782</c:v>
                </c:pt>
                <c:pt idx="197">
                  <c:v>782</c:v>
                </c:pt>
                <c:pt idx="198">
                  <c:v>783</c:v>
                </c:pt>
                <c:pt idx="199">
                  <c:v>783</c:v>
                </c:pt>
                <c:pt idx="200">
                  <c:v>784</c:v>
                </c:pt>
                <c:pt idx="201">
                  <c:v>784</c:v>
                </c:pt>
                <c:pt idx="202">
                  <c:v>785</c:v>
                </c:pt>
                <c:pt idx="203">
                  <c:v>787</c:v>
                </c:pt>
                <c:pt idx="204">
                  <c:v>787</c:v>
                </c:pt>
                <c:pt idx="205">
                  <c:v>788</c:v>
                </c:pt>
                <c:pt idx="206">
                  <c:v>788</c:v>
                </c:pt>
                <c:pt idx="207">
                  <c:v>788</c:v>
                </c:pt>
                <c:pt idx="208">
                  <c:v>789</c:v>
                </c:pt>
                <c:pt idx="209">
                  <c:v>790</c:v>
                </c:pt>
                <c:pt idx="210">
                  <c:v>790</c:v>
                </c:pt>
                <c:pt idx="211">
                  <c:v>790</c:v>
                </c:pt>
                <c:pt idx="212">
                  <c:v>791</c:v>
                </c:pt>
                <c:pt idx="213">
                  <c:v>791</c:v>
                </c:pt>
                <c:pt idx="214">
                  <c:v>793</c:v>
                </c:pt>
                <c:pt idx="215">
                  <c:v>793</c:v>
                </c:pt>
                <c:pt idx="216">
                  <c:v>794</c:v>
                </c:pt>
                <c:pt idx="217">
                  <c:v>794</c:v>
                </c:pt>
                <c:pt idx="218">
                  <c:v>796</c:v>
                </c:pt>
                <c:pt idx="219">
                  <c:v>797</c:v>
                </c:pt>
                <c:pt idx="220">
                  <c:v>797</c:v>
                </c:pt>
                <c:pt idx="221">
                  <c:v>798</c:v>
                </c:pt>
                <c:pt idx="222">
                  <c:v>799</c:v>
                </c:pt>
                <c:pt idx="223">
                  <c:v>799</c:v>
                </c:pt>
                <c:pt idx="224">
                  <c:v>800</c:v>
                </c:pt>
                <c:pt idx="225">
                  <c:v>800</c:v>
                </c:pt>
                <c:pt idx="226">
                  <c:v>801</c:v>
                </c:pt>
                <c:pt idx="227">
                  <c:v>802</c:v>
                </c:pt>
                <c:pt idx="228">
                  <c:v>802</c:v>
                </c:pt>
                <c:pt idx="229">
                  <c:v>803</c:v>
                </c:pt>
                <c:pt idx="230">
                  <c:v>803</c:v>
                </c:pt>
                <c:pt idx="231">
                  <c:v>804</c:v>
                </c:pt>
                <c:pt idx="232">
                  <c:v>804</c:v>
                </c:pt>
                <c:pt idx="233">
                  <c:v>805</c:v>
                </c:pt>
                <c:pt idx="234">
                  <c:v>805</c:v>
                </c:pt>
                <c:pt idx="235">
                  <c:v>806</c:v>
                </c:pt>
                <c:pt idx="236">
                  <c:v>806</c:v>
                </c:pt>
                <c:pt idx="237">
                  <c:v>807</c:v>
                </c:pt>
                <c:pt idx="238">
                  <c:v>807</c:v>
                </c:pt>
                <c:pt idx="239">
                  <c:v>808</c:v>
                </c:pt>
                <c:pt idx="240">
                  <c:v>809</c:v>
                </c:pt>
                <c:pt idx="241">
                  <c:v>809</c:v>
                </c:pt>
                <c:pt idx="242">
                  <c:v>809</c:v>
                </c:pt>
                <c:pt idx="243">
                  <c:v>810</c:v>
                </c:pt>
                <c:pt idx="244">
                  <c:v>810</c:v>
                </c:pt>
                <c:pt idx="245">
                  <c:v>810</c:v>
                </c:pt>
                <c:pt idx="246">
                  <c:v>811</c:v>
                </c:pt>
                <c:pt idx="247">
                  <c:v>811</c:v>
                </c:pt>
                <c:pt idx="248">
                  <c:v>813</c:v>
                </c:pt>
                <c:pt idx="249">
                  <c:v>814</c:v>
                </c:pt>
                <c:pt idx="250">
                  <c:v>816</c:v>
                </c:pt>
                <c:pt idx="251">
                  <c:v>816</c:v>
                </c:pt>
                <c:pt idx="252">
                  <c:v>816</c:v>
                </c:pt>
                <c:pt idx="253">
                  <c:v>817</c:v>
                </c:pt>
                <c:pt idx="254">
                  <c:v>818</c:v>
                </c:pt>
                <c:pt idx="255">
                  <c:v>818</c:v>
                </c:pt>
                <c:pt idx="256">
                  <c:v>819</c:v>
                </c:pt>
                <c:pt idx="257">
                  <c:v>819</c:v>
                </c:pt>
                <c:pt idx="258">
                  <c:v>820</c:v>
                </c:pt>
                <c:pt idx="259">
                  <c:v>820</c:v>
                </c:pt>
                <c:pt idx="260">
                  <c:v>821</c:v>
                </c:pt>
                <c:pt idx="261">
                  <c:v>821</c:v>
                </c:pt>
                <c:pt idx="262">
                  <c:v>822</c:v>
                </c:pt>
                <c:pt idx="263">
                  <c:v>822</c:v>
                </c:pt>
                <c:pt idx="264">
                  <c:v>823</c:v>
                </c:pt>
                <c:pt idx="265">
                  <c:v>825</c:v>
                </c:pt>
                <c:pt idx="266">
                  <c:v>826</c:v>
                </c:pt>
                <c:pt idx="267">
                  <c:v>826</c:v>
                </c:pt>
                <c:pt idx="268">
                  <c:v>827</c:v>
                </c:pt>
                <c:pt idx="269">
                  <c:v>828</c:v>
                </c:pt>
                <c:pt idx="270">
                  <c:v>828</c:v>
                </c:pt>
                <c:pt idx="271">
                  <c:v>829</c:v>
                </c:pt>
                <c:pt idx="272">
                  <c:v>830</c:v>
                </c:pt>
                <c:pt idx="273">
                  <c:v>831</c:v>
                </c:pt>
                <c:pt idx="274">
                  <c:v>831</c:v>
                </c:pt>
                <c:pt idx="275">
                  <c:v>832</c:v>
                </c:pt>
                <c:pt idx="276">
                  <c:v>833</c:v>
                </c:pt>
                <c:pt idx="277">
                  <c:v>834</c:v>
                </c:pt>
                <c:pt idx="278">
                  <c:v>834</c:v>
                </c:pt>
                <c:pt idx="279">
                  <c:v>835</c:v>
                </c:pt>
                <c:pt idx="280">
                  <c:v>836</c:v>
                </c:pt>
                <c:pt idx="281">
                  <c:v>837</c:v>
                </c:pt>
                <c:pt idx="282">
                  <c:v>838</c:v>
                </c:pt>
                <c:pt idx="283">
                  <c:v>839</c:v>
                </c:pt>
                <c:pt idx="284">
                  <c:v>839</c:v>
                </c:pt>
                <c:pt idx="285">
                  <c:v>840</c:v>
                </c:pt>
                <c:pt idx="286">
                  <c:v>843</c:v>
                </c:pt>
                <c:pt idx="287">
                  <c:v>844</c:v>
                </c:pt>
                <c:pt idx="288">
                  <c:v>845</c:v>
                </c:pt>
                <c:pt idx="289">
                  <c:v>845</c:v>
                </c:pt>
                <c:pt idx="290">
                  <c:v>847</c:v>
                </c:pt>
                <c:pt idx="291">
                  <c:v>848</c:v>
                </c:pt>
                <c:pt idx="292">
                  <c:v>847</c:v>
                </c:pt>
                <c:pt idx="293">
                  <c:v>848</c:v>
                </c:pt>
                <c:pt idx="294">
                  <c:v>848</c:v>
                </c:pt>
                <c:pt idx="295">
                  <c:v>849</c:v>
                </c:pt>
                <c:pt idx="296">
                  <c:v>849</c:v>
                </c:pt>
                <c:pt idx="297">
                  <c:v>849</c:v>
                </c:pt>
                <c:pt idx="298">
                  <c:v>850</c:v>
                </c:pt>
                <c:pt idx="299">
                  <c:v>851</c:v>
                </c:pt>
                <c:pt idx="300">
                  <c:v>851</c:v>
                </c:pt>
                <c:pt idx="301">
                  <c:v>852</c:v>
                </c:pt>
                <c:pt idx="302">
                  <c:v>852</c:v>
                </c:pt>
                <c:pt idx="303">
                  <c:v>853</c:v>
                </c:pt>
                <c:pt idx="304">
                  <c:v>853</c:v>
                </c:pt>
                <c:pt idx="305">
                  <c:v>854</c:v>
                </c:pt>
                <c:pt idx="306">
                  <c:v>855</c:v>
                </c:pt>
                <c:pt idx="307">
                  <c:v>855</c:v>
                </c:pt>
                <c:pt idx="308">
                  <c:v>855</c:v>
                </c:pt>
                <c:pt idx="309">
                  <c:v>856</c:v>
                </c:pt>
                <c:pt idx="310">
                  <c:v>856</c:v>
                </c:pt>
                <c:pt idx="311">
                  <c:v>858</c:v>
                </c:pt>
                <c:pt idx="312">
                  <c:v>860</c:v>
                </c:pt>
                <c:pt idx="313">
                  <c:v>860</c:v>
                </c:pt>
                <c:pt idx="314">
                  <c:v>861</c:v>
                </c:pt>
                <c:pt idx="315">
                  <c:v>861</c:v>
                </c:pt>
                <c:pt idx="316">
                  <c:v>862</c:v>
                </c:pt>
                <c:pt idx="317">
                  <c:v>863</c:v>
                </c:pt>
                <c:pt idx="318">
                  <c:v>863</c:v>
                </c:pt>
                <c:pt idx="319">
                  <c:v>864</c:v>
                </c:pt>
                <c:pt idx="320">
                  <c:v>865</c:v>
                </c:pt>
                <c:pt idx="321">
                  <c:v>866</c:v>
                </c:pt>
                <c:pt idx="322">
                  <c:v>868</c:v>
                </c:pt>
                <c:pt idx="323">
                  <c:v>868</c:v>
                </c:pt>
                <c:pt idx="324">
                  <c:v>869</c:v>
                </c:pt>
                <c:pt idx="325">
                  <c:v>869</c:v>
                </c:pt>
                <c:pt idx="326">
                  <c:v>870</c:v>
                </c:pt>
                <c:pt idx="327">
                  <c:v>870</c:v>
                </c:pt>
                <c:pt idx="328">
                  <c:v>870</c:v>
                </c:pt>
                <c:pt idx="329">
                  <c:v>871</c:v>
                </c:pt>
                <c:pt idx="330">
                  <c:v>871</c:v>
                </c:pt>
                <c:pt idx="331">
                  <c:v>872</c:v>
                </c:pt>
                <c:pt idx="332">
                  <c:v>871</c:v>
                </c:pt>
                <c:pt idx="333">
                  <c:v>871</c:v>
                </c:pt>
                <c:pt idx="334">
                  <c:v>872</c:v>
                </c:pt>
                <c:pt idx="335">
                  <c:v>873</c:v>
                </c:pt>
                <c:pt idx="336">
                  <c:v>873</c:v>
                </c:pt>
                <c:pt idx="337">
                  <c:v>875</c:v>
                </c:pt>
                <c:pt idx="338">
                  <c:v>876</c:v>
                </c:pt>
                <c:pt idx="339">
                  <c:v>876</c:v>
                </c:pt>
                <c:pt idx="340">
                  <c:v>876</c:v>
                </c:pt>
                <c:pt idx="341">
                  <c:v>876</c:v>
                </c:pt>
                <c:pt idx="342">
                  <c:v>876</c:v>
                </c:pt>
                <c:pt idx="343">
                  <c:v>876</c:v>
                </c:pt>
                <c:pt idx="344">
                  <c:v>876</c:v>
                </c:pt>
              </c:numCache>
            </c:numRef>
          </c:xVal>
          <c:yVal>
            <c:numRef>
              <c:f>'1'!$D$200:$D$544</c:f>
              <c:numCache>
                <c:formatCode>General</c:formatCode>
                <c:ptCount val="345"/>
                <c:pt idx="0">
                  <c:v>3.44099998474121</c:v>
                </c:pt>
                <c:pt idx="1">
                  <c:v>3.4619998931884801</c:v>
                </c:pt>
                <c:pt idx="2">
                  <c:v>3.4660000801086399</c:v>
                </c:pt>
                <c:pt idx="3">
                  <c:v>3.4849998950958301</c:v>
                </c:pt>
                <c:pt idx="4">
                  <c:v>3.48699998855591</c:v>
                </c:pt>
                <c:pt idx="5">
                  <c:v>3.5060000419616699</c:v>
                </c:pt>
                <c:pt idx="6">
                  <c:v>3.52600002288818</c:v>
                </c:pt>
                <c:pt idx="7">
                  <c:v>3.58899998664856</c:v>
                </c:pt>
                <c:pt idx="8">
                  <c:v>3.5940001010894802</c:v>
                </c:pt>
                <c:pt idx="9">
                  <c:v>3.59899997711182</c:v>
                </c:pt>
                <c:pt idx="10">
                  <c:v>3.6240000724792498</c:v>
                </c:pt>
                <c:pt idx="11">
                  <c:v>3.6670000553131099</c:v>
                </c:pt>
                <c:pt idx="12">
                  <c:v>3.6900000572204599</c:v>
                </c:pt>
                <c:pt idx="13">
                  <c:v>3.6900000572204599</c:v>
                </c:pt>
                <c:pt idx="14">
                  <c:v>3.7390000820159899</c:v>
                </c:pt>
                <c:pt idx="15">
                  <c:v>3.7839999198913601</c:v>
                </c:pt>
                <c:pt idx="16">
                  <c:v>3.80299997329712</c:v>
                </c:pt>
                <c:pt idx="17">
                  <c:v>3.8280000686645499</c:v>
                </c:pt>
                <c:pt idx="18">
                  <c:v>3.8640000820159899</c:v>
                </c:pt>
                <c:pt idx="19">
                  <c:v>3.8889999389648402</c:v>
                </c:pt>
                <c:pt idx="20">
                  <c:v>3.9089999198913601</c:v>
                </c:pt>
                <c:pt idx="21">
                  <c:v>3.8900001049041699</c:v>
                </c:pt>
                <c:pt idx="22">
                  <c:v>3.9590001106262198</c:v>
                </c:pt>
                <c:pt idx="23">
                  <c:v>4.0029997825622603</c:v>
                </c:pt>
                <c:pt idx="24">
                  <c:v>4.0219998359680202</c:v>
                </c:pt>
                <c:pt idx="25">
                  <c:v>4.0250000953674299</c:v>
                </c:pt>
                <c:pt idx="26">
                  <c:v>4.0479998588562003</c:v>
                </c:pt>
                <c:pt idx="27">
                  <c:v>4.0890002250671396</c:v>
                </c:pt>
                <c:pt idx="28">
                  <c:v>4.1810002326965297</c:v>
                </c:pt>
                <c:pt idx="29">
                  <c:v>4.2300000190734899</c:v>
                </c:pt>
                <c:pt idx="30">
                  <c:v>4.2789998054504403</c:v>
                </c:pt>
                <c:pt idx="31">
                  <c:v>4.28200006484985</c:v>
                </c:pt>
                <c:pt idx="32">
                  <c:v>4.3080000877380398</c:v>
                </c:pt>
                <c:pt idx="33">
                  <c:v>4.3449997901916504</c:v>
                </c:pt>
                <c:pt idx="34">
                  <c:v>4.3850002288818404</c:v>
                </c:pt>
                <c:pt idx="35">
                  <c:v>4.38800001144409</c:v>
                </c:pt>
                <c:pt idx="36">
                  <c:v>4.4099998474121103</c:v>
                </c:pt>
                <c:pt idx="37">
                  <c:v>4.4640002250671396</c:v>
                </c:pt>
                <c:pt idx="38">
                  <c:v>4.5050001144409197</c:v>
                </c:pt>
                <c:pt idx="39">
                  <c:v>4.52699995040894</c:v>
                </c:pt>
                <c:pt idx="40">
                  <c:v>4.5489997863769496</c:v>
                </c:pt>
                <c:pt idx="41">
                  <c:v>4.57200002670288</c:v>
                </c:pt>
                <c:pt idx="42">
                  <c:v>4.5920000076293901</c:v>
                </c:pt>
                <c:pt idx="43">
                  <c:v>4.65700006484985</c:v>
                </c:pt>
                <c:pt idx="44">
                  <c:v>4.7210001945495597</c:v>
                </c:pt>
                <c:pt idx="45">
                  <c:v>4.8400001525878897</c:v>
                </c:pt>
                <c:pt idx="46">
                  <c:v>4.8800001144409197</c:v>
                </c:pt>
                <c:pt idx="47">
                  <c:v>4.90199995040894</c:v>
                </c:pt>
                <c:pt idx="48">
                  <c:v>4.9039998054504403</c:v>
                </c:pt>
                <c:pt idx="49">
                  <c:v>4.9310002326965297</c:v>
                </c:pt>
                <c:pt idx="50">
                  <c:v>4.9910001754760698</c:v>
                </c:pt>
                <c:pt idx="51">
                  <c:v>5.0430002212524396</c:v>
                </c:pt>
                <c:pt idx="52">
                  <c:v>5.0890002250671396</c:v>
                </c:pt>
                <c:pt idx="53">
                  <c:v>5.1279997825622603</c:v>
                </c:pt>
                <c:pt idx="54">
                  <c:v>5.1300001144409197</c:v>
                </c:pt>
                <c:pt idx="55">
                  <c:v>5.1789999008178702</c:v>
                </c:pt>
                <c:pt idx="56">
                  <c:v>5.2620000839233398</c:v>
                </c:pt>
                <c:pt idx="57">
                  <c:v>5.2810001373290998</c:v>
                </c:pt>
                <c:pt idx="58">
                  <c:v>5.3249998092651403</c:v>
                </c:pt>
                <c:pt idx="59">
                  <c:v>5.3720002174377397</c:v>
                </c:pt>
                <c:pt idx="60">
                  <c:v>5.3959999084472701</c:v>
                </c:pt>
                <c:pt idx="61">
                  <c:v>5.4419999122619602</c:v>
                </c:pt>
                <c:pt idx="62">
                  <c:v>5.5840001106262198</c:v>
                </c:pt>
                <c:pt idx="63">
                  <c:v>5.6180000305175799</c:v>
                </c:pt>
                <c:pt idx="64">
                  <c:v>5.6449999809265101</c:v>
                </c:pt>
                <c:pt idx="65">
                  <c:v>5.6640000343322798</c:v>
                </c:pt>
                <c:pt idx="66">
                  <c:v>5.7719998359680202</c:v>
                </c:pt>
                <c:pt idx="67">
                  <c:v>5.8200001716613796</c:v>
                </c:pt>
                <c:pt idx="68">
                  <c:v>5.8390002250671396</c:v>
                </c:pt>
                <c:pt idx="69">
                  <c:v>5.8629999160766602</c:v>
                </c:pt>
                <c:pt idx="70">
                  <c:v>5.8810000419616699</c:v>
                </c:pt>
                <c:pt idx="71">
                  <c:v>5.9039998054504403</c:v>
                </c:pt>
                <c:pt idx="72">
                  <c:v>5.9260001182556197</c:v>
                </c:pt>
                <c:pt idx="73">
                  <c:v>5.9530000686645499</c:v>
                </c:pt>
                <c:pt idx="74">
                  <c:v>5.97300004959106</c:v>
                </c:pt>
                <c:pt idx="75">
                  <c:v>5.9930000305175799</c:v>
                </c:pt>
                <c:pt idx="76">
                  <c:v>6.0190000534057599</c:v>
                </c:pt>
                <c:pt idx="77">
                  <c:v>6.0240001678466797</c:v>
                </c:pt>
                <c:pt idx="78">
                  <c:v>6.0450000762939498</c:v>
                </c:pt>
                <c:pt idx="79">
                  <c:v>6.0630002021789604</c:v>
                </c:pt>
                <c:pt idx="80">
                  <c:v>6.0819997787475604</c:v>
                </c:pt>
                <c:pt idx="81">
                  <c:v>6.1020002365112296</c:v>
                </c:pt>
                <c:pt idx="82">
                  <c:v>6.1269998550415004</c:v>
                </c:pt>
                <c:pt idx="83">
                  <c:v>6.2490000724792498</c:v>
                </c:pt>
                <c:pt idx="84">
                  <c:v>6.2690000534057599</c:v>
                </c:pt>
                <c:pt idx="85">
                  <c:v>6.2880001068115199</c:v>
                </c:pt>
                <c:pt idx="86">
                  <c:v>6.3080000877380398</c:v>
                </c:pt>
                <c:pt idx="87">
                  <c:v>6.4159998893737802</c:v>
                </c:pt>
                <c:pt idx="88">
                  <c:v>6.4190001487731898</c:v>
                </c:pt>
                <c:pt idx="89">
                  <c:v>6.4400000572204599</c:v>
                </c:pt>
                <c:pt idx="90">
                  <c:v>6.4819998741149902</c:v>
                </c:pt>
                <c:pt idx="91">
                  <c:v>6.5019998550415004</c:v>
                </c:pt>
                <c:pt idx="92">
                  <c:v>6.5599999427795401</c:v>
                </c:pt>
                <c:pt idx="93">
                  <c:v>6.6059999465942401</c:v>
                </c:pt>
                <c:pt idx="94">
                  <c:v>6.6350002288818404</c:v>
                </c:pt>
                <c:pt idx="95">
                  <c:v>6.6880002021789604</c:v>
                </c:pt>
                <c:pt idx="96">
                  <c:v>6.7140002250671396</c:v>
                </c:pt>
                <c:pt idx="97">
                  <c:v>6.7379999160766602</c:v>
                </c:pt>
                <c:pt idx="98">
                  <c:v>6.7569999694824201</c:v>
                </c:pt>
                <c:pt idx="99">
                  <c:v>6.77699995040894</c:v>
                </c:pt>
                <c:pt idx="100">
                  <c:v>6.8169999122619602</c:v>
                </c:pt>
                <c:pt idx="101">
                  <c:v>6.8579998016357404</c:v>
                </c:pt>
                <c:pt idx="102">
                  <c:v>6.8769998550415004</c:v>
                </c:pt>
                <c:pt idx="103">
                  <c:v>6.9140000343322798</c:v>
                </c:pt>
                <c:pt idx="104">
                  <c:v>6.9899997711181596</c:v>
                </c:pt>
                <c:pt idx="105">
                  <c:v>7.0110001564025897</c:v>
                </c:pt>
                <c:pt idx="106">
                  <c:v>7.0339999198913601</c:v>
                </c:pt>
                <c:pt idx="107">
                  <c:v>7.0739998817443803</c:v>
                </c:pt>
                <c:pt idx="108">
                  <c:v>7.1560001373290998</c:v>
                </c:pt>
                <c:pt idx="109">
                  <c:v>7.19700002670288</c:v>
                </c:pt>
                <c:pt idx="110">
                  <c:v>7.2270002365112296</c:v>
                </c:pt>
                <c:pt idx="111">
                  <c:v>7.2300000190734899</c:v>
                </c:pt>
                <c:pt idx="112">
                  <c:v>7.2729997634887704</c:v>
                </c:pt>
                <c:pt idx="113">
                  <c:v>7.3150000572204599</c:v>
                </c:pt>
                <c:pt idx="114">
                  <c:v>7.3740000724792498</c:v>
                </c:pt>
                <c:pt idx="115">
                  <c:v>7.3969998359680202</c:v>
                </c:pt>
                <c:pt idx="116">
                  <c:v>7.4169998168945304</c:v>
                </c:pt>
                <c:pt idx="117">
                  <c:v>7.4580001831054696</c:v>
                </c:pt>
                <c:pt idx="118">
                  <c:v>7.4800000190734899</c:v>
                </c:pt>
                <c:pt idx="119">
                  <c:v>7.5380001068115199</c:v>
                </c:pt>
                <c:pt idx="120">
                  <c:v>7.5409998893737802</c:v>
                </c:pt>
                <c:pt idx="121">
                  <c:v>7.61199998855591</c:v>
                </c:pt>
                <c:pt idx="122">
                  <c:v>7.6149997711181596</c:v>
                </c:pt>
                <c:pt idx="123">
                  <c:v>7.6609997749328604</c:v>
                </c:pt>
                <c:pt idx="124">
                  <c:v>7.7030000686645499</c:v>
                </c:pt>
                <c:pt idx="125">
                  <c:v>7.7979998588562003</c:v>
                </c:pt>
                <c:pt idx="126">
                  <c:v>7.82200002670288</c:v>
                </c:pt>
                <c:pt idx="127">
                  <c:v>7.8680000305175799</c:v>
                </c:pt>
                <c:pt idx="128">
                  <c:v>7.8920001983642596</c:v>
                </c:pt>
                <c:pt idx="129">
                  <c:v>7.92799997329712</c:v>
                </c:pt>
                <c:pt idx="130">
                  <c:v>7.9489998817443803</c:v>
                </c:pt>
                <c:pt idx="131">
                  <c:v>7.9710001945495597</c:v>
                </c:pt>
                <c:pt idx="132">
                  <c:v>8.0150003433227504</c:v>
                </c:pt>
                <c:pt idx="133">
                  <c:v>8.0349998474121094</c:v>
                </c:pt>
                <c:pt idx="134">
                  <c:v>8.0950002670288104</c:v>
                </c:pt>
                <c:pt idx="135">
                  <c:v>8.1370000839233398</c:v>
                </c:pt>
                <c:pt idx="136">
                  <c:v>8.1820001602172905</c:v>
                </c:pt>
                <c:pt idx="137">
                  <c:v>8.2030000686645508</c:v>
                </c:pt>
                <c:pt idx="138">
                  <c:v>8.2729997634887695</c:v>
                </c:pt>
                <c:pt idx="139">
                  <c:v>8.3229999542236293</c:v>
                </c:pt>
                <c:pt idx="140">
                  <c:v>8.4160003662109393</c:v>
                </c:pt>
                <c:pt idx="141">
                  <c:v>8.5629997253418004</c:v>
                </c:pt>
                <c:pt idx="142">
                  <c:v>8.7279996871948207</c:v>
                </c:pt>
                <c:pt idx="143">
                  <c:v>8.7489995956420898</c:v>
                </c:pt>
                <c:pt idx="144">
                  <c:v>8.7519998550415004</c:v>
                </c:pt>
                <c:pt idx="145">
                  <c:v>8.7729997634887695</c:v>
                </c:pt>
                <c:pt idx="146">
                  <c:v>8.8850002288818395</c:v>
                </c:pt>
                <c:pt idx="147">
                  <c:v>8.9250001907348597</c:v>
                </c:pt>
                <c:pt idx="148">
                  <c:v>8.9300003051757795</c:v>
                </c:pt>
                <c:pt idx="149">
                  <c:v>8.9689998626709002</c:v>
                </c:pt>
                <c:pt idx="150">
                  <c:v>9.01299953460693</c:v>
                </c:pt>
                <c:pt idx="151">
                  <c:v>9.0509996414184606</c:v>
                </c:pt>
                <c:pt idx="152">
                  <c:v>9.0740003585815394</c:v>
                </c:pt>
                <c:pt idx="153">
                  <c:v>9.0970001220703107</c:v>
                </c:pt>
                <c:pt idx="154">
                  <c:v>9.1599998474121094</c:v>
                </c:pt>
                <c:pt idx="155">
                  <c:v>9.1850004196166992</c:v>
                </c:pt>
                <c:pt idx="156">
                  <c:v>9.2259998321533203</c:v>
                </c:pt>
                <c:pt idx="157">
                  <c:v>9.3479995727539098</c:v>
                </c:pt>
                <c:pt idx="158">
                  <c:v>9.3710002899169904</c:v>
                </c:pt>
                <c:pt idx="159">
                  <c:v>9.3920001983642596</c:v>
                </c:pt>
                <c:pt idx="160">
                  <c:v>9.4119997024536097</c:v>
                </c:pt>
                <c:pt idx="161">
                  <c:v>9.4560003280639595</c:v>
                </c:pt>
                <c:pt idx="162">
                  <c:v>9.5109996795654297</c:v>
                </c:pt>
                <c:pt idx="163">
                  <c:v>9.5579996109008807</c:v>
                </c:pt>
                <c:pt idx="164">
                  <c:v>9.61200046539307</c:v>
                </c:pt>
                <c:pt idx="165">
                  <c:v>9.6470003128051793</c:v>
                </c:pt>
                <c:pt idx="166">
                  <c:v>9.7089996337890607</c:v>
                </c:pt>
                <c:pt idx="167">
                  <c:v>9.7740001678466797</c:v>
                </c:pt>
                <c:pt idx="168">
                  <c:v>9.8409996032714808</c:v>
                </c:pt>
                <c:pt idx="169">
                  <c:v>9.9340000152587908</c:v>
                </c:pt>
                <c:pt idx="170">
                  <c:v>9.9759998321533203</c:v>
                </c:pt>
                <c:pt idx="171">
                  <c:v>9.9989995956420898</c:v>
                </c:pt>
                <c:pt idx="172">
                  <c:v>10.0349998474121</c:v>
                </c:pt>
                <c:pt idx="173">
                  <c:v>10.0640001296997</c:v>
                </c:pt>
                <c:pt idx="174">
                  <c:v>10.2829999923706</c:v>
                </c:pt>
                <c:pt idx="175">
                  <c:v>10.338000297546399</c:v>
                </c:pt>
                <c:pt idx="176">
                  <c:v>10.3620004653931</c:v>
                </c:pt>
                <c:pt idx="177">
                  <c:v>10.397000312805201</c:v>
                </c:pt>
                <c:pt idx="178">
                  <c:v>10.5200004577637</c:v>
                </c:pt>
                <c:pt idx="179">
                  <c:v>10.5769996643066</c:v>
                </c:pt>
                <c:pt idx="180">
                  <c:v>10.649000167846699</c:v>
                </c:pt>
                <c:pt idx="181">
                  <c:v>10.668999671936</c:v>
                </c:pt>
                <c:pt idx="182">
                  <c:v>10.847999572753899</c:v>
                </c:pt>
                <c:pt idx="183">
                  <c:v>10.8649997711182</c:v>
                </c:pt>
                <c:pt idx="184">
                  <c:v>10.897000312805201</c:v>
                </c:pt>
                <c:pt idx="185">
                  <c:v>10.9390001296997</c:v>
                </c:pt>
                <c:pt idx="186">
                  <c:v>11.012000083923301</c:v>
                </c:pt>
                <c:pt idx="187">
                  <c:v>11.145999908447299</c:v>
                </c:pt>
                <c:pt idx="188">
                  <c:v>11.220999717712401</c:v>
                </c:pt>
                <c:pt idx="189">
                  <c:v>11.2449998855591</c:v>
                </c:pt>
                <c:pt idx="190">
                  <c:v>11.310000419616699</c:v>
                </c:pt>
                <c:pt idx="191">
                  <c:v>11.3290004730225</c:v>
                </c:pt>
                <c:pt idx="192">
                  <c:v>11.3500003814697</c:v>
                </c:pt>
                <c:pt idx="193">
                  <c:v>11.387000083923301</c:v>
                </c:pt>
                <c:pt idx="194">
                  <c:v>11.4230003356934</c:v>
                </c:pt>
                <c:pt idx="195">
                  <c:v>11.444999694824199</c:v>
                </c:pt>
                <c:pt idx="196">
                  <c:v>11.4840002059937</c:v>
                </c:pt>
                <c:pt idx="197">
                  <c:v>11.486000061035201</c:v>
                </c:pt>
                <c:pt idx="198">
                  <c:v>11.508999824523899</c:v>
                </c:pt>
                <c:pt idx="199">
                  <c:v>11.600999832153301</c:v>
                </c:pt>
                <c:pt idx="200">
                  <c:v>11.645999908447299</c:v>
                </c:pt>
                <c:pt idx="201">
                  <c:v>11.6890001296997</c:v>
                </c:pt>
                <c:pt idx="202">
                  <c:v>11.736000061035201</c:v>
                </c:pt>
                <c:pt idx="203">
                  <c:v>11.876000404357899</c:v>
                </c:pt>
                <c:pt idx="204">
                  <c:v>11.916999816894499</c:v>
                </c:pt>
                <c:pt idx="205">
                  <c:v>11.9390001296997</c:v>
                </c:pt>
                <c:pt idx="206">
                  <c:v>11.987999916076699</c:v>
                </c:pt>
                <c:pt idx="207">
                  <c:v>12.0310001373291</c:v>
                </c:pt>
                <c:pt idx="208">
                  <c:v>12.0909996032715</c:v>
                </c:pt>
                <c:pt idx="209">
                  <c:v>12.133999824523899</c:v>
                </c:pt>
                <c:pt idx="210">
                  <c:v>12.203000068664601</c:v>
                </c:pt>
                <c:pt idx="211">
                  <c:v>12.206000328064</c:v>
                </c:pt>
                <c:pt idx="212">
                  <c:v>12.2679996490479</c:v>
                </c:pt>
                <c:pt idx="213">
                  <c:v>12.3079996109009</c:v>
                </c:pt>
                <c:pt idx="214">
                  <c:v>12.453000068664601</c:v>
                </c:pt>
                <c:pt idx="215">
                  <c:v>12.4750003814697</c:v>
                </c:pt>
                <c:pt idx="216">
                  <c:v>12.4980001449585</c:v>
                </c:pt>
                <c:pt idx="217">
                  <c:v>12.548999786376999</c:v>
                </c:pt>
                <c:pt idx="218">
                  <c:v>12.720999717712401</c:v>
                </c:pt>
                <c:pt idx="219">
                  <c:v>12.770999908447299</c:v>
                </c:pt>
                <c:pt idx="220">
                  <c:v>12.8109998703003</c:v>
                </c:pt>
                <c:pt idx="221">
                  <c:v>12.897000312805201</c:v>
                </c:pt>
                <c:pt idx="222">
                  <c:v>12.991000175476101</c:v>
                </c:pt>
                <c:pt idx="223">
                  <c:v>13.0170001983643</c:v>
                </c:pt>
                <c:pt idx="224">
                  <c:v>13.0690002441406</c:v>
                </c:pt>
                <c:pt idx="225">
                  <c:v>13.154000282287599</c:v>
                </c:pt>
                <c:pt idx="226">
                  <c:v>13.236000061035201</c:v>
                </c:pt>
                <c:pt idx="227">
                  <c:v>13.3009996414185</c:v>
                </c:pt>
                <c:pt idx="228">
                  <c:v>13.3369998931885</c:v>
                </c:pt>
                <c:pt idx="229">
                  <c:v>13.3769998550415</c:v>
                </c:pt>
                <c:pt idx="230">
                  <c:v>13.432000160217299</c:v>
                </c:pt>
                <c:pt idx="231">
                  <c:v>13.4720001220703</c:v>
                </c:pt>
                <c:pt idx="232">
                  <c:v>13.513999938964799</c:v>
                </c:pt>
                <c:pt idx="233">
                  <c:v>13.5380001068115</c:v>
                </c:pt>
                <c:pt idx="234">
                  <c:v>13.5909996032715</c:v>
                </c:pt>
                <c:pt idx="235">
                  <c:v>13.682000160217299</c:v>
                </c:pt>
                <c:pt idx="236">
                  <c:v>13.7189998626709</c:v>
                </c:pt>
                <c:pt idx="237">
                  <c:v>13.7629995346069</c:v>
                </c:pt>
                <c:pt idx="238">
                  <c:v>13.786999702453601</c:v>
                </c:pt>
                <c:pt idx="239">
                  <c:v>13.902000427246101</c:v>
                </c:pt>
                <c:pt idx="240">
                  <c:v>13.947999954223601</c:v>
                </c:pt>
                <c:pt idx="241">
                  <c:v>13.968000411987299</c:v>
                </c:pt>
                <c:pt idx="242">
                  <c:v>13.9919996261597</c:v>
                </c:pt>
                <c:pt idx="243">
                  <c:v>14.012000083923301</c:v>
                </c:pt>
                <c:pt idx="244">
                  <c:v>14.0530004501343</c:v>
                </c:pt>
                <c:pt idx="245">
                  <c:v>14.0719995498657</c:v>
                </c:pt>
                <c:pt idx="246">
                  <c:v>14.1429996490479</c:v>
                </c:pt>
                <c:pt idx="247">
                  <c:v>14.2159996032715</c:v>
                </c:pt>
                <c:pt idx="248">
                  <c:v>14.3879995346069</c:v>
                </c:pt>
                <c:pt idx="249">
                  <c:v>14.5129995346069</c:v>
                </c:pt>
                <c:pt idx="250">
                  <c:v>14.6560001373291</c:v>
                </c:pt>
                <c:pt idx="251">
                  <c:v>14.699999809265099</c:v>
                </c:pt>
                <c:pt idx="252">
                  <c:v>14.7200002670288</c:v>
                </c:pt>
                <c:pt idx="253">
                  <c:v>14.760999679565399</c:v>
                </c:pt>
                <c:pt idx="254">
                  <c:v>14.850999832153301</c:v>
                </c:pt>
                <c:pt idx="255">
                  <c:v>14.895999908447299</c:v>
                </c:pt>
                <c:pt idx="256">
                  <c:v>14.956000328064</c:v>
                </c:pt>
                <c:pt idx="257">
                  <c:v>14.9829998016357</c:v>
                </c:pt>
                <c:pt idx="258">
                  <c:v>15.0719995498657</c:v>
                </c:pt>
                <c:pt idx="259">
                  <c:v>15.116000175476101</c:v>
                </c:pt>
                <c:pt idx="260">
                  <c:v>15.1759996414185</c:v>
                </c:pt>
                <c:pt idx="261">
                  <c:v>15.213000297546399</c:v>
                </c:pt>
                <c:pt idx="262">
                  <c:v>15.2659997940063</c:v>
                </c:pt>
                <c:pt idx="263">
                  <c:v>15.3240003585815</c:v>
                </c:pt>
                <c:pt idx="264">
                  <c:v>15.3979997634888</c:v>
                </c:pt>
                <c:pt idx="265">
                  <c:v>15.647000312805201</c:v>
                </c:pt>
                <c:pt idx="266">
                  <c:v>15.725999832153301</c:v>
                </c:pt>
                <c:pt idx="267">
                  <c:v>15.756999969482401</c:v>
                </c:pt>
                <c:pt idx="268">
                  <c:v>15.8240003585815</c:v>
                </c:pt>
                <c:pt idx="269">
                  <c:v>15.918000221252401</c:v>
                </c:pt>
                <c:pt idx="270">
                  <c:v>15.953000068664601</c:v>
                </c:pt>
                <c:pt idx="271">
                  <c:v>15.998999595642101</c:v>
                </c:pt>
                <c:pt idx="272">
                  <c:v>16.0820007324219</c:v>
                </c:pt>
                <c:pt idx="273">
                  <c:v>16.191999435424801</c:v>
                </c:pt>
                <c:pt idx="274">
                  <c:v>16.2630004882813</c:v>
                </c:pt>
                <c:pt idx="275">
                  <c:v>16.3589992523193</c:v>
                </c:pt>
                <c:pt idx="276">
                  <c:v>16.4379997253418</c:v>
                </c:pt>
                <c:pt idx="277">
                  <c:v>16.5130004882813</c:v>
                </c:pt>
                <c:pt idx="278">
                  <c:v>16.590999603271499</c:v>
                </c:pt>
                <c:pt idx="279">
                  <c:v>16.6879997253418</c:v>
                </c:pt>
                <c:pt idx="280">
                  <c:v>16.802000045776399</c:v>
                </c:pt>
                <c:pt idx="281">
                  <c:v>16.936000823974599</c:v>
                </c:pt>
                <c:pt idx="282">
                  <c:v>16.9570007324219</c:v>
                </c:pt>
                <c:pt idx="283">
                  <c:v>17.058000564575199</c:v>
                </c:pt>
                <c:pt idx="284">
                  <c:v>17.097999572753899</c:v>
                </c:pt>
                <c:pt idx="285">
                  <c:v>17.2600002288818</c:v>
                </c:pt>
                <c:pt idx="286">
                  <c:v>17.617000579833999</c:v>
                </c:pt>
                <c:pt idx="287">
                  <c:v>17.693000793456999</c:v>
                </c:pt>
                <c:pt idx="288">
                  <c:v>17.7469997406006</c:v>
                </c:pt>
                <c:pt idx="289">
                  <c:v>17.775999069213899</c:v>
                </c:pt>
                <c:pt idx="290">
                  <c:v>18.020999908447301</c:v>
                </c:pt>
                <c:pt idx="291">
                  <c:v>18.072999954223601</c:v>
                </c:pt>
                <c:pt idx="292">
                  <c:v>18.054000854492202</c:v>
                </c:pt>
                <c:pt idx="293">
                  <c:v>18.1480007171631</c:v>
                </c:pt>
                <c:pt idx="294">
                  <c:v>18.1709995269775</c:v>
                </c:pt>
                <c:pt idx="295">
                  <c:v>18.216999053955099</c:v>
                </c:pt>
                <c:pt idx="296">
                  <c:v>18.2630004882813</c:v>
                </c:pt>
                <c:pt idx="297">
                  <c:v>18.229000091552699</c:v>
                </c:pt>
                <c:pt idx="298">
                  <c:v>18.349000930786101</c:v>
                </c:pt>
                <c:pt idx="299">
                  <c:v>18.422000885009801</c:v>
                </c:pt>
                <c:pt idx="300">
                  <c:v>18.444999694824201</c:v>
                </c:pt>
                <c:pt idx="301">
                  <c:v>18.533000946044901</c:v>
                </c:pt>
                <c:pt idx="302">
                  <c:v>18.583000183105501</c:v>
                </c:pt>
                <c:pt idx="303">
                  <c:v>18.636999130248999</c:v>
                </c:pt>
                <c:pt idx="304">
                  <c:v>18.722999572753899</c:v>
                </c:pt>
                <c:pt idx="305">
                  <c:v>18.811000823974599</c:v>
                </c:pt>
                <c:pt idx="306">
                  <c:v>18.8579998016357</c:v>
                </c:pt>
                <c:pt idx="307">
                  <c:v>18.906000137329102</c:v>
                </c:pt>
                <c:pt idx="308">
                  <c:v>18.965000152587901</c:v>
                </c:pt>
                <c:pt idx="309">
                  <c:v>18.989000320434599</c:v>
                </c:pt>
                <c:pt idx="310">
                  <c:v>19.058000564575199</c:v>
                </c:pt>
                <c:pt idx="311">
                  <c:v>19.232000350952099</c:v>
                </c:pt>
                <c:pt idx="312">
                  <c:v>19.423999786376999</c:v>
                </c:pt>
                <c:pt idx="313">
                  <c:v>19.504999160766602</c:v>
                </c:pt>
                <c:pt idx="314">
                  <c:v>19.534000396728501</c:v>
                </c:pt>
                <c:pt idx="315">
                  <c:v>19.576000213623001</c:v>
                </c:pt>
                <c:pt idx="316">
                  <c:v>19.670000076293899</c:v>
                </c:pt>
                <c:pt idx="317">
                  <c:v>19.767999649047901</c:v>
                </c:pt>
                <c:pt idx="318">
                  <c:v>19.7670001983643</c:v>
                </c:pt>
                <c:pt idx="319">
                  <c:v>19.909000396728501</c:v>
                </c:pt>
                <c:pt idx="320">
                  <c:v>20.07200050354</c:v>
                </c:pt>
                <c:pt idx="321">
                  <c:v>20.145999908447301</c:v>
                </c:pt>
                <c:pt idx="322">
                  <c:v>20.406000137329102</c:v>
                </c:pt>
                <c:pt idx="323">
                  <c:v>20.450000762939499</c:v>
                </c:pt>
                <c:pt idx="324">
                  <c:v>20.4769992828369</c:v>
                </c:pt>
                <c:pt idx="325">
                  <c:v>20.528999328613299</c:v>
                </c:pt>
                <c:pt idx="326">
                  <c:v>20.6340007781982</c:v>
                </c:pt>
                <c:pt idx="327">
                  <c:v>20.638999938964801</c:v>
                </c:pt>
                <c:pt idx="328">
                  <c:v>20.681999206543001</c:v>
                </c:pt>
                <c:pt idx="329">
                  <c:v>20.725000381469702</c:v>
                </c:pt>
                <c:pt idx="330">
                  <c:v>20.787000656127901</c:v>
                </c:pt>
                <c:pt idx="331">
                  <c:v>20.844999313354499</c:v>
                </c:pt>
                <c:pt idx="332">
                  <c:v>20.804000854492202</c:v>
                </c:pt>
                <c:pt idx="333">
                  <c:v>20.834999084472699</c:v>
                </c:pt>
                <c:pt idx="334">
                  <c:v>20.9379997253418</c:v>
                </c:pt>
                <c:pt idx="335">
                  <c:v>20.982000350952099</c:v>
                </c:pt>
                <c:pt idx="336">
                  <c:v>21.041000366210898</c:v>
                </c:pt>
                <c:pt idx="337">
                  <c:v>21.246000289916999</c:v>
                </c:pt>
                <c:pt idx="338">
                  <c:v>21.3780002593994</c:v>
                </c:pt>
                <c:pt idx="339">
                  <c:v>21.405000686645501</c:v>
                </c:pt>
                <c:pt idx="340">
                  <c:v>21.408000946044901</c:v>
                </c:pt>
                <c:pt idx="341">
                  <c:v>21.419000625610401</c:v>
                </c:pt>
                <c:pt idx="342">
                  <c:v>21.4209995269775</c:v>
                </c:pt>
                <c:pt idx="343">
                  <c:v>21.422000885009801</c:v>
                </c:pt>
                <c:pt idx="344">
                  <c:v>21.422000885009801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A6-4372-A10E-A73BCD4FB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644208"/>
        <c:axId val="1239649488"/>
      </c:scatterChart>
      <c:valAx>
        <c:axId val="1239644208"/>
        <c:scaling>
          <c:orientation val="minMax"/>
          <c:max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U[mV]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9649488"/>
        <c:crosses val="autoZero"/>
        <c:crossBetween val="midCat"/>
      </c:valAx>
      <c:valAx>
        <c:axId val="123964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9644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'1'!$B$65:$B$544</c:f>
              <c:numCache>
                <c:formatCode>General</c:formatCode>
                <c:ptCount val="480"/>
                <c:pt idx="0">
                  <c:v>0.30499999999999999</c:v>
                </c:pt>
                <c:pt idx="1">
                  <c:v>0.308</c:v>
                </c:pt>
                <c:pt idx="2">
                  <c:v>0.317</c:v>
                </c:pt>
                <c:pt idx="3">
                  <c:v>0.32100000000000001</c:v>
                </c:pt>
                <c:pt idx="4">
                  <c:v>0.32500000000000001</c:v>
                </c:pt>
                <c:pt idx="5">
                  <c:v>0.32700000000000001</c:v>
                </c:pt>
                <c:pt idx="6">
                  <c:v>0.33200000000000002</c:v>
                </c:pt>
                <c:pt idx="7">
                  <c:v>0.33500000000000002</c:v>
                </c:pt>
                <c:pt idx="8">
                  <c:v>0.33800000000000002</c:v>
                </c:pt>
                <c:pt idx="9">
                  <c:v>0.36199999999999999</c:v>
                </c:pt>
                <c:pt idx="10">
                  <c:v>0.371</c:v>
                </c:pt>
                <c:pt idx="11">
                  <c:v>0.374</c:v>
                </c:pt>
                <c:pt idx="12">
                  <c:v>0.377</c:v>
                </c:pt>
                <c:pt idx="13">
                  <c:v>0.38</c:v>
                </c:pt>
                <c:pt idx="14">
                  <c:v>0.38200000000000001</c:v>
                </c:pt>
                <c:pt idx="15">
                  <c:v>0.38800000000000001</c:v>
                </c:pt>
                <c:pt idx="16">
                  <c:v>0.39300000000000002</c:v>
                </c:pt>
                <c:pt idx="17">
                  <c:v>0.39400000000000002</c:v>
                </c:pt>
                <c:pt idx="18">
                  <c:v>0.39600000000000002</c:v>
                </c:pt>
                <c:pt idx="19">
                  <c:v>0.39700000000000002</c:v>
                </c:pt>
                <c:pt idx="20">
                  <c:v>0.40300000000000002</c:v>
                </c:pt>
                <c:pt idx="21">
                  <c:v>0.40700000000000003</c:v>
                </c:pt>
                <c:pt idx="22">
                  <c:v>0.41000000000000003</c:v>
                </c:pt>
                <c:pt idx="23">
                  <c:v>0.41600000000000004</c:v>
                </c:pt>
                <c:pt idx="24">
                  <c:v>0.42</c:v>
                </c:pt>
                <c:pt idx="25">
                  <c:v>0.42399999999999999</c:v>
                </c:pt>
                <c:pt idx="26">
                  <c:v>0.437</c:v>
                </c:pt>
                <c:pt idx="27">
                  <c:v>0.44</c:v>
                </c:pt>
                <c:pt idx="28">
                  <c:v>0.442</c:v>
                </c:pt>
                <c:pt idx="29">
                  <c:v>0.44500000000000001</c:v>
                </c:pt>
                <c:pt idx="30">
                  <c:v>0.45600000000000002</c:v>
                </c:pt>
                <c:pt idx="31">
                  <c:v>0.45800000000000002</c:v>
                </c:pt>
                <c:pt idx="32">
                  <c:v>0.46100000000000002</c:v>
                </c:pt>
                <c:pt idx="33">
                  <c:v>0.46300000000000002</c:v>
                </c:pt>
                <c:pt idx="34">
                  <c:v>0.46400000000000002</c:v>
                </c:pt>
                <c:pt idx="35">
                  <c:v>0.46900000000000003</c:v>
                </c:pt>
                <c:pt idx="36">
                  <c:v>0.47300000000000003</c:v>
                </c:pt>
                <c:pt idx="37">
                  <c:v>0.47500000000000003</c:v>
                </c:pt>
                <c:pt idx="38">
                  <c:v>0.47800000000000004</c:v>
                </c:pt>
                <c:pt idx="39">
                  <c:v>0.48</c:v>
                </c:pt>
                <c:pt idx="40">
                  <c:v>0.48299999999999998</c:v>
                </c:pt>
                <c:pt idx="41">
                  <c:v>0.48499999999999999</c:v>
                </c:pt>
                <c:pt idx="42">
                  <c:v>0.48899999999999999</c:v>
                </c:pt>
                <c:pt idx="43">
                  <c:v>0.49199999999999999</c:v>
                </c:pt>
                <c:pt idx="44">
                  <c:v>0.49199999999999999</c:v>
                </c:pt>
                <c:pt idx="45">
                  <c:v>0.49399999999999999</c:v>
                </c:pt>
                <c:pt idx="46">
                  <c:v>0.497</c:v>
                </c:pt>
                <c:pt idx="47">
                  <c:v>0.5</c:v>
                </c:pt>
                <c:pt idx="48">
                  <c:v>0.502</c:v>
                </c:pt>
                <c:pt idx="49">
                  <c:v>0.504</c:v>
                </c:pt>
                <c:pt idx="50">
                  <c:v>0.50600000000000001</c:v>
                </c:pt>
                <c:pt idx="51">
                  <c:v>0.50800000000000001</c:v>
                </c:pt>
                <c:pt idx="52">
                  <c:v>0.51</c:v>
                </c:pt>
                <c:pt idx="53">
                  <c:v>0.52200000000000002</c:v>
                </c:pt>
                <c:pt idx="54">
                  <c:v>0.52500000000000002</c:v>
                </c:pt>
                <c:pt idx="55">
                  <c:v>0.52800000000000002</c:v>
                </c:pt>
                <c:pt idx="56">
                  <c:v>0.53</c:v>
                </c:pt>
                <c:pt idx="57">
                  <c:v>0.53400000000000003</c:v>
                </c:pt>
                <c:pt idx="58">
                  <c:v>0.53400000000000003</c:v>
                </c:pt>
                <c:pt idx="59">
                  <c:v>0.53600000000000003</c:v>
                </c:pt>
                <c:pt idx="60">
                  <c:v>0.54100000000000004</c:v>
                </c:pt>
                <c:pt idx="61">
                  <c:v>0.54400000000000004</c:v>
                </c:pt>
                <c:pt idx="62">
                  <c:v>0.54700000000000004</c:v>
                </c:pt>
                <c:pt idx="63">
                  <c:v>0.54900000000000004</c:v>
                </c:pt>
                <c:pt idx="64">
                  <c:v>0.55100000000000005</c:v>
                </c:pt>
                <c:pt idx="65">
                  <c:v>0.55400000000000005</c:v>
                </c:pt>
                <c:pt idx="66">
                  <c:v>0.55600000000000005</c:v>
                </c:pt>
                <c:pt idx="67">
                  <c:v>0.55800000000000005</c:v>
                </c:pt>
                <c:pt idx="68">
                  <c:v>0.56000000000000005</c:v>
                </c:pt>
                <c:pt idx="69">
                  <c:v>0.56200000000000006</c:v>
                </c:pt>
                <c:pt idx="70">
                  <c:v>0.56800000000000006</c:v>
                </c:pt>
                <c:pt idx="71">
                  <c:v>0.56900000000000006</c:v>
                </c:pt>
                <c:pt idx="72">
                  <c:v>0.57100000000000006</c:v>
                </c:pt>
                <c:pt idx="73">
                  <c:v>0.57300000000000006</c:v>
                </c:pt>
                <c:pt idx="74">
                  <c:v>0.57600000000000007</c:v>
                </c:pt>
                <c:pt idx="75">
                  <c:v>0.57699999999999996</c:v>
                </c:pt>
                <c:pt idx="76">
                  <c:v>0.57699999999999996</c:v>
                </c:pt>
                <c:pt idx="77">
                  <c:v>0.57799999999999996</c:v>
                </c:pt>
                <c:pt idx="78">
                  <c:v>0.57899999999999996</c:v>
                </c:pt>
                <c:pt idx="79">
                  <c:v>0.57899999999999996</c:v>
                </c:pt>
                <c:pt idx="80">
                  <c:v>0.58099999999999996</c:v>
                </c:pt>
                <c:pt idx="81">
                  <c:v>0.58199999999999996</c:v>
                </c:pt>
                <c:pt idx="82">
                  <c:v>0.58299999999999996</c:v>
                </c:pt>
                <c:pt idx="83">
                  <c:v>0.58399999999999996</c:v>
                </c:pt>
                <c:pt idx="84">
                  <c:v>0.58499999999999996</c:v>
                </c:pt>
                <c:pt idx="85">
                  <c:v>0.58899999999999997</c:v>
                </c:pt>
                <c:pt idx="86">
                  <c:v>0.59</c:v>
                </c:pt>
                <c:pt idx="87">
                  <c:v>0.59199999999999997</c:v>
                </c:pt>
                <c:pt idx="88">
                  <c:v>0.59399999999999997</c:v>
                </c:pt>
                <c:pt idx="89">
                  <c:v>0.60099999999999998</c:v>
                </c:pt>
                <c:pt idx="90">
                  <c:v>0.60199999999999998</c:v>
                </c:pt>
                <c:pt idx="91">
                  <c:v>0.60299999999999998</c:v>
                </c:pt>
                <c:pt idx="92">
                  <c:v>0.60299999999999998</c:v>
                </c:pt>
                <c:pt idx="93">
                  <c:v>0.60399999999999998</c:v>
                </c:pt>
                <c:pt idx="94">
                  <c:v>0.60399999999999998</c:v>
                </c:pt>
                <c:pt idx="95">
                  <c:v>0.60599999999999998</c:v>
                </c:pt>
                <c:pt idx="96">
                  <c:v>0.60699999999999998</c:v>
                </c:pt>
                <c:pt idx="97">
                  <c:v>0.60799999999999998</c:v>
                </c:pt>
                <c:pt idx="98">
                  <c:v>0.60799999999999998</c:v>
                </c:pt>
                <c:pt idx="99">
                  <c:v>0.60899999999999999</c:v>
                </c:pt>
                <c:pt idx="100">
                  <c:v>0.61</c:v>
                </c:pt>
                <c:pt idx="101">
                  <c:v>0.61099999999999999</c:v>
                </c:pt>
                <c:pt idx="102">
                  <c:v>0.61299999999999999</c:v>
                </c:pt>
                <c:pt idx="103">
                  <c:v>0.61299999999999999</c:v>
                </c:pt>
                <c:pt idx="104">
                  <c:v>0.61399999999999999</c:v>
                </c:pt>
                <c:pt idx="105">
                  <c:v>0.61499999999999999</c:v>
                </c:pt>
                <c:pt idx="106">
                  <c:v>0.61799999999999999</c:v>
                </c:pt>
                <c:pt idx="107">
                  <c:v>0.62</c:v>
                </c:pt>
                <c:pt idx="108">
                  <c:v>0.621</c:v>
                </c:pt>
                <c:pt idx="109">
                  <c:v>0.622</c:v>
                </c:pt>
                <c:pt idx="110">
                  <c:v>0.626</c:v>
                </c:pt>
                <c:pt idx="111">
                  <c:v>0.627</c:v>
                </c:pt>
                <c:pt idx="112">
                  <c:v>0.628</c:v>
                </c:pt>
                <c:pt idx="113">
                  <c:v>0.629</c:v>
                </c:pt>
                <c:pt idx="114">
                  <c:v>0.63</c:v>
                </c:pt>
                <c:pt idx="115">
                  <c:v>0.63100000000000001</c:v>
                </c:pt>
                <c:pt idx="116">
                  <c:v>0.63100000000000001</c:v>
                </c:pt>
                <c:pt idx="117">
                  <c:v>0.63200000000000001</c:v>
                </c:pt>
                <c:pt idx="118">
                  <c:v>0.63300000000000001</c:v>
                </c:pt>
                <c:pt idx="119">
                  <c:v>0.63400000000000001</c:v>
                </c:pt>
                <c:pt idx="120">
                  <c:v>0.63500000000000001</c:v>
                </c:pt>
                <c:pt idx="121">
                  <c:v>0.63600000000000001</c:v>
                </c:pt>
                <c:pt idx="122">
                  <c:v>0.63700000000000001</c:v>
                </c:pt>
                <c:pt idx="123">
                  <c:v>0.63800000000000001</c:v>
                </c:pt>
                <c:pt idx="124">
                  <c:v>0.63900000000000001</c:v>
                </c:pt>
                <c:pt idx="125">
                  <c:v>0.64</c:v>
                </c:pt>
                <c:pt idx="126">
                  <c:v>0.64100000000000001</c:v>
                </c:pt>
                <c:pt idx="127">
                  <c:v>0.64400000000000002</c:v>
                </c:pt>
                <c:pt idx="128">
                  <c:v>0.64500000000000002</c:v>
                </c:pt>
                <c:pt idx="129">
                  <c:v>0.64500000000000002</c:v>
                </c:pt>
                <c:pt idx="130">
                  <c:v>0.64600000000000002</c:v>
                </c:pt>
                <c:pt idx="131">
                  <c:v>0.64900000000000002</c:v>
                </c:pt>
                <c:pt idx="132">
                  <c:v>0.65100000000000002</c:v>
                </c:pt>
                <c:pt idx="133">
                  <c:v>0.65200000000000002</c:v>
                </c:pt>
                <c:pt idx="134">
                  <c:v>0.65200000000000002</c:v>
                </c:pt>
                <c:pt idx="135">
                  <c:v>0.65200000000000002</c:v>
                </c:pt>
                <c:pt idx="136">
                  <c:v>0.65300000000000002</c:v>
                </c:pt>
                <c:pt idx="137">
                  <c:v>0.65300000000000002</c:v>
                </c:pt>
                <c:pt idx="138">
                  <c:v>0.65300000000000002</c:v>
                </c:pt>
                <c:pt idx="139">
                  <c:v>0.65300000000000002</c:v>
                </c:pt>
                <c:pt idx="140">
                  <c:v>0.65400000000000003</c:v>
                </c:pt>
                <c:pt idx="141">
                  <c:v>0.65400000000000003</c:v>
                </c:pt>
                <c:pt idx="142">
                  <c:v>0.65600000000000003</c:v>
                </c:pt>
                <c:pt idx="143">
                  <c:v>0.65600000000000003</c:v>
                </c:pt>
                <c:pt idx="144">
                  <c:v>0.65600000000000003</c:v>
                </c:pt>
                <c:pt idx="145">
                  <c:v>0.65600000000000003</c:v>
                </c:pt>
                <c:pt idx="146">
                  <c:v>0.65800000000000003</c:v>
                </c:pt>
                <c:pt idx="147">
                  <c:v>0.65800000000000003</c:v>
                </c:pt>
                <c:pt idx="148">
                  <c:v>0.65800000000000003</c:v>
                </c:pt>
                <c:pt idx="149">
                  <c:v>0.65900000000000003</c:v>
                </c:pt>
                <c:pt idx="150">
                  <c:v>0.66</c:v>
                </c:pt>
                <c:pt idx="151">
                  <c:v>0.66100000000000003</c:v>
                </c:pt>
                <c:pt idx="152">
                  <c:v>0.66200000000000003</c:v>
                </c:pt>
                <c:pt idx="153">
                  <c:v>0.66200000000000003</c:v>
                </c:pt>
                <c:pt idx="154">
                  <c:v>0.66300000000000003</c:v>
                </c:pt>
                <c:pt idx="155">
                  <c:v>0.66300000000000003</c:v>
                </c:pt>
                <c:pt idx="156">
                  <c:v>0.66300000000000003</c:v>
                </c:pt>
                <c:pt idx="157">
                  <c:v>0.66500000000000004</c:v>
                </c:pt>
                <c:pt idx="158">
                  <c:v>0.66600000000000004</c:v>
                </c:pt>
                <c:pt idx="159">
                  <c:v>0.66600000000000004</c:v>
                </c:pt>
                <c:pt idx="160">
                  <c:v>0.66600000000000004</c:v>
                </c:pt>
                <c:pt idx="161">
                  <c:v>0.66700000000000004</c:v>
                </c:pt>
                <c:pt idx="162">
                  <c:v>0.66800000000000004</c:v>
                </c:pt>
                <c:pt idx="163">
                  <c:v>0.66900000000000004</c:v>
                </c:pt>
                <c:pt idx="164">
                  <c:v>0.67100000000000004</c:v>
                </c:pt>
                <c:pt idx="165">
                  <c:v>0.67200000000000004</c:v>
                </c:pt>
                <c:pt idx="166">
                  <c:v>0.67200000000000004</c:v>
                </c:pt>
                <c:pt idx="167">
                  <c:v>0.67300000000000004</c:v>
                </c:pt>
                <c:pt idx="168">
                  <c:v>0.67300000000000004</c:v>
                </c:pt>
                <c:pt idx="169">
                  <c:v>0.67400000000000004</c:v>
                </c:pt>
                <c:pt idx="170">
                  <c:v>0.67400000000000004</c:v>
                </c:pt>
                <c:pt idx="171">
                  <c:v>0.67500000000000004</c:v>
                </c:pt>
                <c:pt idx="172">
                  <c:v>0.67600000000000005</c:v>
                </c:pt>
                <c:pt idx="173">
                  <c:v>0.67700000000000005</c:v>
                </c:pt>
                <c:pt idx="174">
                  <c:v>0.67700000000000005</c:v>
                </c:pt>
                <c:pt idx="175">
                  <c:v>0.67800000000000005</c:v>
                </c:pt>
                <c:pt idx="176">
                  <c:v>0.67800000000000005</c:v>
                </c:pt>
                <c:pt idx="177">
                  <c:v>0.67900000000000005</c:v>
                </c:pt>
                <c:pt idx="178">
                  <c:v>0.68</c:v>
                </c:pt>
                <c:pt idx="179">
                  <c:v>0.68100000000000005</c:v>
                </c:pt>
                <c:pt idx="180">
                  <c:v>0.68400000000000005</c:v>
                </c:pt>
                <c:pt idx="181">
                  <c:v>0.68500000000000005</c:v>
                </c:pt>
                <c:pt idx="182">
                  <c:v>0.68500000000000005</c:v>
                </c:pt>
                <c:pt idx="183">
                  <c:v>0.68500000000000005</c:v>
                </c:pt>
                <c:pt idx="184">
                  <c:v>0.68600000000000005</c:v>
                </c:pt>
                <c:pt idx="185">
                  <c:v>0.68700000000000006</c:v>
                </c:pt>
                <c:pt idx="186">
                  <c:v>0.68800000000000006</c:v>
                </c:pt>
                <c:pt idx="187">
                  <c:v>0.68900000000000006</c:v>
                </c:pt>
                <c:pt idx="188">
                  <c:v>0.68900000000000006</c:v>
                </c:pt>
                <c:pt idx="189">
                  <c:v>0.69000000000000006</c:v>
                </c:pt>
                <c:pt idx="190">
                  <c:v>0.69100000000000006</c:v>
                </c:pt>
                <c:pt idx="191">
                  <c:v>0.69200000000000006</c:v>
                </c:pt>
                <c:pt idx="192">
                  <c:v>0.69300000000000006</c:v>
                </c:pt>
                <c:pt idx="193">
                  <c:v>0.69300000000000006</c:v>
                </c:pt>
                <c:pt idx="194">
                  <c:v>0.69400000000000006</c:v>
                </c:pt>
                <c:pt idx="195">
                  <c:v>0.69500000000000006</c:v>
                </c:pt>
                <c:pt idx="196">
                  <c:v>0.69600000000000006</c:v>
                </c:pt>
                <c:pt idx="197">
                  <c:v>0.69800000000000006</c:v>
                </c:pt>
                <c:pt idx="198">
                  <c:v>0.69900000000000007</c:v>
                </c:pt>
                <c:pt idx="199">
                  <c:v>0.69900000000000007</c:v>
                </c:pt>
                <c:pt idx="200">
                  <c:v>0.70000000000000007</c:v>
                </c:pt>
                <c:pt idx="201">
                  <c:v>0.70200000000000007</c:v>
                </c:pt>
                <c:pt idx="202">
                  <c:v>0.70300000000000007</c:v>
                </c:pt>
                <c:pt idx="203">
                  <c:v>0.70300000000000007</c:v>
                </c:pt>
                <c:pt idx="204">
                  <c:v>0.70300000000000007</c:v>
                </c:pt>
                <c:pt idx="205">
                  <c:v>0.70399999999999996</c:v>
                </c:pt>
                <c:pt idx="206">
                  <c:v>0.70399999999999996</c:v>
                </c:pt>
                <c:pt idx="207">
                  <c:v>0.70499999999999996</c:v>
                </c:pt>
                <c:pt idx="208">
                  <c:v>0.70499999999999996</c:v>
                </c:pt>
                <c:pt idx="209">
                  <c:v>0.70499999999999996</c:v>
                </c:pt>
                <c:pt idx="210">
                  <c:v>0.70599999999999996</c:v>
                </c:pt>
                <c:pt idx="211">
                  <c:v>0.70599999999999996</c:v>
                </c:pt>
                <c:pt idx="212">
                  <c:v>0.70599999999999996</c:v>
                </c:pt>
                <c:pt idx="213">
                  <c:v>0.70699999999999996</c:v>
                </c:pt>
                <c:pt idx="214">
                  <c:v>0.70699999999999996</c:v>
                </c:pt>
                <c:pt idx="215">
                  <c:v>0.70699999999999996</c:v>
                </c:pt>
                <c:pt idx="216">
                  <c:v>0.70799999999999996</c:v>
                </c:pt>
                <c:pt idx="217">
                  <c:v>0.70799999999999996</c:v>
                </c:pt>
                <c:pt idx="218">
                  <c:v>0.71</c:v>
                </c:pt>
                <c:pt idx="219">
                  <c:v>0.71099999999999997</c:v>
                </c:pt>
                <c:pt idx="220">
                  <c:v>0.71099999999999997</c:v>
                </c:pt>
                <c:pt idx="221">
                  <c:v>0.71099999999999997</c:v>
                </c:pt>
                <c:pt idx="222">
                  <c:v>0.71299999999999997</c:v>
                </c:pt>
                <c:pt idx="223">
                  <c:v>0.71299999999999997</c:v>
                </c:pt>
                <c:pt idx="224">
                  <c:v>0.71299999999999997</c:v>
                </c:pt>
                <c:pt idx="225">
                  <c:v>0.71399999999999997</c:v>
                </c:pt>
                <c:pt idx="226">
                  <c:v>0.71499999999999997</c:v>
                </c:pt>
                <c:pt idx="227">
                  <c:v>0.71499999999999997</c:v>
                </c:pt>
                <c:pt idx="228">
                  <c:v>0.71599999999999997</c:v>
                </c:pt>
                <c:pt idx="229">
                  <c:v>0.71699999999999997</c:v>
                </c:pt>
                <c:pt idx="230">
                  <c:v>0.71799999999999997</c:v>
                </c:pt>
                <c:pt idx="231">
                  <c:v>0.71799999999999997</c:v>
                </c:pt>
                <c:pt idx="232">
                  <c:v>0.71799999999999997</c:v>
                </c:pt>
                <c:pt idx="233">
                  <c:v>0.71899999999999997</c:v>
                </c:pt>
                <c:pt idx="234">
                  <c:v>0.71899999999999997</c:v>
                </c:pt>
                <c:pt idx="235">
                  <c:v>0.72</c:v>
                </c:pt>
                <c:pt idx="236">
                  <c:v>0.72</c:v>
                </c:pt>
                <c:pt idx="237">
                  <c:v>0.72099999999999997</c:v>
                </c:pt>
                <c:pt idx="238">
                  <c:v>0.72099999999999997</c:v>
                </c:pt>
                <c:pt idx="239">
                  <c:v>0.72199999999999998</c:v>
                </c:pt>
                <c:pt idx="240">
                  <c:v>0.72299999999999998</c:v>
                </c:pt>
                <c:pt idx="241">
                  <c:v>0.72299999999999998</c:v>
                </c:pt>
                <c:pt idx="242">
                  <c:v>0.72399999999999998</c:v>
                </c:pt>
                <c:pt idx="243">
                  <c:v>0.72499999999999998</c:v>
                </c:pt>
                <c:pt idx="244">
                  <c:v>0.72599999999999998</c:v>
                </c:pt>
                <c:pt idx="245">
                  <c:v>0.72599999999999998</c:v>
                </c:pt>
                <c:pt idx="246">
                  <c:v>0.72599999999999998</c:v>
                </c:pt>
                <c:pt idx="247">
                  <c:v>0.72699999999999998</c:v>
                </c:pt>
                <c:pt idx="248">
                  <c:v>0.72699999999999998</c:v>
                </c:pt>
                <c:pt idx="249">
                  <c:v>0.72799999999999998</c:v>
                </c:pt>
                <c:pt idx="250">
                  <c:v>0.72899999999999998</c:v>
                </c:pt>
                <c:pt idx="251">
                  <c:v>0.72899999999999998</c:v>
                </c:pt>
                <c:pt idx="252">
                  <c:v>0.73</c:v>
                </c:pt>
                <c:pt idx="253">
                  <c:v>0.73</c:v>
                </c:pt>
                <c:pt idx="254">
                  <c:v>0.73099999999999998</c:v>
                </c:pt>
                <c:pt idx="255">
                  <c:v>0.73099999999999998</c:v>
                </c:pt>
                <c:pt idx="256">
                  <c:v>0.73199999999999998</c:v>
                </c:pt>
                <c:pt idx="257">
                  <c:v>0.73199999999999998</c:v>
                </c:pt>
                <c:pt idx="258">
                  <c:v>0.73299999999999998</c:v>
                </c:pt>
                <c:pt idx="259">
                  <c:v>0.73299999999999998</c:v>
                </c:pt>
                <c:pt idx="260">
                  <c:v>0.73499999999999999</c:v>
                </c:pt>
                <c:pt idx="261">
                  <c:v>0.73499999999999999</c:v>
                </c:pt>
                <c:pt idx="262">
                  <c:v>0.73599999999999999</c:v>
                </c:pt>
                <c:pt idx="263">
                  <c:v>0.73599999999999999</c:v>
                </c:pt>
                <c:pt idx="264">
                  <c:v>0.73599999999999999</c:v>
                </c:pt>
                <c:pt idx="265">
                  <c:v>0.73699999999999999</c:v>
                </c:pt>
                <c:pt idx="266">
                  <c:v>0.73699999999999999</c:v>
                </c:pt>
                <c:pt idx="267">
                  <c:v>0.73799999999999999</c:v>
                </c:pt>
                <c:pt idx="268">
                  <c:v>0.73799999999999999</c:v>
                </c:pt>
                <c:pt idx="269">
                  <c:v>0.73899999999999999</c:v>
                </c:pt>
                <c:pt idx="270">
                  <c:v>0.74</c:v>
                </c:pt>
                <c:pt idx="271">
                  <c:v>0.74</c:v>
                </c:pt>
                <c:pt idx="272">
                  <c:v>0.74099999999999999</c:v>
                </c:pt>
                <c:pt idx="273">
                  <c:v>0.74199999999999999</c:v>
                </c:pt>
                <c:pt idx="274">
                  <c:v>0.74199999999999999</c:v>
                </c:pt>
                <c:pt idx="275">
                  <c:v>0.74299999999999999</c:v>
                </c:pt>
                <c:pt idx="276">
                  <c:v>0.745</c:v>
                </c:pt>
                <c:pt idx="277">
                  <c:v>0.748</c:v>
                </c:pt>
                <c:pt idx="278">
                  <c:v>0.748</c:v>
                </c:pt>
                <c:pt idx="279">
                  <c:v>0.748</c:v>
                </c:pt>
                <c:pt idx="280">
                  <c:v>0.748</c:v>
                </c:pt>
                <c:pt idx="281">
                  <c:v>0.75</c:v>
                </c:pt>
                <c:pt idx="282">
                  <c:v>0.751</c:v>
                </c:pt>
                <c:pt idx="283">
                  <c:v>0.751</c:v>
                </c:pt>
                <c:pt idx="284">
                  <c:v>0.751</c:v>
                </c:pt>
                <c:pt idx="285">
                  <c:v>0.752</c:v>
                </c:pt>
                <c:pt idx="286">
                  <c:v>0.752</c:v>
                </c:pt>
                <c:pt idx="287">
                  <c:v>0.753</c:v>
                </c:pt>
                <c:pt idx="288">
                  <c:v>0.753</c:v>
                </c:pt>
                <c:pt idx="289">
                  <c:v>0.754</c:v>
                </c:pt>
                <c:pt idx="290">
                  <c:v>0.754</c:v>
                </c:pt>
                <c:pt idx="291">
                  <c:v>0.754</c:v>
                </c:pt>
                <c:pt idx="292">
                  <c:v>0.75600000000000001</c:v>
                </c:pt>
                <c:pt idx="293">
                  <c:v>0.75600000000000001</c:v>
                </c:pt>
                <c:pt idx="294">
                  <c:v>0.75700000000000001</c:v>
                </c:pt>
                <c:pt idx="295">
                  <c:v>0.75700000000000001</c:v>
                </c:pt>
                <c:pt idx="296">
                  <c:v>0.75700000000000001</c:v>
                </c:pt>
                <c:pt idx="297">
                  <c:v>0.75800000000000001</c:v>
                </c:pt>
                <c:pt idx="298">
                  <c:v>0.75900000000000001</c:v>
                </c:pt>
                <c:pt idx="299">
                  <c:v>0.76</c:v>
                </c:pt>
                <c:pt idx="300">
                  <c:v>0.76</c:v>
                </c:pt>
                <c:pt idx="301">
                  <c:v>0.76100000000000001</c:v>
                </c:pt>
                <c:pt idx="302">
                  <c:v>0.76200000000000001</c:v>
                </c:pt>
                <c:pt idx="303">
                  <c:v>0.76200000000000001</c:v>
                </c:pt>
                <c:pt idx="304">
                  <c:v>0.76400000000000001</c:v>
                </c:pt>
                <c:pt idx="305">
                  <c:v>0.76400000000000001</c:v>
                </c:pt>
                <c:pt idx="306">
                  <c:v>0.76500000000000001</c:v>
                </c:pt>
                <c:pt idx="307">
                  <c:v>0.76500000000000001</c:v>
                </c:pt>
                <c:pt idx="308">
                  <c:v>0.76500000000000001</c:v>
                </c:pt>
                <c:pt idx="309">
                  <c:v>0.76800000000000002</c:v>
                </c:pt>
                <c:pt idx="310">
                  <c:v>0.76900000000000002</c:v>
                </c:pt>
                <c:pt idx="311">
                  <c:v>0.76900000000000002</c:v>
                </c:pt>
                <c:pt idx="312">
                  <c:v>0.76900000000000002</c:v>
                </c:pt>
                <c:pt idx="313">
                  <c:v>0.77100000000000002</c:v>
                </c:pt>
                <c:pt idx="314">
                  <c:v>0.77200000000000002</c:v>
                </c:pt>
                <c:pt idx="315">
                  <c:v>0.77300000000000002</c:v>
                </c:pt>
                <c:pt idx="316">
                  <c:v>0.77300000000000002</c:v>
                </c:pt>
                <c:pt idx="317">
                  <c:v>0.77500000000000002</c:v>
                </c:pt>
                <c:pt idx="318">
                  <c:v>0.77500000000000002</c:v>
                </c:pt>
                <c:pt idx="319">
                  <c:v>0.77600000000000002</c:v>
                </c:pt>
                <c:pt idx="320">
                  <c:v>0.77600000000000002</c:v>
                </c:pt>
                <c:pt idx="321">
                  <c:v>0.77700000000000002</c:v>
                </c:pt>
                <c:pt idx="322">
                  <c:v>0.77800000000000002</c:v>
                </c:pt>
                <c:pt idx="323">
                  <c:v>0.77900000000000003</c:v>
                </c:pt>
                <c:pt idx="324">
                  <c:v>0.78</c:v>
                </c:pt>
                <c:pt idx="325">
                  <c:v>0.78</c:v>
                </c:pt>
                <c:pt idx="326">
                  <c:v>0.78</c:v>
                </c:pt>
                <c:pt idx="327">
                  <c:v>0.78100000000000003</c:v>
                </c:pt>
                <c:pt idx="328">
                  <c:v>0.78100000000000003</c:v>
                </c:pt>
                <c:pt idx="329">
                  <c:v>0.78100000000000003</c:v>
                </c:pt>
                <c:pt idx="330">
                  <c:v>0.78200000000000003</c:v>
                </c:pt>
                <c:pt idx="331">
                  <c:v>0.78200000000000003</c:v>
                </c:pt>
                <c:pt idx="332">
                  <c:v>0.78200000000000003</c:v>
                </c:pt>
                <c:pt idx="333">
                  <c:v>0.78300000000000003</c:v>
                </c:pt>
                <c:pt idx="334">
                  <c:v>0.78300000000000003</c:v>
                </c:pt>
                <c:pt idx="335">
                  <c:v>0.78400000000000003</c:v>
                </c:pt>
                <c:pt idx="336">
                  <c:v>0.78400000000000003</c:v>
                </c:pt>
                <c:pt idx="337">
                  <c:v>0.78500000000000003</c:v>
                </c:pt>
                <c:pt idx="338">
                  <c:v>0.78700000000000003</c:v>
                </c:pt>
                <c:pt idx="339">
                  <c:v>0.78700000000000003</c:v>
                </c:pt>
                <c:pt idx="340">
                  <c:v>0.78800000000000003</c:v>
                </c:pt>
                <c:pt idx="341">
                  <c:v>0.78800000000000003</c:v>
                </c:pt>
                <c:pt idx="342">
                  <c:v>0.78800000000000003</c:v>
                </c:pt>
                <c:pt idx="343">
                  <c:v>0.78900000000000003</c:v>
                </c:pt>
                <c:pt idx="344">
                  <c:v>0.79</c:v>
                </c:pt>
                <c:pt idx="345">
                  <c:v>0.79</c:v>
                </c:pt>
                <c:pt idx="346">
                  <c:v>0.79</c:v>
                </c:pt>
                <c:pt idx="347">
                  <c:v>0.79100000000000004</c:v>
                </c:pt>
                <c:pt idx="348">
                  <c:v>0.79100000000000004</c:v>
                </c:pt>
                <c:pt idx="349">
                  <c:v>0.79300000000000004</c:v>
                </c:pt>
                <c:pt idx="350">
                  <c:v>0.79300000000000004</c:v>
                </c:pt>
                <c:pt idx="351">
                  <c:v>0.79400000000000004</c:v>
                </c:pt>
                <c:pt idx="352">
                  <c:v>0.79400000000000004</c:v>
                </c:pt>
                <c:pt idx="353">
                  <c:v>0.79600000000000004</c:v>
                </c:pt>
                <c:pt idx="354">
                  <c:v>0.79700000000000004</c:v>
                </c:pt>
                <c:pt idx="355">
                  <c:v>0.79700000000000004</c:v>
                </c:pt>
                <c:pt idx="356">
                  <c:v>0.79800000000000004</c:v>
                </c:pt>
                <c:pt idx="357">
                  <c:v>0.79900000000000004</c:v>
                </c:pt>
                <c:pt idx="358">
                  <c:v>0.79900000000000004</c:v>
                </c:pt>
                <c:pt idx="359">
                  <c:v>0.8</c:v>
                </c:pt>
                <c:pt idx="360">
                  <c:v>0.8</c:v>
                </c:pt>
                <c:pt idx="361">
                  <c:v>0.80100000000000005</c:v>
                </c:pt>
                <c:pt idx="362">
                  <c:v>0.80200000000000005</c:v>
                </c:pt>
                <c:pt idx="363">
                  <c:v>0.80200000000000005</c:v>
                </c:pt>
                <c:pt idx="364">
                  <c:v>0.80300000000000005</c:v>
                </c:pt>
                <c:pt idx="365">
                  <c:v>0.80300000000000005</c:v>
                </c:pt>
                <c:pt idx="366">
                  <c:v>0.80400000000000005</c:v>
                </c:pt>
                <c:pt idx="367">
                  <c:v>0.80400000000000005</c:v>
                </c:pt>
                <c:pt idx="368">
                  <c:v>0.80500000000000005</c:v>
                </c:pt>
                <c:pt idx="369">
                  <c:v>0.80500000000000005</c:v>
                </c:pt>
                <c:pt idx="370">
                  <c:v>0.80600000000000005</c:v>
                </c:pt>
                <c:pt idx="371">
                  <c:v>0.80600000000000005</c:v>
                </c:pt>
                <c:pt idx="372">
                  <c:v>0.80700000000000005</c:v>
                </c:pt>
                <c:pt idx="373">
                  <c:v>0.80700000000000005</c:v>
                </c:pt>
                <c:pt idx="374">
                  <c:v>0.80800000000000005</c:v>
                </c:pt>
                <c:pt idx="375">
                  <c:v>0.80900000000000005</c:v>
                </c:pt>
                <c:pt idx="376">
                  <c:v>0.80900000000000005</c:v>
                </c:pt>
                <c:pt idx="377">
                  <c:v>0.80900000000000005</c:v>
                </c:pt>
                <c:pt idx="378">
                  <c:v>0.81</c:v>
                </c:pt>
                <c:pt idx="379">
                  <c:v>0.81</c:v>
                </c:pt>
                <c:pt idx="380">
                  <c:v>0.81</c:v>
                </c:pt>
                <c:pt idx="381">
                  <c:v>0.81100000000000005</c:v>
                </c:pt>
                <c:pt idx="382">
                  <c:v>0.81100000000000005</c:v>
                </c:pt>
                <c:pt idx="383">
                  <c:v>0.81300000000000006</c:v>
                </c:pt>
                <c:pt idx="384">
                  <c:v>0.81400000000000006</c:v>
                </c:pt>
                <c:pt idx="385">
                  <c:v>0.81600000000000006</c:v>
                </c:pt>
                <c:pt idx="386">
                  <c:v>0.81600000000000006</c:v>
                </c:pt>
                <c:pt idx="387">
                  <c:v>0.81600000000000006</c:v>
                </c:pt>
                <c:pt idx="388">
                  <c:v>0.81700000000000006</c:v>
                </c:pt>
                <c:pt idx="389">
                  <c:v>0.81800000000000006</c:v>
                </c:pt>
                <c:pt idx="390">
                  <c:v>0.81800000000000006</c:v>
                </c:pt>
                <c:pt idx="391">
                  <c:v>0.81900000000000006</c:v>
                </c:pt>
                <c:pt idx="392">
                  <c:v>0.81900000000000006</c:v>
                </c:pt>
                <c:pt idx="393">
                  <c:v>0.82000000000000006</c:v>
                </c:pt>
                <c:pt idx="394">
                  <c:v>0.82000000000000006</c:v>
                </c:pt>
                <c:pt idx="395">
                  <c:v>0.82100000000000006</c:v>
                </c:pt>
                <c:pt idx="396">
                  <c:v>0.82100000000000006</c:v>
                </c:pt>
                <c:pt idx="397">
                  <c:v>0.82200000000000006</c:v>
                </c:pt>
                <c:pt idx="398">
                  <c:v>0.82200000000000006</c:v>
                </c:pt>
                <c:pt idx="399">
                  <c:v>0.82300000000000006</c:v>
                </c:pt>
                <c:pt idx="400">
                  <c:v>0.82500000000000007</c:v>
                </c:pt>
                <c:pt idx="401">
                  <c:v>0.82600000000000007</c:v>
                </c:pt>
                <c:pt idx="402">
                  <c:v>0.82600000000000007</c:v>
                </c:pt>
                <c:pt idx="403">
                  <c:v>0.82700000000000007</c:v>
                </c:pt>
                <c:pt idx="404">
                  <c:v>0.82800000000000007</c:v>
                </c:pt>
                <c:pt idx="405">
                  <c:v>0.82800000000000007</c:v>
                </c:pt>
                <c:pt idx="406">
                  <c:v>0.82900000000000007</c:v>
                </c:pt>
                <c:pt idx="407">
                  <c:v>0.83000000000000007</c:v>
                </c:pt>
                <c:pt idx="408">
                  <c:v>0.83100000000000007</c:v>
                </c:pt>
                <c:pt idx="409">
                  <c:v>0.83100000000000007</c:v>
                </c:pt>
                <c:pt idx="410">
                  <c:v>0.83200000000000007</c:v>
                </c:pt>
                <c:pt idx="411">
                  <c:v>0.83299999999999996</c:v>
                </c:pt>
                <c:pt idx="412">
                  <c:v>0.83399999999999996</c:v>
                </c:pt>
                <c:pt idx="413">
                  <c:v>0.83399999999999996</c:v>
                </c:pt>
                <c:pt idx="414">
                  <c:v>0.83499999999999996</c:v>
                </c:pt>
                <c:pt idx="415">
                  <c:v>0.83599999999999997</c:v>
                </c:pt>
                <c:pt idx="416">
                  <c:v>0.83699999999999997</c:v>
                </c:pt>
                <c:pt idx="417">
                  <c:v>0.83799999999999997</c:v>
                </c:pt>
                <c:pt idx="418">
                  <c:v>0.83899999999999997</c:v>
                </c:pt>
                <c:pt idx="419">
                  <c:v>0.83899999999999997</c:v>
                </c:pt>
                <c:pt idx="420">
                  <c:v>0.84</c:v>
                </c:pt>
                <c:pt idx="421">
                  <c:v>0.84299999999999997</c:v>
                </c:pt>
                <c:pt idx="422">
                  <c:v>0.84399999999999997</c:v>
                </c:pt>
                <c:pt idx="423">
                  <c:v>0.84499999999999997</c:v>
                </c:pt>
                <c:pt idx="424">
                  <c:v>0.84499999999999997</c:v>
                </c:pt>
                <c:pt idx="425">
                  <c:v>0.84699999999999998</c:v>
                </c:pt>
                <c:pt idx="426">
                  <c:v>0.84799999999999998</c:v>
                </c:pt>
                <c:pt idx="427">
                  <c:v>0.84699999999999998</c:v>
                </c:pt>
                <c:pt idx="428">
                  <c:v>0.84799999999999998</c:v>
                </c:pt>
                <c:pt idx="429">
                  <c:v>0.84799999999999998</c:v>
                </c:pt>
                <c:pt idx="430">
                  <c:v>0.84899999999999998</c:v>
                </c:pt>
                <c:pt idx="431">
                  <c:v>0.84899999999999998</c:v>
                </c:pt>
                <c:pt idx="432">
                  <c:v>0.84899999999999998</c:v>
                </c:pt>
                <c:pt idx="433">
                  <c:v>0.85</c:v>
                </c:pt>
                <c:pt idx="434">
                  <c:v>0.85099999999999998</c:v>
                </c:pt>
                <c:pt idx="435">
                  <c:v>0.85099999999999998</c:v>
                </c:pt>
                <c:pt idx="436">
                  <c:v>0.85199999999999998</c:v>
                </c:pt>
                <c:pt idx="437">
                  <c:v>0.85199999999999998</c:v>
                </c:pt>
                <c:pt idx="438">
                  <c:v>0.85299999999999998</c:v>
                </c:pt>
                <c:pt idx="439">
                  <c:v>0.85299999999999998</c:v>
                </c:pt>
                <c:pt idx="440">
                  <c:v>0.85399999999999998</c:v>
                </c:pt>
                <c:pt idx="441">
                  <c:v>0.85499999999999998</c:v>
                </c:pt>
                <c:pt idx="442">
                  <c:v>0.85499999999999998</c:v>
                </c:pt>
                <c:pt idx="443">
                  <c:v>0.85499999999999998</c:v>
                </c:pt>
                <c:pt idx="444">
                  <c:v>0.85599999999999998</c:v>
                </c:pt>
                <c:pt idx="445">
                  <c:v>0.85599999999999998</c:v>
                </c:pt>
                <c:pt idx="446">
                  <c:v>0.85799999999999998</c:v>
                </c:pt>
                <c:pt idx="447">
                  <c:v>0.86</c:v>
                </c:pt>
                <c:pt idx="448">
                  <c:v>0.86</c:v>
                </c:pt>
                <c:pt idx="449">
                  <c:v>0.86099999999999999</c:v>
                </c:pt>
                <c:pt idx="450">
                  <c:v>0.86099999999999999</c:v>
                </c:pt>
                <c:pt idx="451">
                  <c:v>0.86199999999999999</c:v>
                </c:pt>
                <c:pt idx="452">
                  <c:v>0.86299999999999999</c:v>
                </c:pt>
                <c:pt idx="453">
                  <c:v>0.86299999999999999</c:v>
                </c:pt>
                <c:pt idx="454">
                  <c:v>0.86399999999999999</c:v>
                </c:pt>
                <c:pt idx="455">
                  <c:v>0.86499999999999999</c:v>
                </c:pt>
                <c:pt idx="456">
                  <c:v>0.86599999999999999</c:v>
                </c:pt>
                <c:pt idx="457">
                  <c:v>0.86799999999999999</c:v>
                </c:pt>
                <c:pt idx="458">
                  <c:v>0.86799999999999999</c:v>
                </c:pt>
                <c:pt idx="459">
                  <c:v>0.86899999999999999</c:v>
                </c:pt>
                <c:pt idx="460">
                  <c:v>0.86899999999999999</c:v>
                </c:pt>
                <c:pt idx="461">
                  <c:v>0.87</c:v>
                </c:pt>
                <c:pt idx="462">
                  <c:v>0.87</c:v>
                </c:pt>
                <c:pt idx="463">
                  <c:v>0.87</c:v>
                </c:pt>
                <c:pt idx="464">
                  <c:v>0.871</c:v>
                </c:pt>
                <c:pt idx="465">
                  <c:v>0.871</c:v>
                </c:pt>
                <c:pt idx="466">
                  <c:v>0.872</c:v>
                </c:pt>
                <c:pt idx="467">
                  <c:v>0.871</c:v>
                </c:pt>
                <c:pt idx="468">
                  <c:v>0.871</c:v>
                </c:pt>
                <c:pt idx="469">
                  <c:v>0.872</c:v>
                </c:pt>
                <c:pt idx="470">
                  <c:v>0.873</c:v>
                </c:pt>
                <c:pt idx="471">
                  <c:v>0.873</c:v>
                </c:pt>
                <c:pt idx="472">
                  <c:v>0.875</c:v>
                </c:pt>
                <c:pt idx="473">
                  <c:v>0.876</c:v>
                </c:pt>
                <c:pt idx="474">
                  <c:v>0.876</c:v>
                </c:pt>
                <c:pt idx="475">
                  <c:v>0.876</c:v>
                </c:pt>
                <c:pt idx="476">
                  <c:v>0.876</c:v>
                </c:pt>
                <c:pt idx="477">
                  <c:v>0.876</c:v>
                </c:pt>
                <c:pt idx="478">
                  <c:v>0.876</c:v>
                </c:pt>
                <c:pt idx="479">
                  <c:v>0.876</c:v>
                </c:pt>
              </c:numCache>
            </c:numRef>
          </c:xVal>
          <c:yVal>
            <c:numRef>
              <c:f>'1'!$G$65:$G$544</c:f>
              <c:numCache>
                <c:formatCode>General</c:formatCode>
                <c:ptCount val="480"/>
                <c:pt idx="0">
                  <c:v>-13.815510510466826</c:v>
                </c:pt>
                <c:pt idx="1">
                  <c:v>-13.815510510466826</c:v>
                </c:pt>
                <c:pt idx="2">
                  <c:v>-13.12236332990688</c:v>
                </c:pt>
                <c:pt idx="3">
                  <c:v>-12.716898260603822</c:v>
                </c:pt>
                <c:pt idx="4">
                  <c:v>-12.716898260603822</c:v>
                </c:pt>
                <c:pt idx="5">
                  <c:v>-12.716898260603822</c:v>
                </c:pt>
                <c:pt idx="6">
                  <c:v>-12.429216149346932</c:v>
                </c:pt>
                <c:pt idx="7">
                  <c:v>-12.206072667881916</c:v>
                </c:pt>
                <c:pt idx="8">
                  <c:v>-12.023751080043876</c:v>
                </c:pt>
                <c:pt idx="9">
                  <c:v>-11.618286023675855</c:v>
                </c:pt>
                <c:pt idx="10">
                  <c:v>-11.330603899483933</c:v>
                </c:pt>
                <c:pt idx="11">
                  <c:v>-11.042921788227044</c:v>
                </c:pt>
                <c:pt idx="12">
                  <c:v>-10.871071610952971</c:v>
                </c:pt>
                <c:pt idx="13">
                  <c:v>-10.770988133722856</c:v>
                </c:pt>
                <c:pt idx="14">
                  <c:v>-10.680016340091495</c:v>
                </c:pt>
                <c:pt idx="15">
                  <c:v>-10.596634718194913</c:v>
                </c:pt>
                <c:pt idx="16">
                  <c:v>-10.483306016922381</c:v>
                </c:pt>
                <c:pt idx="17">
                  <c:v>-10.381523369822338</c:v>
                </c:pt>
                <c:pt idx="18">
                  <c:v>-10.289149979002703</c:v>
                </c:pt>
                <c:pt idx="19">
                  <c:v>-10.231991662555965</c:v>
                </c:pt>
                <c:pt idx="20">
                  <c:v>-10.177924430393025</c:v>
                </c:pt>
                <c:pt idx="21">
                  <c:v>-10.101938463638302</c:v>
                </c:pt>
                <c:pt idx="22">
                  <c:v>-10.031320929464618</c:v>
                </c:pt>
                <c:pt idx="23">
                  <c:v>-9.9443095383640401</c:v>
                </c:pt>
                <c:pt idx="24">
                  <c:v>-9.8452186562206201</c:v>
                </c:pt>
                <c:pt idx="25">
                  <c:v>-9.7211660180939159</c:v>
                </c:pt>
                <c:pt idx="26">
                  <c:v>-9.4334839456421342</c:v>
                </c:pt>
                <c:pt idx="27">
                  <c:v>-9.3496024680843473</c:v>
                </c:pt>
                <c:pt idx="28">
                  <c:v>-9.2829110410973428</c:v>
                </c:pt>
                <c:pt idx="29">
                  <c:v>-9.220390713248289</c:v>
                </c:pt>
                <c:pt idx="30">
                  <c:v>-8.9479761441884769</c:v>
                </c:pt>
                <c:pt idx="31">
                  <c:v>-8.9102357397894156</c:v>
                </c:pt>
                <c:pt idx="32">
                  <c:v>-8.866750648986077</c:v>
                </c:pt>
                <c:pt idx="33">
                  <c:v>-8.7466063909820111</c:v>
                </c:pt>
                <c:pt idx="34">
                  <c:v>-8.7403367650821906</c:v>
                </c:pt>
                <c:pt idx="35">
                  <c:v>-8.611503891192358</c:v>
                </c:pt>
                <c:pt idx="36">
                  <c:v>-8.6005747984116585</c:v>
                </c:pt>
                <c:pt idx="37">
                  <c:v>-8.4973905828195537</c:v>
                </c:pt>
                <c:pt idx="38">
                  <c:v>-8.4876343880173195</c:v>
                </c:pt>
                <c:pt idx="39">
                  <c:v>-8.4684030584682866</c:v>
                </c:pt>
                <c:pt idx="40">
                  <c:v>-8.3687732150726202</c:v>
                </c:pt>
                <c:pt idx="41">
                  <c:v>-8.3474504022423535</c:v>
                </c:pt>
                <c:pt idx="42">
                  <c:v>-8.2625510257165296</c:v>
                </c:pt>
                <c:pt idx="43">
                  <c:v>-8.1878894545650862</c:v>
                </c:pt>
                <c:pt idx="44">
                  <c:v>-8.18072095053755</c:v>
                </c:pt>
                <c:pt idx="45">
                  <c:v>-8.163021390243971</c:v>
                </c:pt>
                <c:pt idx="46">
                  <c:v>-8.0854107804093029</c:v>
                </c:pt>
                <c:pt idx="47">
                  <c:v>-8.0164178637673178</c:v>
                </c:pt>
                <c:pt idx="48">
                  <c:v>-8.0103756271085853</c:v>
                </c:pt>
                <c:pt idx="49">
                  <c:v>-7.9433927987109323</c:v>
                </c:pt>
                <c:pt idx="50">
                  <c:v>-7.888584531993863</c:v>
                </c:pt>
                <c:pt idx="51">
                  <c:v>-7.8832653597652929</c:v>
                </c:pt>
                <c:pt idx="52">
                  <c:v>-7.8340963521283973</c:v>
                </c:pt>
                <c:pt idx="53">
                  <c:v>-7.6069205141181744</c:v>
                </c:pt>
                <c:pt idx="54">
                  <c:v>-7.5578429417637203</c:v>
                </c:pt>
                <c:pt idx="55">
                  <c:v>-7.4893610575125944</c:v>
                </c:pt>
                <c:pt idx="56">
                  <c:v>-7.4507598519968807</c:v>
                </c:pt>
                <c:pt idx="57">
                  <c:v>-7.3761602074306341</c:v>
                </c:pt>
                <c:pt idx="58">
                  <c:v>-7.3777589082278725</c:v>
                </c:pt>
                <c:pt idx="59">
                  <c:v>-7.3400778581588826</c:v>
                </c:pt>
                <c:pt idx="60">
                  <c:v>-7.2730385892124465</c:v>
                </c:pt>
                <c:pt idx="61">
                  <c:v>-7.2238368638932782</c:v>
                </c:pt>
                <c:pt idx="62">
                  <c:v>-7.1574995322933024</c:v>
                </c:pt>
                <c:pt idx="63">
                  <c:v>-7.1321495811647937</c:v>
                </c:pt>
                <c:pt idx="64">
                  <c:v>-7.0856864726626529</c:v>
                </c:pt>
                <c:pt idx="65">
                  <c:v>-7.0574160518750899</c:v>
                </c:pt>
                <c:pt idx="66">
                  <c:v>-7.0108960268001201</c:v>
                </c:pt>
                <c:pt idx="67">
                  <c:v>-6.9632680100827562</c:v>
                </c:pt>
                <c:pt idx="68">
                  <c:v>-6.9392459647730043</c:v>
                </c:pt>
                <c:pt idx="69">
                  <c:v>-6.9147799232112135</c:v>
                </c:pt>
                <c:pt idx="70">
                  <c:v>-6.8188290200535739</c:v>
                </c:pt>
                <c:pt idx="71">
                  <c:v>-6.8015950934451945</c:v>
                </c:pt>
                <c:pt idx="72">
                  <c:v>-6.7688632377853279</c:v>
                </c:pt>
                <c:pt idx="73">
                  <c:v>-6.7354840885464151</c:v>
                </c:pt>
                <c:pt idx="74">
                  <c:v>-6.6974943797752218</c:v>
                </c:pt>
                <c:pt idx="75">
                  <c:v>-6.6798231775271582</c:v>
                </c:pt>
                <c:pt idx="76">
                  <c:v>-6.6774375686115723</c:v>
                </c:pt>
                <c:pt idx="77">
                  <c:v>-6.6616767220859634</c:v>
                </c:pt>
                <c:pt idx="78">
                  <c:v>-6.6469306775989372</c:v>
                </c:pt>
                <c:pt idx="79">
                  <c:v>-6.6308814009087866</c:v>
                </c:pt>
                <c:pt idx="80">
                  <c:v>-6.6165792730849127</c:v>
                </c:pt>
                <c:pt idx="81">
                  <c:v>-6.5988010796572318</c:v>
                </c:pt>
                <c:pt idx="82">
                  <c:v>-6.5827774624418476</c:v>
                </c:pt>
                <c:pt idx="83">
                  <c:v>-6.5578028599699119</c:v>
                </c:pt>
                <c:pt idx="84">
                  <c:v>-6.5410310276089758</c:v>
                </c:pt>
                <c:pt idx="85">
                  <c:v>-6.4883872475218389</c:v>
                </c:pt>
                <c:pt idx="86">
                  <c:v>-6.4746749679699818</c:v>
                </c:pt>
                <c:pt idx="87">
                  <c:v>-6.4496977394542965</c:v>
                </c:pt>
                <c:pt idx="88">
                  <c:v>-6.416112480465789</c:v>
                </c:pt>
                <c:pt idx="89">
                  <c:v>-6.3210803551321026</c:v>
                </c:pt>
                <c:pt idx="90">
                  <c:v>-6.3067233868071515</c:v>
                </c:pt>
                <c:pt idx="91">
                  <c:v>-6.2931103389558301</c:v>
                </c:pt>
                <c:pt idx="92">
                  <c:v>-6.291489143788036</c:v>
                </c:pt>
                <c:pt idx="93">
                  <c:v>-6.2807479121344452</c:v>
                </c:pt>
                <c:pt idx="94">
                  <c:v>-6.2690642560209122</c:v>
                </c:pt>
                <c:pt idx="95">
                  <c:v>-6.2533489138511325</c:v>
                </c:pt>
                <c:pt idx="96">
                  <c:v>-6.2419793055097728</c:v>
                </c:pt>
                <c:pt idx="97">
                  <c:v>-6.2307374527304091</c:v>
                </c:pt>
                <c:pt idx="98">
                  <c:v>-6.2116125685243126</c:v>
                </c:pt>
                <c:pt idx="99">
                  <c:v>-6.1928466504985034</c:v>
                </c:pt>
                <c:pt idx="100">
                  <c:v>-6.1908915243074256</c:v>
                </c:pt>
                <c:pt idx="101">
                  <c:v>-6.170112820224479</c:v>
                </c:pt>
                <c:pt idx="102">
                  <c:v>-6.1587004619747985</c:v>
                </c:pt>
                <c:pt idx="103">
                  <c:v>-6.150225887780234</c:v>
                </c:pt>
                <c:pt idx="104">
                  <c:v>-6.1311864788776322</c:v>
                </c:pt>
                <c:pt idx="105">
                  <c:v>-6.1211177101699494</c:v>
                </c:pt>
                <c:pt idx="106">
                  <c:v>-6.0853357526617344</c:v>
                </c:pt>
                <c:pt idx="107">
                  <c:v>-6.0640352194336904</c:v>
                </c:pt>
                <c:pt idx="108">
                  <c:v>-6.0533399914079551</c:v>
                </c:pt>
                <c:pt idx="109">
                  <c:v>-6.034789649538185</c:v>
                </c:pt>
                <c:pt idx="110">
                  <c:v>-5.9791408373596804</c:v>
                </c:pt>
                <c:pt idx="111">
                  <c:v>-5.9654070187352204</c:v>
                </c:pt>
                <c:pt idx="112">
                  <c:v>-5.9572564170660387</c:v>
                </c:pt>
                <c:pt idx="113">
                  <c:v>-5.9499388207728687</c:v>
                </c:pt>
                <c:pt idx="114">
                  <c:v>-5.9328183430414576</c:v>
                </c:pt>
                <c:pt idx="115">
                  <c:v>-5.9260514421473829</c:v>
                </c:pt>
                <c:pt idx="116">
                  <c:v>-5.9178424129076728</c:v>
                </c:pt>
                <c:pt idx="117">
                  <c:v>-5.9082269457299068</c:v>
                </c:pt>
                <c:pt idx="118">
                  <c:v>-5.9016238814643796</c:v>
                </c:pt>
                <c:pt idx="119">
                  <c:v>-5.8867442280925575</c:v>
                </c:pt>
                <c:pt idx="120">
                  <c:v>-5.8735037623573252</c:v>
                </c:pt>
                <c:pt idx="121">
                  <c:v>-5.856584043580658</c:v>
                </c:pt>
                <c:pt idx="122">
                  <c:v>-5.8492707919938347</c:v>
                </c:pt>
                <c:pt idx="123">
                  <c:v>-5.8416661669131758</c:v>
                </c:pt>
                <c:pt idx="124">
                  <c:v>-5.825950092466436</c:v>
                </c:pt>
                <c:pt idx="125">
                  <c:v>-5.8114790399152572</c:v>
                </c:pt>
                <c:pt idx="126">
                  <c:v>-5.7955689066651477</c:v>
                </c:pt>
                <c:pt idx="127">
                  <c:v>-5.7644883230208581</c:v>
                </c:pt>
                <c:pt idx="128">
                  <c:v>-5.7530777357240419</c:v>
                </c:pt>
                <c:pt idx="129">
                  <c:v>-5.7464812273978163</c:v>
                </c:pt>
                <c:pt idx="130">
                  <c:v>-5.7408615161515204</c:v>
                </c:pt>
                <c:pt idx="131">
                  <c:v>-5.7014850916300741</c:v>
                </c:pt>
                <c:pt idx="132">
                  <c:v>-5.6866304062765805</c:v>
                </c:pt>
                <c:pt idx="133">
                  <c:v>-5.6743207389493318</c:v>
                </c:pt>
                <c:pt idx="134">
                  <c:v>-5.6734472432190142</c:v>
                </c:pt>
                <c:pt idx="135">
                  <c:v>-5.6719931566011992</c:v>
                </c:pt>
                <c:pt idx="136">
                  <c:v>-5.6659088530806674</c:v>
                </c:pt>
                <c:pt idx="137">
                  <c:v>-5.6647540645760168</c:v>
                </c:pt>
                <c:pt idx="138">
                  <c:v>-5.6592872648712769</c:v>
                </c:pt>
                <c:pt idx="139">
                  <c:v>-5.6587135145705529</c:v>
                </c:pt>
                <c:pt idx="140">
                  <c:v>-5.6532794805145636</c:v>
                </c:pt>
                <c:pt idx="141">
                  <c:v>-5.6475911885151993</c:v>
                </c:pt>
                <c:pt idx="142">
                  <c:v>-5.6298816705367676</c:v>
                </c:pt>
                <c:pt idx="143">
                  <c:v>-5.62848946249348</c:v>
                </c:pt>
                <c:pt idx="144">
                  <c:v>-5.6270992562448381</c:v>
                </c:pt>
                <c:pt idx="145">
                  <c:v>-5.6201768708016111</c:v>
                </c:pt>
                <c:pt idx="146">
                  <c:v>-5.6083813748089257</c:v>
                </c:pt>
                <c:pt idx="147">
                  <c:v>-5.6021288054228018</c:v>
                </c:pt>
                <c:pt idx="148">
                  <c:v>-5.6021288054228018</c:v>
                </c:pt>
                <c:pt idx="149">
                  <c:v>-5.5889370610518867</c:v>
                </c:pt>
                <c:pt idx="150">
                  <c:v>-5.5769736489628645</c:v>
                </c:pt>
                <c:pt idx="151">
                  <c:v>-5.571965057057545</c:v>
                </c:pt>
                <c:pt idx="152">
                  <c:v>-5.5654127874539814</c:v>
                </c:pt>
                <c:pt idx="153">
                  <c:v>-5.5560523414061951</c:v>
                </c:pt>
                <c:pt idx="154">
                  <c:v>-5.5496032395028339</c:v>
                </c:pt>
                <c:pt idx="155">
                  <c:v>-5.5444737126647041</c:v>
                </c:pt>
                <c:pt idx="156">
                  <c:v>-5.5493460943841297</c:v>
                </c:pt>
                <c:pt idx="157">
                  <c:v>-5.5317637829151733</c:v>
                </c:pt>
                <c:pt idx="158">
                  <c:v>-5.5207112532903979</c:v>
                </c:pt>
                <c:pt idx="159">
                  <c:v>-5.5159760284153618</c:v>
                </c:pt>
                <c:pt idx="160">
                  <c:v>-5.515230344417839</c:v>
                </c:pt>
                <c:pt idx="161">
                  <c:v>-5.5095323818645126</c:v>
                </c:pt>
                <c:pt idx="162">
                  <c:v>-5.4994547825575353</c:v>
                </c:pt>
                <c:pt idx="163">
                  <c:v>-5.4772047709519995</c:v>
                </c:pt>
                <c:pt idx="164">
                  <c:v>-5.4655532814148513</c:v>
                </c:pt>
                <c:pt idx="165">
                  <c:v>-5.4540359870135857</c:v>
                </c:pt>
                <c:pt idx="166">
                  <c:v>-5.4533350736698889</c:v>
                </c:pt>
                <c:pt idx="167">
                  <c:v>-5.4472814993216909</c:v>
                </c:pt>
                <c:pt idx="168">
                  <c:v>-5.4387295685520902</c:v>
                </c:pt>
                <c:pt idx="169">
                  <c:v>-5.4295656009614488</c:v>
                </c:pt>
                <c:pt idx="170">
                  <c:v>-5.4288817339611111</c:v>
                </c:pt>
                <c:pt idx="171">
                  <c:v>-5.4238806241238118</c:v>
                </c:pt>
                <c:pt idx="172">
                  <c:v>-5.4117100034848624</c:v>
                </c:pt>
                <c:pt idx="173">
                  <c:v>-5.402567362518746</c:v>
                </c:pt>
                <c:pt idx="174">
                  <c:v>-5.3976958214828237</c:v>
                </c:pt>
                <c:pt idx="175">
                  <c:v>-5.3928478973547129</c:v>
                </c:pt>
                <c:pt idx="176">
                  <c:v>-5.387804527209048</c:v>
                </c:pt>
                <c:pt idx="177">
                  <c:v>-5.3834396183034192</c:v>
                </c:pt>
                <c:pt idx="178">
                  <c:v>-5.3693838010566557</c:v>
                </c:pt>
                <c:pt idx="179">
                  <c:v>-5.3557345962085918</c:v>
                </c:pt>
                <c:pt idx="180">
                  <c:v>-5.3308405267271732</c:v>
                </c:pt>
                <c:pt idx="181">
                  <c:v>-5.3226100356660737</c:v>
                </c:pt>
                <c:pt idx="182">
                  <c:v>-5.3181120039927112</c:v>
                </c:pt>
                <c:pt idx="183">
                  <c:v>-5.3177041200198341</c:v>
                </c:pt>
                <c:pt idx="184">
                  <c:v>-5.312213424549614</c:v>
                </c:pt>
                <c:pt idx="185">
                  <c:v>-5.3001189533361659</c:v>
                </c:pt>
                <c:pt idx="186">
                  <c:v>-5.2897540920143715</c:v>
                </c:pt>
                <c:pt idx="187">
                  <c:v>-5.2806738871492405</c:v>
                </c:pt>
                <c:pt idx="188">
                  <c:v>-5.2730396017658245</c:v>
                </c:pt>
                <c:pt idx="189">
                  <c:v>-5.2726495974912879</c:v>
                </c:pt>
                <c:pt idx="190">
                  <c:v>-5.2631433106912091</c:v>
                </c:pt>
                <c:pt idx="191">
                  <c:v>-5.2472440804150926</c:v>
                </c:pt>
                <c:pt idx="192">
                  <c:v>-5.243639779252967</c:v>
                </c:pt>
                <c:pt idx="193">
                  <c:v>-5.2353426032054022</c:v>
                </c:pt>
                <c:pt idx="194">
                  <c:v>-5.2265549598450223</c:v>
                </c:pt>
                <c:pt idx="195">
                  <c:v>-5.2220973576034053</c:v>
                </c:pt>
                <c:pt idx="196">
                  <c:v>-5.2136086547434717</c:v>
                </c:pt>
                <c:pt idx="197">
                  <c:v>-5.18784989371078</c:v>
                </c:pt>
                <c:pt idx="198">
                  <c:v>-5.181779544867978</c:v>
                </c:pt>
                <c:pt idx="199">
                  <c:v>-5.176985084759341</c:v>
                </c:pt>
                <c:pt idx="200">
                  <c:v>-5.1736249165292287</c:v>
                </c:pt>
                <c:pt idx="201">
                  <c:v>-5.1547366664890815</c:v>
                </c:pt>
                <c:pt idx="202">
                  <c:v>-5.1464549877437085</c:v>
                </c:pt>
                <c:pt idx="203">
                  <c:v>-5.1431956911352428</c:v>
                </c:pt>
                <c:pt idx="204">
                  <c:v>-5.1390938753141198</c:v>
                </c:pt>
                <c:pt idx="205">
                  <c:v>-5.1360284563691936</c:v>
                </c:pt>
                <c:pt idx="206">
                  <c:v>-5.1321252246361277</c:v>
                </c:pt>
                <c:pt idx="207">
                  <c:v>-5.1284058098753773</c:v>
                </c:pt>
                <c:pt idx="208">
                  <c:v>-5.1238599732764394</c:v>
                </c:pt>
                <c:pt idx="209">
                  <c:v>-5.1205059569294296</c:v>
                </c:pt>
                <c:pt idx="210">
                  <c:v>-5.1171631524138848</c:v>
                </c:pt>
                <c:pt idx="211">
                  <c:v>-5.1128341375436408</c:v>
                </c:pt>
                <c:pt idx="212">
                  <c:v>-5.1120037606215503</c:v>
                </c:pt>
                <c:pt idx="213">
                  <c:v>-5.1085237822943803</c:v>
                </c:pt>
                <c:pt idx="214">
                  <c:v>-5.1055505185461874</c:v>
                </c:pt>
                <c:pt idx="215">
                  <c:v>-5.1024217261052023</c:v>
                </c:pt>
                <c:pt idx="216">
                  <c:v>-5.0991386539280352</c:v>
                </c:pt>
                <c:pt idx="217">
                  <c:v>-5.0950500688975886</c:v>
                </c:pt>
                <c:pt idx="218">
                  <c:v>-5.0753338164366566</c:v>
                </c:pt>
                <c:pt idx="219">
                  <c:v>-5.0721384181712814</c:v>
                </c:pt>
                <c:pt idx="220">
                  <c:v>-5.0691122068686667</c:v>
                </c:pt>
                <c:pt idx="221">
                  <c:v>-5.0659365959723344</c:v>
                </c:pt>
                <c:pt idx="222">
                  <c:v>-5.048960425660165</c:v>
                </c:pt>
                <c:pt idx="223">
                  <c:v>-5.0484929134754921</c:v>
                </c:pt>
                <c:pt idx="224">
                  <c:v>-5.0452267299807101</c:v>
                </c:pt>
                <c:pt idx="225">
                  <c:v>-5.0387261936834866</c:v>
                </c:pt>
                <c:pt idx="226">
                  <c:v>-5.0356454793948711</c:v>
                </c:pt>
                <c:pt idx="227">
                  <c:v>-5.0267646847487706</c:v>
                </c:pt>
                <c:pt idx="228">
                  <c:v>-5.0197769600979711</c:v>
                </c:pt>
                <c:pt idx="229">
                  <c:v>-5.0153965767018338</c:v>
                </c:pt>
                <c:pt idx="230">
                  <c:v>-5.0074403729696293</c:v>
                </c:pt>
                <c:pt idx="231">
                  <c:v>-5.0035603469022298</c:v>
                </c:pt>
                <c:pt idx="232">
                  <c:v>-4.9999921464530059</c:v>
                </c:pt>
                <c:pt idx="233">
                  <c:v>-4.9971762789285386</c:v>
                </c:pt>
                <c:pt idx="234">
                  <c:v>-4.9942207601457147</c:v>
                </c:pt>
                <c:pt idx="235">
                  <c:v>-4.9883357994719653</c:v>
                </c:pt>
                <c:pt idx="236">
                  <c:v>-4.9823394538659143</c:v>
                </c:pt>
                <c:pt idx="237">
                  <c:v>-4.9795727897231785</c:v>
                </c:pt>
                <c:pt idx="238">
                  <c:v>-4.9742069325170863</c:v>
                </c:pt>
                <c:pt idx="239">
                  <c:v>-4.9632747554806018</c:v>
                </c:pt>
                <c:pt idx="240">
                  <c:v>-4.960274912449135</c:v>
                </c:pt>
                <c:pt idx="241">
                  <c:v>-4.9569997563191208</c:v>
                </c:pt>
                <c:pt idx="242">
                  <c:v>-4.951329204915786</c:v>
                </c:pt>
                <c:pt idx="243">
                  <c:v>-4.9398040941449013</c:v>
                </c:pt>
                <c:pt idx="244">
                  <c:v>-4.9340910027461904</c:v>
                </c:pt>
                <c:pt idx="245">
                  <c:v>-4.9299312339552346</c:v>
                </c:pt>
                <c:pt idx="246">
                  <c:v>-4.9295162401733599</c:v>
                </c:pt>
                <c:pt idx="247">
                  <c:v>-4.9235864503288083</c:v>
                </c:pt>
                <c:pt idx="248">
                  <c:v>-4.9178282366877033</c:v>
                </c:pt>
                <c:pt idx="249">
                  <c:v>-4.9097949693411564</c:v>
                </c:pt>
                <c:pt idx="250">
                  <c:v>-4.9066807885518804</c:v>
                </c:pt>
                <c:pt idx="251">
                  <c:v>-4.9039806409149849</c:v>
                </c:pt>
                <c:pt idx="252">
                  <c:v>-4.8984679726739566</c:v>
                </c:pt>
                <c:pt idx="253">
                  <c:v>-4.8955224844458192</c:v>
                </c:pt>
                <c:pt idx="254">
                  <c:v>-4.8877983699674505</c:v>
                </c:pt>
                <c:pt idx="255">
                  <c:v>-4.8874004944315939</c:v>
                </c:pt>
                <c:pt idx="256">
                  <c:v>-4.8780293310516614</c:v>
                </c:pt>
                <c:pt idx="257">
                  <c:v>-4.877635322691722</c:v>
                </c:pt>
                <c:pt idx="258">
                  <c:v>-4.8716127848257518</c:v>
                </c:pt>
                <c:pt idx="259">
                  <c:v>-4.8661454066973073</c:v>
                </c:pt>
                <c:pt idx="260">
                  <c:v>-4.8538880065217311</c:v>
                </c:pt>
                <c:pt idx="261">
                  <c:v>-4.8508149992349976</c:v>
                </c:pt>
                <c:pt idx="262">
                  <c:v>-4.8449513745766284</c:v>
                </c:pt>
                <c:pt idx="263">
                  <c:v>-4.8419056656869151</c:v>
                </c:pt>
                <c:pt idx="264">
                  <c:v>-4.8373544853226234</c:v>
                </c:pt>
                <c:pt idx="265">
                  <c:v>-4.8347091592679536</c:v>
                </c:pt>
                <c:pt idx="266">
                  <c:v>-4.8319452991291802</c:v>
                </c:pt>
                <c:pt idx="267">
                  <c:v>-4.8264404500855935</c:v>
                </c:pt>
                <c:pt idx="268">
                  <c:v>-4.8239482987830646</c:v>
                </c:pt>
                <c:pt idx="269">
                  <c:v>-4.8165086588656569</c:v>
                </c:pt>
                <c:pt idx="270">
                  <c:v>-4.8113337069538229</c:v>
                </c:pt>
                <c:pt idx="271">
                  <c:v>-4.8058186398932525</c:v>
                </c:pt>
                <c:pt idx="272">
                  <c:v>-4.8032553295908604</c:v>
                </c:pt>
                <c:pt idx="273">
                  <c:v>-4.7947581073624184</c:v>
                </c:pt>
                <c:pt idx="274">
                  <c:v>-4.788732517718163</c:v>
                </c:pt>
                <c:pt idx="275">
                  <c:v>-4.777620579473127</c:v>
                </c:pt>
                <c:pt idx="276">
                  <c:v>-4.7603047150130795</c:v>
                </c:pt>
                <c:pt idx="277">
                  <c:v>-4.7412190662906415</c:v>
                </c:pt>
                <c:pt idx="278">
                  <c:v>-4.738815917075625</c:v>
                </c:pt>
                <c:pt idx="279">
                  <c:v>-4.7384730498654113</c:v>
                </c:pt>
                <c:pt idx="280">
                  <c:v>-4.736076482794882</c:v>
                </c:pt>
                <c:pt idx="281">
                  <c:v>-4.7233907916150457</c:v>
                </c:pt>
                <c:pt idx="282">
                  <c:v>-4.7188989299455821</c:v>
                </c:pt>
                <c:pt idx="283">
                  <c:v>-4.7183388499195109</c:v>
                </c:pt>
                <c:pt idx="284">
                  <c:v>-4.7139811071577995</c:v>
                </c:pt>
                <c:pt idx="285">
                  <c:v>-4.709087351043622</c:v>
                </c:pt>
                <c:pt idx="286">
                  <c:v>-4.7048800697549957</c:v>
                </c:pt>
                <c:pt idx="287">
                  <c:v>-4.7023420582228939</c:v>
                </c:pt>
                <c:pt idx="288">
                  <c:v>-4.6998105767234684</c:v>
                </c:pt>
                <c:pt idx="289">
                  <c:v>-4.6929091169541648</c:v>
                </c:pt>
                <c:pt idx="290">
                  <c:v>-4.6901835146300517</c:v>
                </c:pt>
                <c:pt idx="291">
                  <c:v>-4.685729712039298</c:v>
                </c:pt>
                <c:pt idx="292">
                  <c:v>-4.6725929080100723</c:v>
                </c:pt>
                <c:pt idx="293">
                  <c:v>-4.6701354339027716</c:v>
                </c:pt>
                <c:pt idx="294">
                  <c:v>-4.6678969947758411</c:v>
                </c:pt>
                <c:pt idx="295">
                  <c:v>-4.6657698397305349</c:v>
                </c:pt>
                <c:pt idx="296">
                  <c:v>-4.6611057836246603</c:v>
                </c:pt>
                <c:pt idx="297">
                  <c:v>-4.6553062891728336</c:v>
                </c:pt>
                <c:pt idx="298">
                  <c:v>-4.6503768195354329</c:v>
                </c:pt>
                <c:pt idx="299">
                  <c:v>-4.6447429126899937</c:v>
                </c:pt>
                <c:pt idx="300">
                  <c:v>-4.641108260368596</c:v>
                </c:pt>
                <c:pt idx="301">
                  <c:v>-4.634702026312838</c:v>
                </c:pt>
                <c:pt idx="302">
                  <c:v>-4.6280294629614014</c:v>
                </c:pt>
                <c:pt idx="303">
                  <c:v>-4.6211979873791318</c:v>
                </c:pt>
                <c:pt idx="304">
                  <c:v>-4.6117920607609619</c:v>
                </c:pt>
                <c:pt idx="305">
                  <c:v>-4.6075730874294498</c:v>
                </c:pt>
                <c:pt idx="306">
                  <c:v>-4.6052702314282605</c:v>
                </c:pt>
                <c:pt idx="307">
                  <c:v>-4.6016763119394062</c:v>
                </c:pt>
                <c:pt idx="308">
                  <c:v>-4.5987905661365627</c:v>
                </c:pt>
                <c:pt idx="309">
                  <c:v>-4.5772632334770265</c:v>
                </c:pt>
                <c:pt idx="310">
                  <c:v>-4.5719288234264752</c:v>
                </c:pt>
                <c:pt idx="311">
                  <c:v>-4.569609965676098</c:v>
                </c:pt>
                <c:pt idx="312">
                  <c:v>-4.5662379459002027</c:v>
                </c:pt>
                <c:pt idx="313">
                  <c:v>-4.5544770281589146</c:v>
                </c:pt>
                <c:pt idx="314">
                  <c:v>-4.5490734783742761</c:v>
                </c:pt>
                <c:pt idx="315">
                  <c:v>-4.5422892721871575</c:v>
                </c:pt>
                <c:pt idx="316">
                  <c:v>-4.5404129695220865</c:v>
                </c:pt>
                <c:pt idx="317">
                  <c:v>-4.5237745871688784</c:v>
                </c:pt>
                <c:pt idx="318">
                  <c:v>-4.5222086863397175</c:v>
                </c:pt>
                <c:pt idx="319">
                  <c:v>-4.519267728281763</c:v>
                </c:pt>
                <c:pt idx="320">
                  <c:v>-4.5154208819878514</c:v>
                </c:pt>
                <c:pt idx="321">
                  <c:v>-4.5087696840806988</c:v>
                </c:pt>
                <c:pt idx="322">
                  <c:v>-4.4966745980487435</c:v>
                </c:pt>
                <c:pt idx="323">
                  <c:v>-4.4899682814564885</c:v>
                </c:pt>
                <c:pt idx="324">
                  <c:v>-4.4878317037479061</c:v>
                </c:pt>
                <c:pt idx="325">
                  <c:v>-4.4820679517527209</c:v>
                </c:pt>
                <c:pt idx="326">
                  <c:v>-4.4803894273375429</c:v>
                </c:pt>
                <c:pt idx="327">
                  <c:v>-4.4785375014450608</c:v>
                </c:pt>
                <c:pt idx="328">
                  <c:v>-4.4752829177835718</c:v>
                </c:pt>
                <c:pt idx="329">
                  <c:v>-4.4721263828428288</c:v>
                </c:pt>
                <c:pt idx="330">
                  <c:v>-4.4702023522421594</c:v>
                </c:pt>
                <c:pt idx="331">
                  <c:v>-4.4668004987858678</c:v>
                </c:pt>
                <c:pt idx="332">
                  <c:v>-4.4666263712261545</c:v>
                </c:pt>
                <c:pt idx="333">
                  <c:v>-4.4646259562426422</c:v>
                </c:pt>
                <c:pt idx="334">
                  <c:v>-4.4566639921571634</c:v>
                </c:pt>
                <c:pt idx="335">
                  <c:v>-4.4527925134285091</c:v>
                </c:pt>
                <c:pt idx="336">
                  <c:v>-4.4491070392606273</c:v>
                </c:pt>
                <c:pt idx="337">
                  <c:v>-4.4450942329407743</c:v>
                </c:pt>
                <c:pt idx="338">
                  <c:v>-4.4332356880323003</c:v>
                </c:pt>
                <c:pt idx="339">
                  <c:v>-4.4297893422385348</c:v>
                </c:pt>
                <c:pt idx="340">
                  <c:v>-4.4279449157553543</c:v>
                </c:pt>
                <c:pt idx="341">
                  <c:v>-4.4238491365283297</c:v>
                </c:pt>
                <c:pt idx="342">
                  <c:v>-4.4202686155161457</c:v>
                </c:pt>
                <c:pt idx="343">
                  <c:v>-4.4152939376019127</c:v>
                </c:pt>
                <c:pt idx="344">
                  <c:v>-4.4117438639235527</c:v>
                </c:pt>
                <c:pt idx="345">
                  <c:v>-4.4060734502055725</c:v>
                </c:pt>
                <c:pt idx="346">
                  <c:v>-4.4058276179825606</c:v>
                </c:pt>
                <c:pt idx="347">
                  <c:v>-4.4007610613372483</c:v>
                </c:pt>
                <c:pt idx="348">
                  <c:v>-4.3975058531358533</c:v>
                </c:pt>
                <c:pt idx="349">
                  <c:v>-4.3857937157292257</c:v>
                </c:pt>
                <c:pt idx="350">
                  <c:v>-4.3840286067658214</c:v>
                </c:pt>
                <c:pt idx="351">
                  <c:v>-4.3821866358767112</c:v>
                </c:pt>
                <c:pt idx="352">
                  <c:v>-4.3781143148770756</c:v>
                </c:pt>
                <c:pt idx="353">
                  <c:v>-4.3645011299987404</c:v>
                </c:pt>
                <c:pt idx="354">
                  <c:v>-4.360578310636809</c:v>
                </c:pt>
                <c:pt idx="355">
                  <c:v>-4.3574511122319288</c:v>
                </c:pt>
                <c:pt idx="356">
                  <c:v>-4.3507605285457771</c:v>
                </c:pt>
                <c:pt idx="357">
                  <c:v>-4.3434984554610283</c:v>
                </c:pt>
                <c:pt idx="358">
                  <c:v>-4.3414990682589494</c:v>
                </c:pt>
                <c:pt idx="359">
                  <c:v>-4.3375122466863445</c:v>
                </c:pt>
                <c:pt idx="360">
                  <c:v>-4.3310293626427683</c:v>
                </c:pt>
                <c:pt idx="361">
                  <c:v>-4.3248148843114684</c:v>
                </c:pt>
                <c:pt idx="362">
                  <c:v>-4.3199160855699663</c:v>
                </c:pt>
                <c:pt idx="363">
                  <c:v>-4.3172131593505396</c:v>
                </c:pt>
                <c:pt idx="364">
                  <c:v>-4.3142184755050863</c:v>
                </c:pt>
                <c:pt idx="365">
                  <c:v>-4.3101153472788676</c:v>
                </c:pt>
                <c:pt idx="366">
                  <c:v>-4.3071418124211283</c:v>
                </c:pt>
                <c:pt idx="367">
                  <c:v>-4.3040290983685967</c:v>
                </c:pt>
                <c:pt idx="368">
                  <c:v>-4.3022547250059668</c:v>
                </c:pt>
                <c:pt idx="369">
                  <c:v>-4.2983474991994575</c:v>
                </c:pt>
                <c:pt idx="370">
                  <c:v>-4.2916741669332517</c:v>
                </c:pt>
                <c:pt idx="371">
                  <c:v>-4.2889735556482487</c:v>
                </c:pt>
                <c:pt idx="372">
                  <c:v>-4.2857714807995428</c:v>
                </c:pt>
                <c:pt idx="373">
                  <c:v>-4.2840291813743088</c:v>
                </c:pt>
                <c:pt idx="374">
                  <c:v>-4.2757225335711357</c:v>
                </c:pt>
                <c:pt idx="375">
                  <c:v>-4.2724191534506648</c:v>
                </c:pt>
                <c:pt idx="376">
                  <c:v>-4.2709862503898099</c:v>
                </c:pt>
                <c:pt idx="377">
                  <c:v>-4.2692695679839829</c:v>
                </c:pt>
                <c:pt idx="378">
                  <c:v>-4.267841167657509</c:v>
                </c:pt>
                <c:pt idx="379">
                  <c:v>-4.2649193508323409</c:v>
                </c:pt>
                <c:pt idx="380">
                  <c:v>-4.2635683035348215</c:v>
                </c:pt>
                <c:pt idx="381">
                  <c:v>-4.2585355017583186</c:v>
                </c:pt>
                <c:pt idx="382">
                  <c:v>-4.2533872160369697</c:v>
                </c:pt>
                <c:pt idx="383">
                  <c:v>-4.2413607854946802</c:v>
                </c:pt>
                <c:pt idx="384">
                  <c:v>-4.2327105115612378</c:v>
                </c:pt>
                <c:pt idx="385">
                  <c:v>-4.2229054616802006</c:v>
                </c:pt>
                <c:pt idx="386">
                  <c:v>-4.2199077981726099</c:v>
                </c:pt>
                <c:pt idx="387">
                  <c:v>-4.2185481475408633</c:v>
                </c:pt>
                <c:pt idx="388">
                  <c:v>-4.2157667331354682</c:v>
                </c:pt>
                <c:pt idx="389">
                  <c:v>-4.2096880872353761</c:v>
                </c:pt>
                <c:pt idx="390">
                  <c:v>-4.206662564593552</c:v>
                </c:pt>
                <c:pt idx="391">
                  <c:v>-4.2026426999319932</c:v>
                </c:pt>
                <c:pt idx="392">
                  <c:v>-4.2008390671604214</c:v>
                </c:pt>
                <c:pt idx="393">
                  <c:v>-4.1949165910137287</c:v>
                </c:pt>
                <c:pt idx="394">
                  <c:v>-4.192001481886261</c:v>
                </c:pt>
                <c:pt idx="395">
                  <c:v>-4.1880400699776201</c:v>
                </c:pt>
                <c:pt idx="396">
                  <c:v>-4.1856049339424519</c:v>
                </c:pt>
                <c:pt idx="397">
                  <c:v>-4.1821271590994851</c:v>
                </c:pt>
                <c:pt idx="398">
                  <c:v>-4.1783350287437413</c:v>
                </c:pt>
                <c:pt idx="399">
                  <c:v>-4.1735176634861446</c:v>
                </c:pt>
                <c:pt idx="400">
                  <c:v>-4.1574760536708322</c:v>
                </c:pt>
                <c:pt idx="401">
                  <c:v>-4.1524398960860101</c:v>
                </c:pt>
                <c:pt idx="402">
                  <c:v>-4.1504705699389932</c:v>
                </c:pt>
                <c:pt idx="403">
                  <c:v>-4.146227481441171</c:v>
                </c:pt>
                <c:pt idx="404">
                  <c:v>-4.1403047206989694</c:v>
                </c:pt>
                <c:pt idx="405">
                  <c:v>-4.1381083753590957</c:v>
                </c:pt>
                <c:pt idx="406">
                  <c:v>-4.1352290839695112</c:v>
                </c:pt>
                <c:pt idx="407">
                  <c:v>-4.1300545993132198</c:v>
                </c:pt>
                <c:pt idx="408">
                  <c:v>-4.1232380207446218</c:v>
                </c:pt>
                <c:pt idx="409">
                  <c:v>-4.1188626600117662</c:v>
                </c:pt>
                <c:pt idx="410">
                  <c:v>-4.1129771200746514</c:v>
                </c:pt>
                <c:pt idx="411">
                  <c:v>-4.1081595679645648</c:v>
                </c:pt>
                <c:pt idx="412">
                  <c:v>-4.1036072999317774</c:v>
                </c:pt>
                <c:pt idx="413">
                  <c:v>-4.0988949232331908</c:v>
                </c:pt>
                <c:pt idx="414">
                  <c:v>-4.093065397182146</c:v>
                </c:pt>
                <c:pt idx="415">
                  <c:v>-4.0862573493150203</c:v>
                </c:pt>
                <c:pt idx="416">
                  <c:v>-4.078313696497319</c:v>
                </c:pt>
                <c:pt idx="417">
                  <c:v>-4.0770745078642534</c:v>
                </c:pt>
                <c:pt idx="418">
                  <c:v>-4.0711359439878345</c:v>
                </c:pt>
                <c:pt idx="419">
                  <c:v>-4.0687938063661697</c:v>
                </c:pt>
                <c:pt idx="420">
                  <c:v>-4.0593635800660328</c:v>
                </c:pt>
                <c:pt idx="421">
                  <c:v>-4.0388909011238123</c:v>
                </c:pt>
                <c:pt idx="422">
                  <c:v>-4.0345861530054581</c:v>
                </c:pt>
                <c:pt idx="423">
                  <c:v>-4.0315388060462301</c:v>
                </c:pt>
                <c:pt idx="424">
                  <c:v>-4.0299060984468182</c:v>
                </c:pt>
                <c:pt idx="425">
                  <c:v>-4.0162175395263366</c:v>
                </c:pt>
                <c:pt idx="426">
                  <c:v>-4.0133361696614962</c:v>
                </c:pt>
                <c:pt idx="427">
                  <c:v>-4.0143879647763754</c:v>
                </c:pt>
                <c:pt idx="428">
                  <c:v>-4.0091948776629476</c:v>
                </c:pt>
                <c:pt idx="429">
                  <c:v>-4.0079283883469436</c:v>
                </c:pt>
                <c:pt idx="430">
                  <c:v>-4.0054001068654275</c:v>
                </c:pt>
                <c:pt idx="431">
                  <c:v>-4.0028780970361382</c:v>
                </c:pt>
                <c:pt idx="432">
                  <c:v>-4.0047415414089871</c:v>
                </c:pt>
                <c:pt idx="433">
                  <c:v>-3.998180151152519</c:v>
                </c:pt>
                <c:pt idx="434">
                  <c:v>-3.9942096283751756</c:v>
                </c:pt>
                <c:pt idx="435">
                  <c:v>-3.9929619644786758</c:v>
                </c:pt>
                <c:pt idx="436">
                  <c:v>-3.988202301120459</c:v>
                </c:pt>
                <c:pt idx="437">
                  <c:v>-3.9855080848372357</c:v>
                </c:pt>
                <c:pt idx="438">
                  <c:v>-3.9826064735515825</c:v>
                </c:pt>
                <c:pt idx="439">
                  <c:v>-3.97800258718144</c:v>
                </c:pt>
                <c:pt idx="440">
                  <c:v>-3.9733134300684476</c:v>
                </c:pt>
                <c:pt idx="441">
                  <c:v>-3.9708180624574925</c:v>
                </c:pt>
                <c:pt idx="442">
                  <c:v>-3.9682759397151606</c:v>
                </c:pt>
                <c:pt idx="443">
                  <c:v>-3.9651600957955115</c:v>
                </c:pt>
                <c:pt idx="444">
                  <c:v>-3.9638953979641092</c:v>
                </c:pt>
                <c:pt idx="445">
                  <c:v>-3.9602682884320881</c:v>
                </c:pt>
                <c:pt idx="446">
                  <c:v>-3.9511797023809989</c:v>
                </c:pt>
                <c:pt idx="447">
                  <c:v>-3.9412458751029384</c:v>
                </c:pt>
                <c:pt idx="448">
                  <c:v>-3.9370844790500956</c:v>
                </c:pt>
                <c:pt idx="449">
                  <c:v>-3.9355987216472124</c:v>
                </c:pt>
                <c:pt idx="450">
                  <c:v>-3.9334509419292716</c:v>
                </c:pt>
                <c:pt idx="451">
                  <c:v>-3.9286606427024759</c:v>
                </c:pt>
                <c:pt idx="452">
                  <c:v>-3.9236908280493745</c:v>
                </c:pt>
                <c:pt idx="453">
                  <c:v>-3.9237413883472203</c:v>
                </c:pt>
                <c:pt idx="454">
                  <c:v>-3.9165833682573847</c:v>
                </c:pt>
                <c:pt idx="455">
                  <c:v>-3.9084294448313281</c:v>
                </c:pt>
                <c:pt idx="456">
                  <c:v>-3.9047495260061083</c:v>
                </c:pt>
                <c:pt idx="457">
                  <c:v>-3.8919262969991841</c:v>
                </c:pt>
                <c:pt idx="458">
                  <c:v>-3.889772359185772</c:v>
                </c:pt>
                <c:pt idx="459">
                  <c:v>-3.8884530089385745</c:v>
                </c:pt>
                <c:pt idx="460">
                  <c:v>-3.8859167910479733</c:v>
                </c:pt>
                <c:pt idx="461">
                  <c:v>-3.8808150405895891</c:v>
                </c:pt>
                <c:pt idx="462">
                  <c:v>-3.8805727921121735</c:v>
                </c:pt>
                <c:pt idx="463">
                  <c:v>-3.8784915605839712</c:v>
                </c:pt>
                <c:pt idx="464">
                  <c:v>-3.8764145595545201</c:v>
                </c:pt>
                <c:pt idx="465">
                  <c:v>-3.8734274561044453</c:v>
                </c:pt>
                <c:pt idx="466">
                  <c:v>-3.8706412005899149</c:v>
                </c:pt>
                <c:pt idx="467">
                  <c:v>-3.8726099619978549</c:v>
                </c:pt>
                <c:pt idx="468">
                  <c:v>-3.8711210580495163</c:v>
                </c:pt>
                <c:pt idx="469">
                  <c:v>-3.8661896022026645</c:v>
                </c:pt>
                <c:pt idx="470">
                  <c:v>-3.8640903349465017</c:v>
                </c:pt>
                <c:pt idx="471">
                  <c:v>-3.8612823463203281</c:v>
                </c:pt>
                <c:pt idx="472">
                  <c:v>-3.8515866229785938</c:v>
                </c:pt>
                <c:pt idx="473">
                  <c:v>-3.8453929109964418</c:v>
                </c:pt>
                <c:pt idx="474">
                  <c:v>-3.8441307073064848</c:v>
                </c:pt>
                <c:pt idx="475">
                  <c:v>-3.8439905508451346</c:v>
                </c:pt>
                <c:pt idx="476">
                  <c:v>-3.8434768711849339</c:v>
                </c:pt>
                <c:pt idx="477">
                  <c:v>-3.8433835517936439</c:v>
                </c:pt>
                <c:pt idx="478">
                  <c:v>-3.8433368063265734</c:v>
                </c:pt>
                <c:pt idx="479">
                  <c:v>-3.8433368063265734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A-40C5-9814-B36A2013247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0.2"/>
            <c:backward val="0.1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'1'!$B$75:$B$150</c:f>
              <c:numCache>
                <c:formatCode>General</c:formatCode>
                <c:ptCount val="76"/>
                <c:pt idx="0">
                  <c:v>0.371</c:v>
                </c:pt>
                <c:pt idx="1">
                  <c:v>0.374</c:v>
                </c:pt>
                <c:pt idx="2">
                  <c:v>0.377</c:v>
                </c:pt>
                <c:pt idx="3">
                  <c:v>0.38</c:v>
                </c:pt>
                <c:pt idx="4">
                  <c:v>0.38200000000000001</c:v>
                </c:pt>
                <c:pt idx="5">
                  <c:v>0.38800000000000001</c:v>
                </c:pt>
                <c:pt idx="6">
                  <c:v>0.39300000000000002</c:v>
                </c:pt>
                <c:pt idx="7">
                  <c:v>0.39400000000000002</c:v>
                </c:pt>
                <c:pt idx="8">
                  <c:v>0.39600000000000002</c:v>
                </c:pt>
                <c:pt idx="9">
                  <c:v>0.39700000000000002</c:v>
                </c:pt>
                <c:pt idx="10">
                  <c:v>0.40300000000000002</c:v>
                </c:pt>
                <c:pt idx="11">
                  <c:v>0.40700000000000003</c:v>
                </c:pt>
                <c:pt idx="12">
                  <c:v>0.41000000000000003</c:v>
                </c:pt>
                <c:pt idx="13">
                  <c:v>0.41600000000000004</c:v>
                </c:pt>
                <c:pt idx="14">
                  <c:v>0.42</c:v>
                </c:pt>
                <c:pt idx="15">
                  <c:v>0.42399999999999999</c:v>
                </c:pt>
                <c:pt idx="16">
                  <c:v>0.437</c:v>
                </c:pt>
                <c:pt idx="17">
                  <c:v>0.44</c:v>
                </c:pt>
                <c:pt idx="18">
                  <c:v>0.442</c:v>
                </c:pt>
                <c:pt idx="19">
                  <c:v>0.44500000000000001</c:v>
                </c:pt>
                <c:pt idx="20">
                  <c:v>0.45600000000000002</c:v>
                </c:pt>
                <c:pt idx="21">
                  <c:v>0.45800000000000002</c:v>
                </c:pt>
                <c:pt idx="22">
                  <c:v>0.46100000000000002</c:v>
                </c:pt>
                <c:pt idx="23">
                  <c:v>0.46300000000000002</c:v>
                </c:pt>
                <c:pt idx="24">
                  <c:v>0.46400000000000002</c:v>
                </c:pt>
                <c:pt idx="25">
                  <c:v>0.46900000000000003</c:v>
                </c:pt>
                <c:pt idx="26">
                  <c:v>0.47300000000000003</c:v>
                </c:pt>
                <c:pt idx="27">
                  <c:v>0.47500000000000003</c:v>
                </c:pt>
                <c:pt idx="28">
                  <c:v>0.47800000000000004</c:v>
                </c:pt>
                <c:pt idx="29">
                  <c:v>0.48</c:v>
                </c:pt>
                <c:pt idx="30">
                  <c:v>0.48299999999999998</c:v>
                </c:pt>
                <c:pt idx="31">
                  <c:v>0.48499999999999999</c:v>
                </c:pt>
                <c:pt idx="32">
                  <c:v>0.48899999999999999</c:v>
                </c:pt>
                <c:pt idx="33">
                  <c:v>0.49199999999999999</c:v>
                </c:pt>
                <c:pt idx="34">
                  <c:v>0.49199999999999999</c:v>
                </c:pt>
                <c:pt idx="35">
                  <c:v>0.49399999999999999</c:v>
                </c:pt>
                <c:pt idx="36">
                  <c:v>0.497</c:v>
                </c:pt>
                <c:pt idx="37">
                  <c:v>0.5</c:v>
                </c:pt>
                <c:pt idx="38">
                  <c:v>0.502</c:v>
                </c:pt>
                <c:pt idx="39">
                  <c:v>0.504</c:v>
                </c:pt>
                <c:pt idx="40">
                  <c:v>0.50600000000000001</c:v>
                </c:pt>
                <c:pt idx="41">
                  <c:v>0.50800000000000001</c:v>
                </c:pt>
                <c:pt idx="42">
                  <c:v>0.51</c:v>
                </c:pt>
                <c:pt idx="43">
                  <c:v>0.52200000000000002</c:v>
                </c:pt>
                <c:pt idx="44">
                  <c:v>0.52500000000000002</c:v>
                </c:pt>
                <c:pt idx="45">
                  <c:v>0.52800000000000002</c:v>
                </c:pt>
                <c:pt idx="46">
                  <c:v>0.53</c:v>
                </c:pt>
                <c:pt idx="47">
                  <c:v>0.53400000000000003</c:v>
                </c:pt>
                <c:pt idx="48">
                  <c:v>0.53400000000000003</c:v>
                </c:pt>
                <c:pt idx="49">
                  <c:v>0.53600000000000003</c:v>
                </c:pt>
                <c:pt idx="50">
                  <c:v>0.54100000000000004</c:v>
                </c:pt>
                <c:pt idx="51">
                  <c:v>0.54400000000000004</c:v>
                </c:pt>
                <c:pt idx="52">
                  <c:v>0.54700000000000004</c:v>
                </c:pt>
                <c:pt idx="53">
                  <c:v>0.54900000000000004</c:v>
                </c:pt>
                <c:pt idx="54">
                  <c:v>0.55100000000000005</c:v>
                </c:pt>
                <c:pt idx="55">
                  <c:v>0.55400000000000005</c:v>
                </c:pt>
                <c:pt idx="56">
                  <c:v>0.55600000000000005</c:v>
                </c:pt>
                <c:pt idx="57">
                  <c:v>0.55800000000000005</c:v>
                </c:pt>
                <c:pt idx="58">
                  <c:v>0.56000000000000005</c:v>
                </c:pt>
                <c:pt idx="59">
                  <c:v>0.56200000000000006</c:v>
                </c:pt>
                <c:pt idx="60">
                  <c:v>0.56800000000000006</c:v>
                </c:pt>
                <c:pt idx="61">
                  <c:v>0.56900000000000006</c:v>
                </c:pt>
                <c:pt idx="62">
                  <c:v>0.57100000000000006</c:v>
                </c:pt>
                <c:pt idx="63">
                  <c:v>0.57300000000000006</c:v>
                </c:pt>
                <c:pt idx="64">
                  <c:v>0.57600000000000007</c:v>
                </c:pt>
                <c:pt idx="65">
                  <c:v>0.57699999999999996</c:v>
                </c:pt>
                <c:pt idx="66">
                  <c:v>0.57699999999999996</c:v>
                </c:pt>
                <c:pt idx="67">
                  <c:v>0.57799999999999996</c:v>
                </c:pt>
                <c:pt idx="68">
                  <c:v>0.57899999999999996</c:v>
                </c:pt>
                <c:pt idx="69">
                  <c:v>0.57899999999999996</c:v>
                </c:pt>
                <c:pt idx="70">
                  <c:v>0.58099999999999996</c:v>
                </c:pt>
                <c:pt idx="71">
                  <c:v>0.58199999999999996</c:v>
                </c:pt>
                <c:pt idx="72">
                  <c:v>0.58299999999999996</c:v>
                </c:pt>
                <c:pt idx="73">
                  <c:v>0.58399999999999996</c:v>
                </c:pt>
                <c:pt idx="74">
                  <c:v>0.58499999999999996</c:v>
                </c:pt>
                <c:pt idx="75">
                  <c:v>0.58899999999999997</c:v>
                </c:pt>
              </c:numCache>
            </c:numRef>
          </c:xVal>
          <c:yVal>
            <c:numRef>
              <c:f>'1'!$G$75:$G$150</c:f>
              <c:numCache>
                <c:formatCode>General</c:formatCode>
                <c:ptCount val="76"/>
                <c:pt idx="0">
                  <c:v>-11.330603899483933</c:v>
                </c:pt>
                <c:pt idx="1">
                  <c:v>-11.042921788227044</c:v>
                </c:pt>
                <c:pt idx="2">
                  <c:v>-10.871071610952971</c:v>
                </c:pt>
                <c:pt idx="3">
                  <c:v>-10.770988133722856</c:v>
                </c:pt>
                <c:pt idx="4">
                  <c:v>-10.680016340091495</c:v>
                </c:pt>
                <c:pt idx="5">
                  <c:v>-10.596634718194913</c:v>
                </c:pt>
                <c:pt idx="6">
                  <c:v>-10.483306016922381</c:v>
                </c:pt>
                <c:pt idx="7">
                  <c:v>-10.381523369822338</c:v>
                </c:pt>
                <c:pt idx="8">
                  <c:v>-10.289149979002703</c:v>
                </c:pt>
                <c:pt idx="9">
                  <c:v>-10.231991662555965</c:v>
                </c:pt>
                <c:pt idx="10">
                  <c:v>-10.177924430393025</c:v>
                </c:pt>
                <c:pt idx="11">
                  <c:v>-10.101938463638302</c:v>
                </c:pt>
                <c:pt idx="12">
                  <c:v>-10.031320929464618</c:v>
                </c:pt>
                <c:pt idx="13">
                  <c:v>-9.9443095383640401</c:v>
                </c:pt>
                <c:pt idx="14">
                  <c:v>-9.8452186562206201</c:v>
                </c:pt>
                <c:pt idx="15">
                  <c:v>-9.7211660180939159</c:v>
                </c:pt>
                <c:pt idx="16">
                  <c:v>-9.4334839456421342</c:v>
                </c:pt>
                <c:pt idx="17">
                  <c:v>-9.3496024680843473</c:v>
                </c:pt>
                <c:pt idx="18">
                  <c:v>-9.2829110410973428</c:v>
                </c:pt>
                <c:pt idx="19">
                  <c:v>-9.220390713248289</c:v>
                </c:pt>
                <c:pt idx="20">
                  <c:v>-8.9479761441884769</c:v>
                </c:pt>
                <c:pt idx="21">
                  <c:v>-8.9102357397894156</c:v>
                </c:pt>
                <c:pt idx="22">
                  <c:v>-8.866750648986077</c:v>
                </c:pt>
                <c:pt idx="23">
                  <c:v>-8.7466063909820111</c:v>
                </c:pt>
                <c:pt idx="24">
                  <c:v>-8.7403367650821906</c:v>
                </c:pt>
                <c:pt idx="25">
                  <c:v>-8.611503891192358</c:v>
                </c:pt>
                <c:pt idx="26">
                  <c:v>-8.6005747984116585</c:v>
                </c:pt>
                <c:pt idx="27">
                  <c:v>-8.4973905828195537</c:v>
                </c:pt>
                <c:pt idx="28">
                  <c:v>-8.4876343880173195</c:v>
                </c:pt>
                <c:pt idx="29">
                  <c:v>-8.4684030584682866</c:v>
                </c:pt>
                <c:pt idx="30">
                  <c:v>-8.3687732150726202</c:v>
                </c:pt>
                <c:pt idx="31">
                  <c:v>-8.3474504022423535</c:v>
                </c:pt>
                <c:pt idx="32">
                  <c:v>-8.2625510257165296</c:v>
                </c:pt>
                <c:pt idx="33">
                  <c:v>-8.1878894545650862</c:v>
                </c:pt>
                <c:pt idx="34">
                  <c:v>-8.18072095053755</c:v>
                </c:pt>
                <c:pt idx="35">
                  <c:v>-8.163021390243971</c:v>
                </c:pt>
                <c:pt idx="36">
                  <c:v>-8.0854107804093029</c:v>
                </c:pt>
                <c:pt idx="37">
                  <c:v>-8.0164178637673178</c:v>
                </c:pt>
                <c:pt idx="38">
                  <c:v>-8.0103756271085853</c:v>
                </c:pt>
                <c:pt idx="39">
                  <c:v>-7.9433927987109323</c:v>
                </c:pt>
                <c:pt idx="40">
                  <c:v>-7.888584531993863</c:v>
                </c:pt>
                <c:pt idx="41">
                  <c:v>-7.8832653597652929</c:v>
                </c:pt>
                <c:pt idx="42">
                  <c:v>-7.8340963521283973</c:v>
                </c:pt>
                <c:pt idx="43">
                  <c:v>-7.6069205141181744</c:v>
                </c:pt>
                <c:pt idx="44">
                  <c:v>-7.5578429417637203</c:v>
                </c:pt>
                <c:pt idx="45">
                  <c:v>-7.4893610575125944</c:v>
                </c:pt>
                <c:pt idx="46">
                  <c:v>-7.4507598519968807</c:v>
                </c:pt>
                <c:pt idx="47">
                  <c:v>-7.3761602074306341</c:v>
                </c:pt>
                <c:pt idx="48">
                  <c:v>-7.3777589082278725</c:v>
                </c:pt>
                <c:pt idx="49">
                  <c:v>-7.3400778581588826</c:v>
                </c:pt>
                <c:pt idx="50">
                  <c:v>-7.2730385892124465</c:v>
                </c:pt>
                <c:pt idx="51">
                  <c:v>-7.2238368638932782</c:v>
                </c:pt>
                <c:pt idx="52">
                  <c:v>-7.1574995322933024</c:v>
                </c:pt>
                <c:pt idx="53">
                  <c:v>-7.1321495811647937</c:v>
                </c:pt>
                <c:pt idx="54">
                  <c:v>-7.0856864726626529</c:v>
                </c:pt>
                <c:pt idx="55">
                  <c:v>-7.0574160518750899</c:v>
                </c:pt>
                <c:pt idx="56">
                  <c:v>-7.0108960268001201</c:v>
                </c:pt>
                <c:pt idx="57">
                  <c:v>-6.9632680100827562</c:v>
                </c:pt>
                <c:pt idx="58">
                  <c:v>-6.9392459647730043</c:v>
                </c:pt>
                <c:pt idx="59">
                  <c:v>-6.9147799232112135</c:v>
                </c:pt>
                <c:pt idx="60">
                  <c:v>-6.8188290200535739</c:v>
                </c:pt>
                <c:pt idx="61">
                  <c:v>-6.8015950934451945</c:v>
                </c:pt>
                <c:pt idx="62">
                  <c:v>-6.7688632377853279</c:v>
                </c:pt>
                <c:pt idx="63">
                  <c:v>-6.7354840885464151</c:v>
                </c:pt>
                <c:pt idx="64">
                  <c:v>-6.6974943797752218</c:v>
                </c:pt>
                <c:pt idx="65">
                  <c:v>-6.6798231775271582</c:v>
                </c:pt>
                <c:pt idx="66">
                  <c:v>-6.6774375686115723</c:v>
                </c:pt>
                <c:pt idx="67">
                  <c:v>-6.6616767220859634</c:v>
                </c:pt>
                <c:pt idx="68">
                  <c:v>-6.6469306775989372</c:v>
                </c:pt>
                <c:pt idx="69">
                  <c:v>-6.6308814009087866</c:v>
                </c:pt>
                <c:pt idx="70">
                  <c:v>-6.6165792730849127</c:v>
                </c:pt>
                <c:pt idx="71">
                  <c:v>-6.5988010796572318</c:v>
                </c:pt>
                <c:pt idx="72">
                  <c:v>-6.5827774624418476</c:v>
                </c:pt>
                <c:pt idx="73">
                  <c:v>-6.5578028599699119</c:v>
                </c:pt>
                <c:pt idx="74">
                  <c:v>-6.5410310276089758</c:v>
                </c:pt>
                <c:pt idx="75">
                  <c:v>-6.4883872475218389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85A-40C5-9814-B36A20132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281759"/>
        <c:axId val="1543287999"/>
      </c:scatterChart>
      <c:valAx>
        <c:axId val="1543281759"/>
        <c:scaling>
          <c:orientation val="minMax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3287999"/>
        <c:crosses val="autoZero"/>
        <c:crossBetween val="midCat"/>
      </c:valAx>
      <c:valAx>
        <c:axId val="154328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43281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zależności natężenia od napięcia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Pomiar 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'2'!$B$34:$B$388</c:f>
                <c:numCache>
                  <c:formatCode>General</c:formatCode>
                  <c:ptCount val="355"/>
                  <c:pt idx="0">
                    <c:v>-7.7800000000000008E-2</c:v>
                  </c:pt>
                  <c:pt idx="1">
                    <c:v>-7.5600000000000001E-2</c:v>
                  </c:pt>
                  <c:pt idx="2">
                    <c:v>-7.4400000000000008E-2</c:v>
                  </c:pt>
                  <c:pt idx="3">
                    <c:v>-7.3000000000000009E-2</c:v>
                  </c:pt>
                  <c:pt idx="4">
                    <c:v>-7.2800000000000004E-2</c:v>
                  </c:pt>
                  <c:pt idx="5">
                    <c:v>-7.2800000000000004E-2</c:v>
                  </c:pt>
                  <c:pt idx="6">
                    <c:v>-7.2800000000000004E-2</c:v>
                  </c:pt>
                  <c:pt idx="7">
                    <c:v>-7.2800000000000004E-2</c:v>
                  </c:pt>
                  <c:pt idx="8">
                    <c:v>-7.2800000000000004E-2</c:v>
                  </c:pt>
                  <c:pt idx="9">
                    <c:v>-7.2300000000000003E-2</c:v>
                  </c:pt>
                  <c:pt idx="10">
                    <c:v>-7.1599999999999997E-2</c:v>
                  </c:pt>
                  <c:pt idx="11">
                    <c:v>-7.1400000000000005E-2</c:v>
                  </c:pt>
                  <c:pt idx="12">
                    <c:v>-7.1400000000000005E-2</c:v>
                  </c:pt>
                  <c:pt idx="13">
                    <c:v>-7.1400000000000005E-2</c:v>
                  </c:pt>
                  <c:pt idx="14">
                    <c:v>-7.1599999999999997E-2</c:v>
                  </c:pt>
                  <c:pt idx="15">
                    <c:v>-6.6500000000000004E-2</c:v>
                  </c:pt>
                  <c:pt idx="16">
                    <c:v>-6.5700000000000008E-2</c:v>
                  </c:pt>
                  <c:pt idx="17">
                    <c:v>-6.5600000000000006E-2</c:v>
                  </c:pt>
                  <c:pt idx="18">
                    <c:v>-6.1500000000000006E-2</c:v>
                  </c:pt>
                  <c:pt idx="19">
                    <c:v>-6.0500000000000005E-2</c:v>
                  </c:pt>
                  <c:pt idx="20">
                    <c:v>-4.5600000000000002E-2</c:v>
                  </c:pt>
                  <c:pt idx="21">
                    <c:v>-4.4500000000000005E-2</c:v>
                  </c:pt>
                  <c:pt idx="22">
                    <c:v>-4.48E-2</c:v>
                  </c:pt>
                  <c:pt idx="23">
                    <c:v>-4.2900000000000001E-2</c:v>
                  </c:pt>
                  <c:pt idx="24">
                    <c:v>-3.8400000000000004E-2</c:v>
                  </c:pt>
                  <c:pt idx="25">
                    <c:v>-3.6500000000000005E-2</c:v>
                  </c:pt>
                  <c:pt idx="26">
                    <c:v>6.0000000000000006E-4</c:v>
                  </c:pt>
                  <c:pt idx="27">
                    <c:v>-3.3000000000000002E-2</c:v>
                  </c:pt>
                  <c:pt idx="28">
                    <c:v>-3.3000000000000002E-2</c:v>
                  </c:pt>
                  <c:pt idx="29">
                    <c:v>-3.1099999999999999E-2</c:v>
                  </c:pt>
                  <c:pt idx="30">
                    <c:v>-2.9100000000000001E-2</c:v>
                  </c:pt>
                  <c:pt idx="31">
                    <c:v>-2.8500000000000001E-2</c:v>
                  </c:pt>
                  <c:pt idx="32">
                    <c:v>-2.6200000000000001E-2</c:v>
                  </c:pt>
                  <c:pt idx="33">
                    <c:v>-2.4500000000000001E-2</c:v>
                  </c:pt>
                  <c:pt idx="34">
                    <c:v>-2.3E-2</c:v>
                  </c:pt>
                  <c:pt idx="35">
                    <c:v>-2.1599999999999998E-2</c:v>
                  </c:pt>
                  <c:pt idx="36">
                    <c:v>-2.0199999999999999E-2</c:v>
                  </c:pt>
                  <c:pt idx="37">
                    <c:v>-1.95E-2</c:v>
                  </c:pt>
                  <c:pt idx="38">
                    <c:v>-1.7399999999999999E-2</c:v>
                  </c:pt>
                  <c:pt idx="39">
                    <c:v>-1.5900000000000001E-2</c:v>
                  </c:pt>
                  <c:pt idx="40">
                    <c:v>-1.46E-2</c:v>
                  </c:pt>
                  <c:pt idx="41">
                    <c:v>-1.1699999999999999E-2</c:v>
                  </c:pt>
                  <c:pt idx="42">
                    <c:v>-1.03E-2</c:v>
                  </c:pt>
                  <c:pt idx="43">
                    <c:v>-8.8999999999999999E-3</c:v>
                  </c:pt>
                  <c:pt idx="44">
                    <c:v>-7.4000000000000003E-3</c:v>
                  </c:pt>
                  <c:pt idx="45">
                    <c:v>-7.0000000000000001E-3</c:v>
                  </c:pt>
                  <c:pt idx="46">
                    <c:v>-3.1999999999999997E-3</c:v>
                  </c:pt>
                  <c:pt idx="47">
                    <c:v>-6.9999999999999999E-4</c:v>
                  </c:pt>
                  <c:pt idx="48">
                    <c:v>5.0000000000000001E-4</c:v>
                  </c:pt>
                  <c:pt idx="49">
                    <c:v>2.5999999999999999E-3</c:v>
                  </c:pt>
                  <c:pt idx="50">
                    <c:v>2.5999999999999999E-3</c:v>
                  </c:pt>
                  <c:pt idx="51">
                    <c:v>2.6999999999999997E-3</c:v>
                  </c:pt>
                  <c:pt idx="52">
                    <c:v>4.0000000000000001E-3</c:v>
                  </c:pt>
                  <c:pt idx="53">
                    <c:v>5.8999999999999999E-3</c:v>
                  </c:pt>
                  <c:pt idx="54">
                    <c:v>6.8000000000000005E-3</c:v>
                  </c:pt>
                  <c:pt idx="55">
                    <c:v>9.5999999999999992E-3</c:v>
                  </c:pt>
                  <c:pt idx="56">
                    <c:v>9.6999999999999986E-3</c:v>
                  </c:pt>
                  <c:pt idx="57">
                    <c:v>1.1099999999999999E-2</c:v>
                  </c:pt>
                  <c:pt idx="58">
                    <c:v>1.18E-2</c:v>
                  </c:pt>
                  <c:pt idx="59">
                    <c:v>1.7899999999999999E-2</c:v>
                  </c:pt>
                  <c:pt idx="60">
                    <c:v>1.9599999999999999E-2</c:v>
                  </c:pt>
                  <c:pt idx="61">
                    <c:v>2.0999999999999998E-2</c:v>
                  </c:pt>
                  <c:pt idx="62">
                    <c:v>2.2599999999999999E-2</c:v>
                  </c:pt>
                  <c:pt idx="63">
                    <c:v>2.4899999999999999E-2</c:v>
                  </c:pt>
                  <c:pt idx="64">
                    <c:v>2.5399999999999999E-2</c:v>
                  </c:pt>
                  <c:pt idx="65">
                    <c:v>2.6099999999999998E-2</c:v>
                  </c:pt>
                  <c:pt idx="66">
                    <c:v>2.8199999999999999E-2</c:v>
                  </c:pt>
                  <c:pt idx="67">
                    <c:v>3.09E-2</c:v>
                  </c:pt>
                  <c:pt idx="68">
                    <c:v>3.3100000000000004E-2</c:v>
                  </c:pt>
                  <c:pt idx="69">
                    <c:v>3.7100000000000001E-2</c:v>
                  </c:pt>
                  <c:pt idx="70">
                    <c:v>3.95E-2</c:v>
                  </c:pt>
                  <c:pt idx="71">
                    <c:v>3.7000000000000005E-2</c:v>
                  </c:pt>
                  <c:pt idx="72">
                    <c:v>5.1400000000000001E-2</c:v>
                  </c:pt>
                  <c:pt idx="73">
                    <c:v>5.3700000000000005E-2</c:v>
                  </c:pt>
                  <c:pt idx="74">
                    <c:v>5.5100000000000003E-2</c:v>
                  </c:pt>
                  <c:pt idx="75">
                    <c:v>5.5100000000000003E-2</c:v>
                  </c:pt>
                  <c:pt idx="76">
                    <c:v>5.5100000000000003E-2</c:v>
                  </c:pt>
                  <c:pt idx="77">
                    <c:v>5.7100000000000005E-2</c:v>
                  </c:pt>
                  <c:pt idx="78">
                    <c:v>5.5100000000000003E-2</c:v>
                  </c:pt>
                  <c:pt idx="79">
                    <c:v>5.79E-2</c:v>
                  </c:pt>
                  <c:pt idx="80">
                    <c:v>5.8700000000000002E-2</c:v>
                  </c:pt>
                  <c:pt idx="81">
                    <c:v>6.2E-2</c:v>
                  </c:pt>
                  <c:pt idx="82">
                    <c:v>6.3600000000000004E-2</c:v>
                  </c:pt>
                  <c:pt idx="83">
                    <c:v>6.5700000000000008E-2</c:v>
                  </c:pt>
                  <c:pt idx="84">
                    <c:v>6.8100000000000008E-2</c:v>
                  </c:pt>
                  <c:pt idx="85">
                    <c:v>6.9600000000000009E-2</c:v>
                  </c:pt>
                  <c:pt idx="86">
                    <c:v>7.17E-2</c:v>
                  </c:pt>
                  <c:pt idx="87">
                    <c:v>7.3400000000000007E-2</c:v>
                  </c:pt>
                  <c:pt idx="88">
                    <c:v>7.4900000000000008E-2</c:v>
                  </c:pt>
                  <c:pt idx="89">
                    <c:v>7.4900000000000008E-2</c:v>
                  </c:pt>
                  <c:pt idx="90">
                    <c:v>7.6300000000000007E-2</c:v>
                  </c:pt>
                  <c:pt idx="91">
                    <c:v>8.0500000000000002E-2</c:v>
                  </c:pt>
                  <c:pt idx="92">
                    <c:v>8.1900000000000001E-2</c:v>
                  </c:pt>
                  <c:pt idx="93">
                    <c:v>8.4699999999999998E-2</c:v>
                  </c:pt>
                  <c:pt idx="94">
                    <c:v>8.6800000000000002E-2</c:v>
                  </c:pt>
                  <c:pt idx="95">
                    <c:v>9.1700000000000004E-2</c:v>
                  </c:pt>
                  <c:pt idx="96">
                    <c:v>9.1800000000000007E-2</c:v>
                  </c:pt>
                  <c:pt idx="97">
                    <c:v>9.3200000000000005E-2</c:v>
                  </c:pt>
                  <c:pt idx="98">
                    <c:v>9.4500000000000001E-2</c:v>
                  </c:pt>
                  <c:pt idx="99">
                    <c:v>9.4600000000000004E-2</c:v>
                  </c:pt>
                  <c:pt idx="100">
                    <c:v>9.6000000000000002E-2</c:v>
                  </c:pt>
                  <c:pt idx="101">
                    <c:v>9.8900000000000002E-2</c:v>
                  </c:pt>
                  <c:pt idx="102">
                    <c:v>9.8900000000000002E-2</c:v>
                  </c:pt>
                  <c:pt idx="103">
                    <c:v>9.9000000000000005E-2</c:v>
                  </c:pt>
                  <c:pt idx="104">
                    <c:v>0.1007</c:v>
                  </c:pt>
                  <c:pt idx="105">
                    <c:v>0.1047</c:v>
                  </c:pt>
                  <c:pt idx="106">
                    <c:v>0.1067</c:v>
                  </c:pt>
                  <c:pt idx="107">
                    <c:v>0.108</c:v>
                  </c:pt>
                  <c:pt idx="108">
                    <c:v>0.1089</c:v>
                  </c:pt>
                  <c:pt idx="109">
                    <c:v>0.1115</c:v>
                  </c:pt>
                  <c:pt idx="110">
                    <c:v>0.1144</c:v>
                  </c:pt>
                  <c:pt idx="111">
                    <c:v>0.11850000000000001</c:v>
                  </c:pt>
                  <c:pt idx="112">
                    <c:v>0.1225</c:v>
                  </c:pt>
                  <c:pt idx="113">
                    <c:v>0.1227</c:v>
                  </c:pt>
                  <c:pt idx="114">
                    <c:v>0.1333</c:v>
                  </c:pt>
                  <c:pt idx="115">
                    <c:v>0.13399999999999998</c:v>
                  </c:pt>
                  <c:pt idx="116">
                    <c:v>0.13739999999999999</c:v>
                  </c:pt>
                  <c:pt idx="117">
                    <c:v>0.13949999999999999</c:v>
                  </c:pt>
                  <c:pt idx="118">
                    <c:v>0.14529999999999998</c:v>
                  </c:pt>
                  <c:pt idx="119">
                    <c:v>0.14659999999999998</c:v>
                  </c:pt>
                  <c:pt idx="120">
                    <c:v>0.14809999999999998</c:v>
                  </c:pt>
                  <c:pt idx="121">
                    <c:v>0.14939999999999998</c:v>
                  </c:pt>
                  <c:pt idx="122">
                    <c:v>0.15089999999999998</c:v>
                  </c:pt>
                  <c:pt idx="123">
                    <c:v>0.15089999999999998</c:v>
                  </c:pt>
                  <c:pt idx="124">
                    <c:v>0.1522</c:v>
                  </c:pt>
                  <c:pt idx="125">
                    <c:v>0.15529999999999999</c:v>
                  </c:pt>
                  <c:pt idx="126">
                    <c:v>0.15659999999999999</c:v>
                  </c:pt>
                  <c:pt idx="127">
                    <c:v>0.1578</c:v>
                  </c:pt>
                  <c:pt idx="128">
                    <c:v>0.158</c:v>
                  </c:pt>
                  <c:pt idx="129">
                    <c:v>0.1608</c:v>
                  </c:pt>
                  <c:pt idx="130">
                    <c:v>0.16089999999999999</c:v>
                  </c:pt>
                  <c:pt idx="131">
                    <c:v>0.16199999999999998</c:v>
                  </c:pt>
                  <c:pt idx="132">
                    <c:v>0.16289999999999999</c:v>
                  </c:pt>
                  <c:pt idx="133">
                    <c:v>0.16799999999999998</c:v>
                  </c:pt>
                  <c:pt idx="134">
                    <c:v>0.16919999999999999</c:v>
                  </c:pt>
                  <c:pt idx="135">
                    <c:v>0.16929999999999998</c:v>
                  </c:pt>
                  <c:pt idx="136">
                    <c:v>0.1704</c:v>
                  </c:pt>
                  <c:pt idx="137">
                    <c:v>0.1706</c:v>
                  </c:pt>
                  <c:pt idx="138">
                    <c:v>0.17199999999999999</c:v>
                  </c:pt>
                  <c:pt idx="139">
                    <c:v>0.17329999999999998</c:v>
                  </c:pt>
                  <c:pt idx="140">
                    <c:v>0.17479999999999998</c:v>
                  </c:pt>
                  <c:pt idx="141">
                    <c:v>0.17609999999999998</c:v>
                  </c:pt>
                  <c:pt idx="142">
                    <c:v>0.17889999999999998</c:v>
                  </c:pt>
                  <c:pt idx="143">
                    <c:v>0.17899999999999999</c:v>
                  </c:pt>
                  <c:pt idx="144">
                    <c:v>0.18209999999999998</c:v>
                  </c:pt>
                  <c:pt idx="145">
                    <c:v>0.18529999999999999</c:v>
                  </c:pt>
                  <c:pt idx="146">
                    <c:v>0.18859999999999999</c:v>
                  </c:pt>
                  <c:pt idx="147">
                    <c:v>0.1888</c:v>
                  </c:pt>
                  <c:pt idx="148">
                    <c:v>0.1895</c:v>
                  </c:pt>
                  <c:pt idx="149">
                    <c:v>0.19219999999999998</c:v>
                  </c:pt>
                  <c:pt idx="150">
                    <c:v>0.19409999999999999</c:v>
                  </c:pt>
                  <c:pt idx="151">
                    <c:v>0.1943</c:v>
                  </c:pt>
                  <c:pt idx="152">
                    <c:v>0.19539999999999999</c:v>
                  </c:pt>
                  <c:pt idx="153">
                    <c:v>0.19569999999999999</c:v>
                  </c:pt>
                  <c:pt idx="154">
                    <c:v>0.1968</c:v>
                  </c:pt>
                  <c:pt idx="155">
                    <c:v>0.19769999999999999</c:v>
                  </c:pt>
                  <c:pt idx="156">
                    <c:v>0.19819999999999999</c:v>
                  </c:pt>
                  <c:pt idx="157">
                    <c:v>0.19869999999999999</c:v>
                  </c:pt>
                  <c:pt idx="158">
                    <c:v>0.19939999999999999</c:v>
                  </c:pt>
                  <c:pt idx="159">
                    <c:v>0.19939999999999999</c:v>
                  </c:pt>
                  <c:pt idx="160">
                    <c:v>0.2009</c:v>
                  </c:pt>
                  <c:pt idx="161">
                    <c:v>0.20349999999999999</c:v>
                  </c:pt>
                  <c:pt idx="162">
                    <c:v>0.20409999999999998</c:v>
                  </c:pt>
                  <c:pt idx="163">
                    <c:v>0.2049</c:v>
                  </c:pt>
                  <c:pt idx="164">
                    <c:v>0.20649999999999999</c:v>
                  </c:pt>
                  <c:pt idx="165">
                    <c:v>0.21309999999999998</c:v>
                  </c:pt>
                  <c:pt idx="166">
                    <c:v>0.21339999999999998</c:v>
                  </c:pt>
                  <c:pt idx="167">
                    <c:v>0.21339999999999998</c:v>
                  </c:pt>
                  <c:pt idx="168">
                    <c:v>0.2135</c:v>
                  </c:pt>
                  <c:pt idx="169">
                    <c:v>0.2185</c:v>
                  </c:pt>
                  <c:pt idx="170">
                    <c:v>0.21889999999999998</c:v>
                  </c:pt>
                  <c:pt idx="171">
                    <c:v>0.2203</c:v>
                  </c:pt>
                  <c:pt idx="172">
                    <c:v>0.22169999999999998</c:v>
                  </c:pt>
                  <c:pt idx="173">
                    <c:v>0.22299999999999998</c:v>
                  </c:pt>
                  <c:pt idx="174">
                    <c:v>0.22289999999999999</c:v>
                  </c:pt>
                  <c:pt idx="175">
                    <c:v>0.2243</c:v>
                  </c:pt>
                  <c:pt idx="176">
                    <c:v>0.22439999999999999</c:v>
                  </c:pt>
                  <c:pt idx="177">
                    <c:v>0.22569999999999998</c:v>
                  </c:pt>
                  <c:pt idx="178">
                    <c:v>0.22699999999999998</c:v>
                  </c:pt>
                  <c:pt idx="179">
                    <c:v>0.2271</c:v>
                  </c:pt>
                  <c:pt idx="180">
                    <c:v>0.22839999999999999</c:v>
                  </c:pt>
                  <c:pt idx="181">
                    <c:v>0.23049999999999998</c:v>
                  </c:pt>
                  <c:pt idx="182">
                    <c:v>0.23799999999999999</c:v>
                  </c:pt>
                  <c:pt idx="183">
                    <c:v>0.2379</c:v>
                  </c:pt>
                  <c:pt idx="184">
                    <c:v>0.24049999999999999</c:v>
                  </c:pt>
                  <c:pt idx="185">
                    <c:v>0.24189999999999998</c:v>
                  </c:pt>
                  <c:pt idx="186">
                    <c:v>0.24309999999999998</c:v>
                  </c:pt>
                  <c:pt idx="187">
                    <c:v>0.2432</c:v>
                  </c:pt>
                  <c:pt idx="188">
                    <c:v>0.2457</c:v>
                  </c:pt>
                  <c:pt idx="189">
                    <c:v>0.24579999999999999</c:v>
                  </c:pt>
                  <c:pt idx="190">
                    <c:v>0.24639999999999998</c:v>
                  </c:pt>
                  <c:pt idx="191">
                    <c:v>0.247</c:v>
                  </c:pt>
                  <c:pt idx="192">
                    <c:v>0.24709999999999999</c:v>
                  </c:pt>
                  <c:pt idx="193">
                    <c:v>0.24709999999999999</c:v>
                  </c:pt>
                  <c:pt idx="194">
                    <c:v>0.24909999999999999</c:v>
                  </c:pt>
                  <c:pt idx="195">
                    <c:v>0.25090000000000001</c:v>
                  </c:pt>
                  <c:pt idx="196">
                    <c:v>0.251</c:v>
                  </c:pt>
                  <c:pt idx="197">
                    <c:v>0.25219999999999998</c:v>
                  </c:pt>
                  <c:pt idx="198">
                    <c:v>0.25229999999999997</c:v>
                  </c:pt>
                  <c:pt idx="199">
                    <c:v>0.255</c:v>
                  </c:pt>
                  <c:pt idx="200">
                    <c:v>0.25509999999999999</c:v>
                  </c:pt>
                  <c:pt idx="201">
                    <c:v>0.25619999999999998</c:v>
                  </c:pt>
                  <c:pt idx="202">
                    <c:v>0.25619999999999998</c:v>
                  </c:pt>
                  <c:pt idx="203">
                    <c:v>0.26019999999999999</c:v>
                  </c:pt>
                  <c:pt idx="204">
                    <c:v>0.26150000000000001</c:v>
                  </c:pt>
                  <c:pt idx="205">
                    <c:v>0.26239999999999997</c:v>
                  </c:pt>
                  <c:pt idx="206">
                    <c:v>0.26279999999999998</c:v>
                  </c:pt>
                  <c:pt idx="207">
                    <c:v>0.2641</c:v>
                  </c:pt>
                  <c:pt idx="208">
                    <c:v>0.2641</c:v>
                  </c:pt>
                  <c:pt idx="209">
                    <c:v>0.26439999999999997</c:v>
                  </c:pt>
                  <c:pt idx="210">
                    <c:v>0.26779999999999998</c:v>
                  </c:pt>
                  <c:pt idx="211">
                    <c:v>0.27039999999999997</c:v>
                  </c:pt>
                  <c:pt idx="212">
                    <c:v>0.27679999999999999</c:v>
                  </c:pt>
                  <c:pt idx="213">
                    <c:v>0.27679999999999999</c:v>
                  </c:pt>
                  <c:pt idx="214">
                    <c:v>0.27679999999999999</c:v>
                  </c:pt>
                  <c:pt idx="215">
                    <c:v>0.27810000000000001</c:v>
                  </c:pt>
                  <c:pt idx="216">
                    <c:v>0.27929999999999999</c:v>
                  </c:pt>
                  <c:pt idx="217">
                    <c:v>0.27929999999999999</c:v>
                  </c:pt>
                  <c:pt idx="218">
                    <c:v>0.27979999999999999</c:v>
                  </c:pt>
                  <c:pt idx="219">
                    <c:v>0.28189999999999998</c:v>
                  </c:pt>
                  <c:pt idx="220">
                    <c:v>0.28179999999999999</c:v>
                  </c:pt>
                  <c:pt idx="221">
                    <c:v>0.28189999999999998</c:v>
                  </c:pt>
                  <c:pt idx="222">
                    <c:v>0.28179999999999999</c:v>
                  </c:pt>
                  <c:pt idx="223">
                    <c:v>0.28179999999999999</c:v>
                  </c:pt>
                  <c:pt idx="224">
                    <c:v>0.28179999999999999</c:v>
                  </c:pt>
                  <c:pt idx="225">
                    <c:v>0.28189999999999998</c:v>
                  </c:pt>
                  <c:pt idx="226">
                    <c:v>0.28549999999999998</c:v>
                  </c:pt>
                  <c:pt idx="227">
                    <c:v>0.28559999999999997</c:v>
                  </c:pt>
                  <c:pt idx="228">
                    <c:v>0.28570000000000001</c:v>
                  </c:pt>
                  <c:pt idx="229">
                    <c:v>0.28559999999999997</c:v>
                  </c:pt>
                  <c:pt idx="230">
                    <c:v>0.28559999999999997</c:v>
                  </c:pt>
                  <c:pt idx="231">
                    <c:v>0.2868</c:v>
                  </c:pt>
                  <c:pt idx="232">
                    <c:v>0.28809999999999997</c:v>
                  </c:pt>
                  <c:pt idx="233">
                    <c:v>0.29009999999999997</c:v>
                  </c:pt>
                  <c:pt idx="234">
                    <c:v>0.29059999999999997</c:v>
                  </c:pt>
                  <c:pt idx="235">
                    <c:v>0.29059999999999997</c:v>
                  </c:pt>
                  <c:pt idx="236">
                    <c:v>0.29049999999999998</c:v>
                  </c:pt>
                  <c:pt idx="237">
                    <c:v>0.2918</c:v>
                  </c:pt>
                  <c:pt idx="238">
                    <c:v>0.29299999999999998</c:v>
                  </c:pt>
                  <c:pt idx="239">
                    <c:v>0.29289999999999999</c:v>
                  </c:pt>
                  <c:pt idx="240">
                    <c:v>0.29299999999999998</c:v>
                  </c:pt>
                  <c:pt idx="241">
                    <c:v>0.2949</c:v>
                  </c:pt>
                  <c:pt idx="242">
                    <c:v>0.29659999999999997</c:v>
                  </c:pt>
                  <c:pt idx="243">
                    <c:v>0.29669999999999996</c:v>
                  </c:pt>
                  <c:pt idx="244">
                    <c:v>0.29659999999999997</c:v>
                  </c:pt>
                  <c:pt idx="245">
                    <c:v>0.29809999999999998</c:v>
                  </c:pt>
                  <c:pt idx="246">
                    <c:v>0.2989</c:v>
                  </c:pt>
                  <c:pt idx="247">
                    <c:v>0.29919999999999997</c:v>
                  </c:pt>
                  <c:pt idx="248">
                    <c:v>0.29909999999999998</c:v>
                  </c:pt>
                  <c:pt idx="249">
                    <c:v>0.3</c:v>
                  </c:pt>
                  <c:pt idx="250">
                    <c:v>0.30009999999999998</c:v>
                  </c:pt>
                  <c:pt idx="251">
                    <c:v>0.30109999999999998</c:v>
                  </c:pt>
                  <c:pt idx="252">
                    <c:v>0.30119999999999997</c:v>
                  </c:pt>
                  <c:pt idx="253">
                    <c:v>0.30130000000000001</c:v>
                  </c:pt>
                  <c:pt idx="254">
                    <c:v>0.30369999999999997</c:v>
                  </c:pt>
                  <c:pt idx="255">
                    <c:v>0.30449999999999999</c:v>
                  </c:pt>
                  <c:pt idx="256">
                    <c:v>0.30690000000000001</c:v>
                  </c:pt>
                  <c:pt idx="257">
                    <c:v>0.30890000000000001</c:v>
                  </c:pt>
                  <c:pt idx="258">
                    <c:v>0.31019999999999998</c:v>
                  </c:pt>
                  <c:pt idx="259">
                    <c:v>0.31440000000000001</c:v>
                  </c:pt>
                  <c:pt idx="260">
                    <c:v>0.31809999999999999</c:v>
                  </c:pt>
                  <c:pt idx="261">
                    <c:v>0.31850000000000001</c:v>
                  </c:pt>
                  <c:pt idx="262">
                    <c:v>0.3201</c:v>
                  </c:pt>
                  <c:pt idx="263">
                    <c:v>0.32150000000000001</c:v>
                  </c:pt>
                  <c:pt idx="264">
                    <c:v>0.32289999999999996</c:v>
                  </c:pt>
                  <c:pt idx="265">
                    <c:v>0.32289999999999996</c:v>
                  </c:pt>
                  <c:pt idx="266">
                    <c:v>0.3241</c:v>
                  </c:pt>
                  <c:pt idx="267">
                    <c:v>0.32729999999999998</c:v>
                  </c:pt>
                  <c:pt idx="268">
                    <c:v>0.32729999999999998</c:v>
                  </c:pt>
                  <c:pt idx="269">
                    <c:v>0.32839999999999997</c:v>
                  </c:pt>
                  <c:pt idx="270">
                    <c:v>0.32850000000000001</c:v>
                  </c:pt>
                  <c:pt idx="271">
                    <c:v>0.32919999999999999</c:v>
                  </c:pt>
                  <c:pt idx="272">
                    <c:v>0.32950000000000002</c:v>
                  </c:pt>
                  <c:pt idx="273">
                    <c:v>0.32950000000000002</c:v>
                  </c:pt>
                  <c:pt idx="274">
                    <c:v>0.32950000000000002</c:v>
                  </c:pt>
                  <c:pt idx="275">
                    <c:v>0.33</c:v>
                  </c:pt>
                  <c:pt idx="276">
                    <c:v>0.33160000000000001</c:v>
                  </c:pt>
                  <c:pt idx="277">
                    <c:v>0.34289999999999998</c:v>
                  </c:pt>
                  <c:pt idx="278">
                    <c:v>0.34409999999999996</c:v>
                  </c:pt>
                  <c:pt idx="279">
                    <c:v>0.34409999999999996</c:v>
                  </c:pt>
                  <c:pt idx="280">
                    <c:v>0.34520000000000001</c:v>
                  </c:pt>
                  <c:pt idx="281">
                    <c:v>0.34509999999999996</c:v>
                  </c:pt>
                  <c:pt idx="282">
                    <c:v>0.3453</c:v>
                  </c:pt>
                  <c:pt idx="283">
                    <c:v>0.34709999999999996</c:v>
                  </c:pt>
                  <c:pt idx="284">
                    <c:v>0.34709999999999996</c:v>
                  </c:pt>
                  <c:pt idx="285">
                    <c:v>0.34809999999999997</c:v>
                  </c:pt>
                  <c:pt idx="286">
                    <c:v>0.34809999999999997</c:v>
                  </c:pt>
                  <c:pt idx="287">
                    <c:v>0.34889999999999999</c:v>
                  </c:pt>
                  <c:pt idx="288">
                    <c:v>0.35009999999999997</c:v>
                  </c:pt>
                  <c:pt idx="289">
                    <c:v>0.35089999999999999</c:v>
                  </c:pt>
                  <c:pt idx="290">
                    <c:v>0.35199999999999998</c:v>
                  </c:pt>
                  <c:pt idx="291">
                    <c:v>0.35239999999999999</c:v>
                  </c:pt>
                  <c:pt idx="292">
                    <c:v>0.35289999999999999</c:v>
                  </c:pt>
                  <c:pt idx="293">
                    <c:v>0.35580000000000001</c:v>
                  </c:pt>
                  <c:pt idx="294">
                    <c:v>0.3589</c:v>
                  </c:pt>
                  <c:pt idx="295">
                    <c:v>0.3579</c:v>
                  </c:pt>
                  <c:pt idx="296">
                    <c:v>0.35899999999999999</c:v>
                  </c:pt>
                  <c:pt idx="297">
                    <c:v>0.35919999999999996</c:v>
                  </c:pt>
                  <c:pt idx="298">
                    <c:v>0.36009999999999998</c:v>
                  </c:pt>
                  <c:pt idx="299">
                    <c:v>0.36219999999999997</c:v>
                  </c:pt>
                  <c:pt idx="300">
                    <c:v>0.36349999999999999</c:v>
                  </c:pt>
                  <c:pt idx="301">
                    <c:v>0.36349999999999999</c:v>
                  </c:pt>
                  <c:pt idx="302">
                    <c:v>0.36480000000000001</c:v>
                  </c:pt>
                  <c:pt idx="303">
                    <c:v>0.36549999999999999</c:v>
                  </c:pt>
                  <c:pt idx="304">
                    <c:v>0.36609999999999998</c:v>
                  </c:pt>
                  <c:pt idx="305">
                    <c:v>0.3664</c:v>
                  </c:pt>
                  <c:pt idx="306">
                    <c:v>0.36719999999999997</c:v>
                  </c:pt>
                  <c:pt idx="307">
                    <c:v>0.36809999999999998</c:v>
                  </c:pt>
                  <c:pt idx="308">
                    <c:v>0.36769999999999997</c:v>
                  </c:pt>
                  <c:pt idx="309">
                    <c:v>0.3695</c:v>
                  </c:pt>
                  <c:pt idx="310">
                    <c:v>0.37079999999999996</c:v>
                  </c:pt>
                  <c:pt idx="311">
                    <c:v>0.37090000000000001</c:v>
                  </c:pt>
                  <c:pt idx="312">
                    <c:v>0.3725</c:v>
                  </c:pt>
                  <c:pt idx="313">
                    <c:v>0.37440000000000001</c:v>
                  </c:pt>
                  <c:pt idx="314">
                    <c:v>0.37869999999999998</c:v>
                  </c:pt>
                  <c:pt idx="315">
                    <c:v>0.38229999999999997</c:v>
                  </c:pt>
                  <c:pt idx="316">
                    <c:v>0.38419999999999999</c:v>
                  </c:pt>
                  <c:pt idx="317">
                    <c:v>0.3871</c:v>
                  </c:pt>
                  <c:pt idx="318">
                    <c:v>0.39089999999999997</c:v>
                  </c:pt>
                  <c:pt idx="319">
                    <c:v>0.39289999999999997</c:v>
                  </c:pt>
                  <c:pt idx="320">
                    <c:v>0.39360000000000001</c:v>
                  </c:pt>
                  <c:pt idx="321">
                    <c:v>0.39360000000000001</c:v>
                  </c:pt>
                  <c:pt idx="322">
                    <c:v>0.39410000000000001</c:v>
                  </c:pt>
                  <c:pt idx="323">
                    <c:v>0.39529999999999998</c:v>
                  </c:pt>
                  <c:pt idx="324">
                    <c:v>0.39610000000000001</c:v>
                  </c:pt>
                  <c:pt idx="325">
                    <c:v>0.39689999999999998</c:v>
                  </c:pt>
                  <c:pt idx="326">
                    <c:v>0.39689999999999998</c:v>
                  </c:pt>
                  <c:pt idx="327">
                    <c:v>0.3977</c:v>
                  </c:pt>
                  <c:pt idx="328">
                    <c:v>0.3977</c:v>
                  </c:pt>
                  <c:pt idx="329">
                    <c:v>0.3982</c:v>
                  </c:pt>
                  <c:pt idx="330">
                    <c:v>0.4017</c:v>
                  </c:pt>
                  <c:pt idx="331">
                    <c:v>0.40249999999999997</c:v>
                  </c:pt>
                  <c:pt idx="332">
                    <c:v>0.40249999999999997</c:v>
                  </c:pt>
                  <c:pt idx="333">
                    <c:v>0.40310000000000001</c:v>
                  </c:pt>
                  <c:pt idx="334">
                    <c:v>0.40329999999999999</c:v>
                  </c:pt>
                  <c:pt idx="335">
                    <c:v>0.40379999999999999</c:v>
                  </c:pt>
                  <c:pt idx="336">
                    <c:v>0.40399999999999997</c:v>
                  </c:pt>
                  <c:pt idx="337">
                    <c:v>0.40389999999999998</c:v>
                  </c:pt>
                  <c:pt idx="338">
                    <c:v>0.40379999999999999</c:v>
                  </c:pt>
                  <c:pt idx="339">
                    <c:v>0.40479999999999999</c:v>
                  </c:pt>
                  <c:pt idx="340">
                    <c:v>0.40699999999999997</c:v>
                  </c:pt>
                  <c:pt idx="341">
                    <c:v>0.40709999999999996</c:v>
                  </c:pt>
                  <c:pt idx="342">
                    <c:v>0.40749999999999997</c:v>
                  </c:pt>
                  <c:pt idx="343">
                    <c:v>0.40770000000000001</c:v>
                  </c:pt>
                  <c:pt idx="344">
                    <c:v>0.40749999999999997</c:v>
                  </c:pt>
                  <c:pt idx="345">
                    <c:v>0.40770000000000001</c:v>
                  </c:pt>
                  <c:pt idx="346">
                    <c:v>0.4073</c:v>
                  </c:pt>
                  <c:pt idx="347">
                    <c:v>0.40849999999999997</c:v>
                  </c:pt>
                  <c:pt idx="348">
                    <c:v>0.40839999999999999</c:v>
                  </c:pt>
                  <c:pt idx="349">
                    <c:v>0.40859999999999996</c:v>
                  </c:pt>
                  <c:pt idx="350">
                    <c:v>0.40849999999999997</c:v>
                  </c:pt>
                  <c:pt idx="351">
                    <c:v>0.40989999999999999</c:v>
                  </c:pt>
                  <c:pt idx="352">
                    <c:v>0.40989999999999999</c:v>
                  </c:pt>
                  <c:pt idx="353">
                    <c:v>0.40989999999999999</c:v>
                  </c:pt>
                  <c:pt idx="354">
                    <c:v>0.40970000000000001</c:v>
                  </c:pt>
                </c:numCache>
              </c:numRef>
            </c:plus>
            <c:minus>
              <c:numRef>
                <c:f>'2'!$D$34:$D$388</c:f>
                <c:numCache>
                  <c:formatCode>General</c:formatCode>
                  <c:ptCount val="355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  <c:pt idx="195">
                    <c:v>5.8000000000000005E-3</c:v>
                  </c:pt>
                  <c:pt idx="196">
                    <c:v>5.8000000000000005E-3</c:v>
                  </c:pt>
                  <c:pt idx="197">
                    <c:v>5.8000000000000005E-3</c:v>
                  </c:pt>
                  <c:pt idx="198">
                    <c:v>5.8000000000000005E-3</c:v>
                  </c:pt>
                  <c:pt idx="199">
                    <c:v>5.8000000000000005E-3</c:v>
                  </c:pt>
                  <c:pt idx="200">
                    <c:v>5.8000000000000005E-3</c:v>
                  </c:pt>
                  <c:pt idx="201">
                    <c:v>5.8000000000000005E-3</c:v>
                  </c:pt>
                  <c:pt idx="202">
                    <c:v>5.8000000000000005E-3</c:v>
                  </c:pt>
                  <c:pt idx="203">
                    <c:v>5.8000000000000005E-3</c:v>
                  </c:pt>
                  <c:pt idx="204">
                    <c:v>5.8000000000000005E-3</c:v>
                  </c:pt>
                  <c:pt idx="205">
                    <c:v>5.8000000000000005E-3</c:v>
                  </c:pt>
                  <c:pt idx="206">
                    <c:v>5.8000000000000005E-3</c:v>
                  </c:pt>
                  <c:pt idx="207">
                    <c:v>5.8000000000000005E-3</c:v>
                  </c:pt>
                  <c:pt idx="208">
                    <c:v>5.8000000000000005E-3</c:v>
                  </c:pt>
                  <c:pt idx="209">
                    <c:v>5.8000000000000005E-3</c:v>
                  </c:pt>
                  <c:pt idx="210">
                    <c:v>5.8000000000000005E-3</c:v>
                  </c:pt>
                  <c:pt idx="211">
                    <c:v>5.8000000000000005E-3</c:v>
                  </c:pt>
                  <c:pt idx="212">
                    <c:v>5.8000000000000005E-3</c:v>
                  </c:pt>
                  <c:pt idx="213">
                    <c:v>5.8000000000000005E-3</c:v>
                  </c:pt>
                  <c:pt idx="214">
                    <c:v>5.8000000000000005E-3</c:v>
                  </c:pt>
                  <c:pt idx="215">
                    <c:v>5.8000000000000005E-3</c:v>
                  </c:pt>
                  <c:pt idx="216">
                    <c:v>5.8000000000000005E-3</c:v>
                  </c:pt>
                  <c:pt idx="217">
                    <c:v>5.8000000000000005E-3</c:v>
                  </c:pt>
                  <c:pt idx="218">
                    <c:v>5.8000000000000005E-3</c:v>
                  </c:pt>
                  <c:pt idx="219">
                    <c:v>5.8000000000000005E-3</c:v>
                  </c:pt>
                  <c:pt idx="220">
                    <c:v>5.8000000000000005E-3</c:v>
                  </c:pt>
                  <c:pt idx="221">
                    <c:v>5.8000000000000005E-3</c:v>
                  </c:pt>
                  <c:pt idx="222">
                    <c:v>5.8000000000000005E-3</c:v>
                  </c:pt>
                  <c:pt idx="223">
                    <c:v>5.8000000000000005E-3</c:v>
                  </c:pt>
                  <c:pt idx="224">
                    <c:v>5.8000000000000005E-3</c:v>
                  </c:pt>
                  <c:pt idx="225">
                    <c:v>5.8000000000000005E-3</c:v>
                  </c:pt>
                  <c:pt idx="226">
                    <c:v>5.8000000000000005E-3</c:v>
                  </c:pt>
                  <c:pt idx="227">
                    <c:v>5.8000000000000005E-3</c:v>
                  </c:pt>
                  <c:pt idx="228">
                    <c:v>5.8000000000000005E-3</c:v>
                  </c:pt>
                  <c:pt idx="229">
                    <c:v>5.8000000000000005E-3</c:v>
                  </c:pt>
                  <c:pt idx="230">
                    <c:v>5.8000000000000005E-3</c:v>
                  </c:pt>
                  <c:pt idx="231">
                    <c:v>5.8000000000000005E-3</c:v>
                  </c:pt>
                  <c:pt idx="232">
                    <c:v>5.8000000000000005E-3</c:v>
                  </c:pt>
                  <c:pt idx="233">
                    <c:v>5.8000000000000005E-3</c:v>
                  </c:pt>
                  <c:pt idx="234">
                    <c:v>5.8000000000000005E-3</c:v>
                  </c:pt>
                  <c:pt idx="235">
                    <c:v>5.8000000000000005E-3</c:v>
                  </c:pt>
                  <c:pt idx="236">
                    <c:v>5.8000000000000005E-3</c:v>
                  </c:pt>
                  <c:pt idx="237">
                    <c:v>5.8000000000000005E-3</c:v>
                  </c:pt>
                  <c:pt idx="238">
                    <c:v>5.8000000000000005E-3</c:v>
                  </c:pt>
                  <c:pt idx="239">
                    <c:v>5.8000000000000005E-3</c:v>
                  </c:pt>
                  <c:pt idx="240">
                    <c:v>5.8000000000000005E-3</c:v>
                  </c:pt>
                  <c:pt idx="241">
                    <c:v>5.8000000000000005E-3</c:v>
                  </c:pt>
                  <c:pt idx="242">
                    <c:v>5.8000000000000005E-3</c:v>
                  </c:pt>
                  <c:pt idx="243">
                    <c:v>5.8000000000000005E-3</c:v>
                  </c:pt>
                  <c:pt idx="244">
                    <c:v>5.8000000000000005E-3</c:v>
                  </c:pt>
                  <c:pt idx="245">
                    <c:v>5.8000000000000005E-3</c:v>
                  </c:pt>
                  <c:pt idx="246">
                    <c:v>5.8000000000000005E-3</c:v>
                  </c:pt>
                  <c:pt idx="247">
                    <c:v>5.8000000000000005E-3</c:v>
                  </c:pt>
                  <c:pt idx="248">
                    <c:v>5.8000000000000005E-3</c:v>
                  </c:pt>
                  <c:pt idx="249">
                    <c:v>5.8000000000000005E-3</c:v>
                  </c:pt>
                  <c:pt idx="250">
                    <c:v>5.8000000000000005E-3</c:v>
                  </c:pt>
                  <c:pt idx="251">
                    <c:v>5.8000000000000005E-3</c:v>
                  </c:pt>
                  <c:pt idx="252">
                    <c:v>5.8000000000000005E-3</c:v>
                  </c:pt>
                  <c:pt idx="253">
                    <c:v>5.8000000000000005E-3</c:v>
                  </c:pt>
                  <c:pt idx="254">
                    <c:v>5.8000000000000005E-3</c:v>
                  </c:pt>
                  <c:pt idx="255">
                    <c:v>5.8000000000000005E-3</c:v>
                  </c:pt>
                  <c:pt idx="256">
                    <c:v>5.8000000000000005E-3</c:v>
                  </c:pt>
                  <c:pt idx="257">
                    <c:v>5.8000000000000005E-3</c:v>
                  </c:pt>
                  <c:pt idx="258">
                    <c:v>5.8000000000000005E-3</c:v>
                  </c:pt>
                  <c:pt idx="259">
                    <c:v>5.8000000000000005E-3</c:v>
                  </c:pt>
                  <c:pt idx="260">
                    <c:v>5.8000000000000005E-3</c:v>
                  </c:pt>
                  <c:pt idx="261">
                    <c:v>5.8000000000000005E-3</c:v>
                  </c:pt>
                  <c:pt idx="262">
                    <c:v>5.8000000000000005E-3</c:v>
                  </c:pt>
                  <c:pt idx="263">
                    <c:v>5.8000000000000005E-3</c:v>
                  </c:pt>
                  <c:pt idx="264">
                    <c:v>5.8000000000000005E-3</c:v>
                  </c:pt>
                  <c:pt idx="265">
                    <c:v>5.8000000000000005E-3</c:v>
                  </c:pt>
                  <c:pt idx="266">
                    <c:v>5.8000000000000005E-3</c:v>
                  </c:pt>
                  <c:pt idx="267">
                    <c:v>5.8000000000000005E-3</c:v>
                  </c:pt>
                  <c:pt idx="268">
                    <c:v>5.8000000000000005E-3</c:v>
                  </c:pt>
                  <c:pt idx="269">
                    <c:v>5.8000000000000005E-3</c:v>
                  </c:pt>
                  <c:pt idx="270">
                    <c:v>5.8000000000000005E-3</c:v>
                  </c:pt>
                  <c:pt idx="271">
                    <c:v>5.8000000000000005E-3</c:v>
                  </c:pt>
                  <c:pt idx="272">
                    <c:v>5.8000000000000005E-3</c:v>
                  </c:pt>
                  <c:pt idx="273">
                    <c:v>5.8000000000000005E-3</c:v>
                  </c:pt>
                  <c:pt idx="274">
                    <c:v>5.8000000000000005E-3</c:v>
                  </c:pt>
                  <c:pt idx="275">
                    <c:v>5.8000000000000005E-3</c:v>
                  </c:pt>
                  <c:pt idx="276">
                    <c:v>5.8000000000000005E-3</c:v>
                  </c:pt>
                  <c:pt idx="277">
                    <c:v>5.8000000000000005E-3</c:v>
                  </c:pt>
                  <c:pt idx="278">
                    <c:v>5.8000000000000005E-3</c:v>
                  </c:pt>
                  <c:pt idx="279">
                    <c:v>5.8000000000000005E-3</c:v>
                  </c:pt>
                  <c:pt idx="280">
                    <c:v>5.8000000000000005E-3</c:v>
                  </c:pt>
                  <c:pt idx="281">
                    <c:v>5.8000000000000005E-3</c:v>
                  </c:pt>
                  <c:pt idx="282">
                    <c:v>5.8000000000000005E-3</c:v>
                  </c:pt>
                  <c:pt idx="283">
                    <c:v>5.8000000000000005E-3</c:v>
                  </c:pt>
                  <c:pt idx="284">
                    <c:v>5.8000000000000005E-3</c:v>
                  </c:pt>
                  <c:pt idx="285">
                    <c:v>5.8000000000000005E-3</c:v>
                  </c:pt>
                  <c:pt idx="286">
                    <c:v>5.8000000000000005E-3</c:v>
                  </c:pt>
                  <c:pt idx="287">
                    <c:v>5.8000000000000005E-3</c:v>
                  </c:pt>
                  <c:pt idx="288">
                    <c:v>5.8000000000000005E-3</c:v>
                  </c:pt>
                  <c:pt idx="289">
                    <c:v>5.8000000000000005E-3</c:v>
                  </c:pt>
                  <c:pt idx="290">
                    <c:v>5.8000000000000005E-3</c:v>
                  </c:pt>
                  <c:pt idx="291">
                    <c:v>5.8000000000000005E-3</c:v>
                  </c:pt>
                  <c:pt idx="292">
                    <c:v>5.8000000000000005E-3</c:v>
                  </c:pt>
                  <c:pt idx="293">
                    <c:v>5.8000000000000005E-3</c:v>
                  </c:pt>
                  <c:pt idx="294">
                    <c:v>5.8000000000000005E-3</c:v>
                  </c:pt>
                  <c:pt idx="295">
                    <c:v>5.8000000000000005E-3</c:v>
                  </c:pt>
                  <c:pt idx="296">
                    <c:v>5.8000000000000005E-3</c:v>
                  </c:pt>
                  <c:pt idx="297">
                    <c:v>5.8000000000000005E-3</c:v>
                  </c:pt>
                  <c:pt idx="298">
                    <c:v>5.8000000000000005E-3</c:v>
                  </c:pt>
                  <c:pt idx="299">
                    <c:v>5.8000000000000005E-3</c:v>
                  </c:pt>
                  <c:pt idx="300">
                    <c:v>5.8000000000000005E-3</c:v>
                  </c:pt>
                  <c:pt idx="301">
                    <c:v>5.8000000000000005E-3</c:v>
                  </c:pt>
                  <c:pt idx="302">
                    <c:v>5.8000000000000005E-3</c:v>
                  </c:pt>
                  <c:pt idx="303">
                    <c:v>5.8000000000000005E-3</c:v>
                  </c:pt>
                  <c:pt idx="304">
                    <c:v>5.8000000000000005E-3</c:v>
                  </c:pt>
                  <c:pt idx="305">
                    <c:v>5.8000000000000005E-3</c:v>
                  </c:pt>
                  <c:pt idx="306">
                    <c:v>5.8000000000000005E-3</c:v>
                  </c:pt>
                  <c:pt idx="307">
                    <c:v>5.8000000000000005E-3</c:v>
                  </c:pt>
                  <c:pt idx="308">
                    <c:v>5.8000000000000005E-3</c:v>
                  </c:pt>
                  <c:pt idx="309">
                    <c:v>5.8000000000000005E-3</c:v>
                  </c:pt>
                  <c:pt idx="310">
                    <c:v>5.8000000000000005E-3</c:v>
                  </c:pt>
                  <c:pt idx="311">
                    <c:v>5.8000000000000005E-3</c:v>
                  </c:pt>
                  <c:pt idx="312">
                    <c:v>5.8000000000000005E-3</c:v>
                  </c:pt>
                  <c:pt idx="313">
                    <c:v>5.8000000000000005E-3</c:v>
                  </c:pt>
                  <c:pt idx="314">
                    <c:v>5.8000000000000005E-3</c:v>
                  </c:pt>
                  <c:pt idx="315">
                    <c:v>5.8000000000000005E-3</c:v>
                  </c:pt>
                  <c:pt idx="316">
                    <c:v>5.8000000000000005E-3</c:v>
                  </c:pt>
                  <c:pt idx="317">
                    <c:v>5.8000000000000005E-3</c:v>
                  </c:pt>
                  <c:pt idx="318">
                    <c:v>5.8000000000000005E-3</c:v>
                  </c:pt>
                  <c:pt idx="319">
                    <c:v>5.8000000000000005E-3</c:v>
                  </c:pt>
                  <c:pt idx="320">
                    <c:v>5.8000000000000005E-3</c:v>
                  </c:pt>
                  <c:pt idx="321">
                    <c:v>5.8000000000000005E-3</c:v>
                  </c:pt>
                  <c:pt idx="322">
                    <c:v>5.8000000000000005E-3</c:v>
                  </c:pt>
                  <c:pt idx="323">
                    <c:v>5.8000000000000005E-3</c:v>
                  </c:pt>
                  <c:pt idx="324">
                    <c:v>5.8000000000000005E-3</c:v>
                  </c:pt>
                  <c:pt idx="325">
                    <c:v>5.8000000000000005E-3</c:v>
                  </c:pt>
                  <c:pt idx="326">
                    <c:v>5.8000000000000005E-3</c:v>
                  </c:pt>
                  <c:pt idx="327">
                    <c:v>5.8000000000000005E-3</c:v>
                  </c:pt>
                  <c:pt idx="328">
                    <c:v>5.8000000000000005E-3</c:v>
                  </c:pt>
                  <c:pt idx="329">
                    <c:v>5.8000000000000005E-3</c:v>
                  </c:pt>
                  <c:pt idx="330">
                    <c:v>5.8000000000000005E-3</c:v>
                  </c:pt>
                  <c:pt idx="331">
                    <c:v>5.8000000000000005E-3</c:v>
                  </c:pt>
                  <c:pt idx="332">
                    <c:v>5.8000000000000005E-3</c:v>
                  </c:pt>
                  <c:pt idx="333">
                    <c:v>5.8000000000000005E-3</c:v>
                  </c:pt>
                  <c:pt idx="334">
                    <c:v>5.8000000000000005E-3</c:v>
                  </c:pt>
                  <c:pt idx="335">
                    <c:v>5.8000000000000005E-3</c:v>
                  </c:pt>
                  <c:pt idx="336">
                    <c:v>5.8000000000000005E-3</c:v>
                  </c:pt>
                  <c:pt idx="337">
                    <c:v>5.8000000000000005E-3</c:v>
                  </c:pt>
                  <c:pt idx="338">
                    <c:v>5.8000000000000005E-3</c:v>
                  </c:pt>
                  <c:pt idx="339">
                    <c:v>5.8000000000000005E-3</c:v>
                  </c:pt>
                  <c:pt idx="340">
                    <c:v>5.8000000000000005E-3</c:v>
                  </c:pt>
                  <c:pt idx="341">
                    <c:v>5.8000000000000005E-3</c:v>
                  </c:pt>
                  <c:pt idx="342">
                    <c:v>5.8000000000000005E-3</c:v>
                  </c:pt>
                  <c:pt idx="343">
                    <c:v>5.8000000000000005E-3</c:v>
                  </c:pt>
                  <c:pt idx="344">
                    <c:v>5.8000000000000005E-3</c:v>
                  </c:pt>
                  <c:pt idx="345">
                    <c:v>5.8000000000000005E-3</c:v>
                  </c:pt>
                  <c:pt idx="346">
                    <c:v>5.8000000000000005E-3</c:v>
                  </c:pt>
                  <c:pt idx="347">
                    <c:v>5.8000000000000005E-3</c:v>
                  </c:pt>
                  <c:pt idx="348">
                    <c:v>5.8000000000000005E-3</c:v>
                  </c:pt>
                  <c:pt idx="349">
                    <c:v>5.8000000000000005E-3</c:v>
                  </c:pt>
                  <c:pt idx="350">
                    <c:v>5.8000000000000005E-3</c:v>
                  </c:pt>
                  <c:pt idx="351">
                    <c:v>5.8000000000000005E-3</c:v>
                  </c:pt>
                  <c:pt idx="352">
                    <c:v>5.8000000000000005E-3</c:v>
                  </c:pt>
                  <c:pt idx="353">
                    <c:v>5.8000000000000005E-3</c:v>
                  </c:pt>
                  <c:pt idx="354">
                    <c:v>5.8000000000000005E-3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'2'!$A$34:$A$388</c:f>
              <c:numCache>
                <c:formatCode>General</c:formatCode>
                <c:ptCount val="355"/>
                <c:pt idx="0">
                  <c:v>-97.900001525878906</c:v>
                </c:pt>
                <c:pt idx="1">
                  <c:v>-95.199996948242202</c:v>
                </c:pt>
                <c:pt idx="2">
                  <c:v>-93.699996948242202</c:v>
                </c:pt>
                <c:pt idx="3">
                  <c:v>-91.900001525878906</c:v>
                </c:pt>
                <c:pt idx="4">
                  <c:v>-91.699996948242202</c:v>
                </c:pt>
                <c:pt idx="5">
                  <c:v>-91.699996948242202</c:v>
                </c:pt>
                <c:pt idx="6">
                  <c:v>-91.699996948242202</c:v>
                </c:pt>
                <c:pt idx="7">
                  <c:v>-91.699996948242202</c:v>
                </c:pt>
                <c:pt idx="8">
                  <c:v>-91.599998474121094</c:v>
                </c:pt>
                <c:pt idx="9">
                  <c:v>-91</c:v>
                </c:pt>
                <c:pt idx="10">
                  <c:v>-90.199996948242202</c:v>
                </c:pt>
                <c:pt idx="11">
                  <c:v>-89.900001525878906</c:v>
                </c:pt>
                <c:pt idx="12">
                  <c:v>-89.900001525878906</c:v>
                </c:pt>
                <c:pt idx="13">
                  <c:v>-89.900001525878906</c:v>
                </c:pt>
                <c:pt idx="14">
                  <c:v>-90.199996948242202</c:v>
                </c:pt>
                <c:pt idx="15">
                  <c:v>-83.800003051757798</c:v>
                </c:pt>
                <c:pt idx="16">
                  <c:v>-82.800003051757798</c:v>
                </c:pt>
                <c:pt idx="17">
                  <c:v>-82.699996948242202</c:v>
                </c:pt>
                <c:pt idx="18">
                  <c:v>-77.5</c:v>
                </c:pt>
                <c:pt idx="19">
                  <c:v>-76.300003051757798</c:v>
                </c:pt>
                <c:pt idx="20">
                  <c:v>-57.700000762939503</c:v>
                </c:pt>
                <c:pt idx="21">
                  <c:v>-56.299999237060497</c:v>
                </c:pt>
                <c:pt idx="22">
                  <c:v>-56.700000762939503</c:v>
                </c:pt>
                <c:pt idx="23">
                  <c:v>-54.299999237060497</c:v>
                </c:pt>
                <c:pt idx="24">
                  <c:v>-48.599998474121101</c:v>
                </c:pt>
                <c:pt idx="25">
                  <c:v>-46.299999237060497</c:v>
                </c:pt>
                <c:pt idx="26">
                  <c:v>0</c:v>
                </c:pt>
                <c:pt idx="27">
                  <c:v>-41.900001525878899</c:v>
                </c:pt>
                <c:pt idx="28">
                  <c:v>-41.889999389648402</c:v>
                </c:pt>
                <c:pt idx="29">
                  <c:v>-39.490001678466797</c:v>
                </c:pt>
                <c:pt idx="30">
                  <c:v>-37.060001373291001</c:v>
                </c:pt>
                <c:pt idx="31">
                  <c:v>-36.240001678466797</c:v>
                </c:pt>
                <c:pt idx="32">
                  <c:v>-33.380001068115199</c:v>
                </c:pt>
                <c:pt idx="33">
                  <c:v>-31.2399997711182</c:v>
                </c:pt>
                <c:pt idx="34">
                  <c:v>-29.450000762939499</c:v>
                </c:pt>
                <c:pt idx="35">
                  <c:v>-27.670000076293899</c:v>
                </c:pt>
                <c:pt idx="36">
                  <c:v>-25.899999618530298</c:v>
                </c:pt>
                <c:pt idx="37">
                  <c:v>-25.0200004577637</c:v>
                </c:pt>
                <c:pt idx="38">
                  <c:v>-22.350000381469702</c:v>
                </c:pt>
                <c:pt idx="39">
                  <c:v>-20.579999923706101</c:v>
                </c:pt>
                <c:pt idx="40">
                  <c:v>-18.860000610351602</c:v>
                </c:pt>
                <c:pt idx="41">
                  <c:v>-15.2700004577637</c:v>
                </c:pt>
                <c:pt idx="42">
                  <c:v>-13.5100002288818</c:v>
                </c:pt>
                <c:pt idx="43">
                  <c:v>-11.75</c:v>
                </c:pt>
                <c:pt idx="44">
                  <c:v>-9.9600000381469709</c:v>
                </c:pt>
                <c:pt idx="45">
                  <c:v>-9.4200000762939506</c:v>
                </c:pt>
                <c:pt idx="46">
                  <c:v>-4.6799998283386204</c:v>
                </c:pt>
                <c:pt idx="47">
                  <c:v>-1.5099999904632599</c:v>
                </c:pt>
                <c:pt idx="48">
                  <c:v>-0.15000000596046401</c:v>
                </c:pt>
                <c:pt idx="49">
                  <c:v>2.4800000190734899</c:v>
                </c:pt>
                <c:pt idx="50">
                  <c:v>2.4700000286102299</c:v>
                </c:pt>
                <c:pt idx="51">
                  <c:v>2.5899999141693102</c:v>
                </c:pt>
                <c:pt idx="52">
                  <c:v>4.25</c:v>
                </c:pt>
                <c:pt idx="53">
                  <c:v>6.5900001525878897</c:v>
                </c:pt>
                <c:pt idx="54">
                  <c:v>7.7699999809265101</c:v>
                </c:pt>
                <c:pt idx="55">
                  <c:v>11.210000038146999</c:v>
                </c:pt>
                <c:pt idx="56">
                  <c:v>11.3699998855591</c:v>
                </c:pt>
                <c:pt idx="57">
                  <c:v>13.1300001144409</c:v>
                </c:pt>
                <c:pt idx="58">
                  <c:v>14.0100002288818</c:v>
                </c:pt>
                <c:pt idx="59">
                  <c:v>21.590000152587901</c:v>
                </c:pt>
                <c:pt idx="60">
                  <c:v>23.7600002288818</c:v>
                </c:pt>
                <c:pt idx="61">
                  <c:v>25.5100002288818</c:v>
                </c:pt>
                <c:pt idx="62">
                  <c:v>27.469999313354499</c:v>
                </c:pt>
                <c:pt idx="63">
                  <c:v>30.350000381469702</c:v>
                </c:pt>
                <c:pt idx="64">
                  <c:v>30.930000305175799</c:v>
                </c:pt>
                <c:pt idx="65">
                  <c:v>31.829999923706101</c:v>
                </c:pt>
                <c:pt idx="66">
                  <c:v>34.450000762939503</c:v>
                </c:pt>
                <c:pt idx="67">
                  <c:v>37.880001068115199</c:v>
                </c:pt>
                <c:pt idx="68">
                  <c:v>40.560001373291001</c:v>
                </c:pt>
                <c:pt idx="69">
                  <c:v>45.599998474121101</c:v>
                </c:pt>
                <c:pt idx="70">
                  <c:v>48.549999237060497</c:v>
                </c:pt>
                <c:pt idx="71">
                  <c:v>45.419998168945298</c:v>
                </c:pt>
                <c:pt idx="72">
                  <c:v>63.5</c:v>
                </c:pt>
                <c:pt idx="73">
                  <c:v>66.300003051757798</c:v>
                </c:pt>
                <c:pt idx="74">
                  <c:v>68.099998474121094</c:v>
                </c:pt>
                <c:pt idx="75">
                  <c:v>68.099998474121094</c:v>
                </c:pt>
                <c:pt idx="76">
                  <c:v>68.099998474121094</c:v>
                </c:pt>
                <c:pt idx="77">
                  <c:v>70.599998474121094</c:v>
                </c:pt>
                <c:pt idx="78">
                  <c:v>68.099998474121094</c:v>
                </c:pt>
                <c:pt idx="79">
                  <c:v>71.599998474121094</c:v>
                </c:pt>
                <c:pt idx="80">
                  <c:v>72.599998474121094</c:v>
                </c:pt>
                <c:pt idx="81">
                  <c:v>76.699996948242202</c:v>
                </c:pt>
                <c:pt idx="82">
                  <c:v>78.699996948242202</c:v>
                </c:pt>
                <c:pt idx="83">
                  <c:v>81.300003051757798</c:v>
                </c:pt>
                <c:pt idx="84">
                  <c:v>84.300003051757798</c:v>
                </c:pt>
                <c:pt idx="85">
                  <c:v>86.199996948242202</c:v>
                </c:pt>
                <c:pt idx="86">
                  <c:v>88.800003051757798</c:v>
                </c:pt>
                <c:pt idx="87">
                  <c:v>91</c:v>
                </c:pt>
                <c:pt idx="88">
                  <c:v>92.800003051757798</c:v>
                </c:pt>
                <c:pt idx="89">
                  <c:v>92.800003051757798</c:v>
                </c:pt>
                <c:pt idx="90">
                  <c:v>94.599998474121094</c:v>
                </c:pt>
                <c:pt idx="91">
                  <c:v>99.900001525878906</c:v>
                </c:pt>
                <c:pt idx="92">
                  <c:v>101.59999847412099</c:v>
                </c:pt>
                <c:pt idx="93">
                  <c:v>105.09999847412099</c:v>
                </c:pt>
                <c:pt idx="94">
                  <c:v>107.699996948242</c:v>
                </c:pt>
                <c:pt idx="95">
                  <c:v>113.90000152587901</c:v>
                </c:pt>
                <c:pt idx="96">
                  <c:v>114</c:v>
                </c:pt>
                <c:pt idx="97">
                  <c:v>115.699996948242</c:v>
                </c:pt>
                <c:pt idx="98">
                  <c:v>117.40000152587901</c:v>
                </c:pt>
                <c:pt idx="99">
                  <c:v>117.5</c:v>
                </c:pt>
                <c:pt idx="100">
                  <c:v>119.199996948242</c:v>
                </c:pt>
                <c:pt idx="101">
                  <c:v>122.800003051758</c:v>
                </c:pt>
                <c:pt idx="102">
                  <c:v>122.800003051758</c:v>
                </c:pt>
                <c:pt idx="103">
                  <c:v>123</c:v>
                </c:pt>
                <c:pt idx="104">
                  <c:v>125.09999847412099</c:v>
                </c:pt>
                <c:pt idx="105">
                  <c:v>130.10000610351599</c:v>
                </c:pt>
                <c:pt idx="106">
                  <c:v>132.60000610351599</c:v>
                </c:pt>
                <c:pt idx="107">
                  <c:v>134.19999694824199</c:v>
                </c:pt>
                <c:pt idx="108">
                  <c:v>135.39999389648401</c:v>
                </c:pt>
                <c:pt idx="109">
                  <c:v>138.60000610351599</c:v>
                </c:pt>
                <c:pt idx="110">
                  <c:v>142.19999694824199</c:v>
                </c:pt>
                <c:pt idx="111">
                  <c:v>147.39999389648401</c:v>
                </c:pt>
                <c:pt idx="112">
                  <c:v>152.39999389648401</c:v>
                </c:pt>
                <c:pt idx="113">
                  <c:v>152.60000610351599</c:v>
                </c:pt>
                <c:pt idx="114">
                  <c:v>165.80000305175801</c:v>
                </c:pt>
                <c:pt idx="115">
                  <c:v>166.69999694824199</c:v>
                </c:pt>
                <c:pt idx="116">
                  <c:v>171</c:v>
                </c:pt>
                <c:pt idx="117">
                  <c:v>173.60000610351599</c:v>
                </c:pt>
                <c:pt idx="118">
                  <c:v>180.89999389648401</c:v>
                </c:pt>
                <c:pt idx="119">
                  <c:v>182.5</c:v>
                </c:pt>
                <c:pt idx="120">
                  <c:v>184.30000305175801</c:v>
                </c:pt>
                <c:pt idx="121">
                  <c:v>186</c:v>
                </c:pt>
                <c:pt idx="122">
                  <c:v>187.89999389648401</c:v>
                </c:pt>
                <c:pt idx="123">
                  <c:v>187.89999389648401</c:v>
                </c:pt>
                <c:pt idx="124">
                  <c:v>189.5</c:v>
                </c:pt>
                <c:pt idx="125">
                  <c:v>193.39999389648401</c:v>
                </c:pt>
                <c:pt idx="126">
                  <c:v>195</c:v>
                </c:pt>
                <c:pt idx="127">
                  <c:v>196.5</c:v>
                </c:pt>
                <c:pt idx="128">
                  <c:v>196.69999694824199</c:v>
                </c:pt>
                <c:pt idx="129">
                  <c:v>200.19999694824199</c:v>
                </c:pt>
                <c:pt idx="130">
                  <c:v>200.30000305175801</c:v>
                </c:pt>
                <c:pt idx="131">
                  <c:v>201.69999694824199</c:v>
                </c:pt>
                <c:pt idx="132">
                  <c:v>202.89999389648401</c:v>
                </c:pt>
                <c:pt idx="133">
                  <c:v>209.19999694824199</c:v>
                </c:pt>
                <c:pt idx="134">
                  <c:v>210.69999694824199</c:v>
                </c:pt>
                <c:pt idx="135">
                  <c:v>210.80000305175801</c:v>
                </c:pt>
                <c:pt idx="136">
                  <c:v>212.19999694824199</c:v>
                </c:pt>
                <c:pt idx="137">
                  <c:v>212.5</c:v>
                </c:pt>
                <c:pt idx="138">
                  <c:v>214.19999694824199</c:v>
                </c:pt>
                <c:pt idx="139">
                  <c:v>215.89999389648401</c:v>
                </c:pt>
                <c:pt idx="140">
                  <c:v>217.69999694824199</c:v>
                </c:pt>
                <c:pt idx="141">
                  <c:v>219.39999389648401</c:v>
                </c:pt>
                <c:pt idx="142">
                  <c:v>222.89999389648401</c:v>
                </c:pt>
                <c:pt idx="143">
                  <c:v>223</c:v>
                </c:pt>
                <c:pt idx="144">
                  <c:v>226.80000305175801</c:v>
                </c:pt>
                <c:pt idx="145">
                  <c:v>230.89999389648401</c:v>
                </c:pt>
                <c:pt idx="146">
                  <c:v>235</c:v>
                </c:pt>
                <c:pt idx="147">
                  <c:v>235.19999694824199</c:v>
                </c:pt>
                <c:pt idx="148">
                  <c:v>236.10000610351599</c:v>
                </c:pt>
                <c:pt idx="149">
                  <c:v>239.5</c:v>
                </c:pt>
                <c:pt idx="150">
                  <c:v>241.89999389648401</c:v>
                </c:pt>
                <c:pt idx="151">
                  <c:v>242.10000610351599</c:v>
                </c:pt>
                <c:pt idx="152">
                  <c:v>243.5</c:v>
                </c:pt>
                <c:pt idx="153">
                  <c:v>243.89999389648401</c:v>
                </c:pt>
                <c:pt idx="154">
                  <c:v>245.19999694824199</c:v>
                </c:pt>
                <c:pt idx="155">
                  <c:v>246.30000305175801</c:v>
                </c:pt>
                <c:pt idx="156">
                  <c:v>247</c:v>
                </c:pt>
                <c:pt idx="157">
                  <c:v>247.60000610351599</c:v>
                </c:pt>
                <c:pt idx="158">
                  <c:v>248.5</c:v>
                </c:pt>
                <c:pt idx="159">
                  <c:v>248.5</c:v>
                </c:pt>
                <c:pt idx="160">
                  <c:v>250.30000305175801</c:v>
                </c:pt>
                <c:pt idx="161">
                  <c:v>253.60000610351599</c:v>
                </c:pt>
                <c:pt idx="162">
                  <c:v>254.39999389648401</c:v>
                </c:pt>
                <c:pt idx="163">
                  <c:v>255.30000305175801</c:v>
                </c:pt>
                <c:pt idx="164">
                  <c:v>257.39999389648398</c:v>
                </c:pt>
                <c:pt idx="165">
                  <c:v>265.60000610351602</c:v>
                </c:pt>
                <c:pt idx="166">
                  <c:v>266</c:v>
                </c:pt>
                <c:pt idx="167">
                  <c:v>266</c:v>
                </c:pt>
                <c:pt idx="168">
                  <c:v>266.10000610351602</c:v>
                </c:pt>
                <c:pt idx="169">
                  <c:v>272.29998779296898</c:v>
                </c:pt>
                <c:pt idx="170">
                  <c:v>272.89999389648398</c:v>
                </c:pt>
                <c:pt idx="171">
                  <c:v>274.60000610351602</c:v>
                </c:pt>
                <c:pt idx="172">
                  <c:v>276.29998779296898</c:v>
                </c:pt>
                <c:pt idx="173">
                  <c:v>278</c:v>
                </c:pt>
                <c:pt idx="174">
                  <c:v>277.89999389648398</c:v>
                </c:pt>
                <c:pt idx="175">
                  <c:v>279.60000610351602</c:v>
                </c:pt>
                <c:pt idx="176">
                  <c:v>279.70001220703102</c:v>
                </c:pt>
                <c:pt idx="177">
                  <c:v>281.29998779296898</c:v>
                </c:pt>
                <c:pt idx="178">
                  <c:v>283</c:v>
                </c:pt>
                <c:pt idx="179">
                  <c:v>283.10000610351602</c:v>
                </c:pt>
                <c:pt idx="180">
                  <c:v>284.70001220703102</c:v>
                </c:pt>
                <c:pt idx="181">
                  <c:v>287.29998779296898</c:v>
                </c:pt>
                <c:pt idx="182">
                  <c:v>296.70001220703102</c:v>
                </c:pt>
                <c:pt idx="183">
                  <c:v>296.60000610351602</c:v>
                </c:pt>
                <c:pt idx="184">
                  <c:v>299.89999389648398</c:v>
                </c:pt>
                <c:pt idx="185">
                  <c:v>301.60000610351602</c:v>
                </c:pt>
                <c:pt idx="186">
                  <c:v>303.10000610351602</c:v>
                </c:pt>
                <c:pt idx="187">
                  <c:v>303.20001220703102</c:v>
                </c:pt>
                <c:pt idx="188">
                  <c:v>306.39999389648398</c:v>
                </c:pt>
                <c:pt idx="189">
                  <c:v>306.5</c:v>
                </c:pt>
                <c:pt idx="190">
                  <c:v>307.20001220703102</c:v>
                </c:pt>
                <c:pt idx="191">
                  <c:v>308</c:v>
                </c:pt>
                <c:pt idx="192">
                  <c:v>308.10000610351602</c:v>
                </c:pt>
                <c:pt idx="193">
                  <c:v>308.10000610351602</c:v>
                </c:pt>
                <c:pt idx="194">
                  <c:v>310.60000610351602</c:v>
                </c:pt>
                <c:pt idx="195">
                  <c:v>312.89999389648398</c:v>
                </c:pt>
                <c:pt idx="196">
                  <c:v>313</c:v>
                </c:pt>
                <c:pt idx="197">
                  <c:v>314.5</c:v>
                </c:pt>
                <c:pt idx="198">
                  <c:v>314.60000610351602</c:v>
                </c:pt>
                <c:pt idx="199">
                  <c:v>318</c:v>
                </c:pt>
                <c:pt idx="200">
                  <c:v>318.10000610351602</c:v>
                </c:pt>
                <c:pt idx="201">
                  <c:v>319.5</c:v>
                </c:pt>
                <c:pt idx="202">
                  <c:v>319.5</c:v>
                </c:pt>
                <c:pt idx="203">
                  <c:v>324.5</c:v>
                </c:pt>
                <c:pt idx="204">
                  <c:v>326.10000610351602</c:v>
                </c:pt>
                <c:pt idx="205">
                  <c:v>327.20001220703102</c:v>
                </c:pt>
                <c:pt idx="206">
                  <c:v>327.70001220703102</c:v>
                </c:pt>
                <c:pt idx="207">
                  <c:v>329.39999389648398</c:v>
                </c:pt>
                <c:pt idx="208">
                  <c:v>329.39999389648398</c:v>
                </c:pt>
                <c:pt idx="209">
                  <c:v>329.70001220703102</c:v>
                </c:pt>
                <c:pt idx="210">
                  <c:v>334</c:v>
                </c:pt>
                <c:pt idx="211">
                  <c:v>337.20001220703102</c:v>
                </c:pt>
                <c:pt idx="212">
                  <c:v>345.20001220703102</c:v>
                </c:pt>
                <c:pt idx="213">
                  <c:v>345.20001220703102</c:v>
                </c:pt>
                <c:pt idx="214">
                  <c:v>345.20001220703102</c:v>
                </c:pt>
                <c:pt idx="215">
                  <c:v>346.79998779296898</c:v>
                </c:pt>
                <c:pt idx="216">
                  <c:v>348.39999389648398</c:v>
                </c:pt>
                <c:pt idx="217">
                  <c:v>348.29998779296898</c:v>
                </c:pt>
                <c:pt idx="218">
                  <c:v>349</c:v>
                </c:pt>
                <c:pt idx="219">
                  <c:v>351.60000610351602</c:v>
                </c:pt>
                <c:pt idx="220">
                  <c:v>351.5</c:v>
                </c:pt>
                <c:pt idx="221">
                  <c:v>351.60000610351602</c:v>
                </c:pt>
                <c:pt idx="222">
                  <c:v>351.5</c:v>
                </c:pt>
                <c:pt idx="223">
                  <c:v>351.5</c:v>
                </c:pt>
                <c:pt idx="224">
                  <c:v>351.5</c:v>
                </c:pt>
                <c:pt idx="225">
                  <c:v>351.60000610351602</c:v>
                </c:pt>
                <c:pt idx="226">
                  <c:v>356.10000610351602</c:v>
                </c:pt>
                <c:pt idx="227">
                  <c:v>356.20001220703102</c:v>
                </c:pt>
                <c:pt idx="228">
                  <c:v>356.29998779296898</c:v>
                </c:pt>
                <c:pt idx="229">
                  <c:v>356.20001220703102</c:v>
                </c:pt>
                <c:pt idx="230">
                  <c:v>356.20001220703102</c:v>
                </c:pt>
                <c:pt idx="231">
                  <c:v>357.70001220703102</c:v>
                </c:pt>
                <c:pt idx="232">
                  <c:v>359.29998779296898</c:v>
                </c:pt>
                <c:pt idx="233">
                  <c:v>361.89999389648398</c:v>
                </c:pt>
                <c:pt idx="234">
                  <c:v>362.5</c:v>
                </c:pt>
                <c:pt idx="235">
                  <c:v>362.5</c:v>
                </c:pt>
                <c:pt idx="236">
                  <c:v>362.39999389648398</c:v>
                </c:pt>
                <c:pt idx="237">
                  <c:v>364</c:v>
                </c:pt>
                <c:pt idx="238">
                  <c:v>365.5</c:v>
                </c:pt>
                <c:pt idx="239">
                  <c:v>365.39999389648398</c:v>
                </c:pt>
                <c:pt idx="240">
                  <c:v>365.5</c:v>
                </c:pt>
                <c:pt idx="241">
                  <c:v>367.89999389648398</c:v>
                </c:pt>
                <c:pt idx="242">
                  <c:v>370</c:v>
                </c:pt>
                <c:pt idx="243">
                  <c:v>370.10000610351602</c:v>
                </c:pt>
                <c:pt idx="244">
                  <c:v>370</c:v>
                </c:pt>
                <c:pt idx="245">
                  <c:v>371.89999389648398</c:v>
                </c:pt>
                <c:pt idx="246">
                  <c:v>372.89999389648398</c:v>
                </c:pt>
                <c:pt idx="247">
                  <c:v>373.20001220703102</c:v>
                </c:pt>
                <c:pt idx="248">
                  <c:v>373.10000610351602</c:v>
                </c:pt>
                <c:pt idx="249">
                  <c:v>374.20001220703102</c:v>
                </c:pt>
                <c:pt idx="250">
                  <c:v>374.29998779296898</c:v>
                </c:pt>
                <c:pt idx="251">
                  <c:v>375.60000610351602</c:v>
                </c:pt>
                <c:pt idx="252">
                  <c:v>375.70001220703102</c:v>
                </c:pt>
                <c:pt idx="253">
                  <c:v>375.79998779296898</c:v>
                </c:pt>
                <c:pt idx="254">
                  <c:v>378.89999389648398</c:v>
                </c:pt>
                <c:pt idx="255">
                  <c:v>379.89999389648398</c:v>
                </c:pt>
                <c:pt idx="256">
                  <c:v>382.79998779296898</c:v>
                </c:pt>
                <c:pt idx="257">
                  <c:v>385.39999389648398</c:v>
                </c:pt>
                <c:pt idx="258">
                  <c:v>387</c:v>
                </c:pt>
                <c:pt idx="259">
                  <c:v>392.20001220703102</c:v>
                </c:pt>
                <c:pt idx="260">
                  <c:v>396.89999389648398</c:v>
                </c:pt>
                <c:pt idx="261">
                  <c:v>397.29998779296898</c:v>
                </c:pt>
                <c:pt idx="262">
                  <c:v>399.39999389648398</c:v>
                </c:pt>
                <c:pt idx="263">
                  <c:v>401.10000610351602</c:v>
                </c:pt>
                <c:pt idx="264">
                  <c:v>402.79998779296898</c:v>
                </c:pt>
                <c:pt idx="265">
                  <c:v>402.89999389648398</c:v>
                </c:pt>
                <c:pt idx="266">
                  <c:v>404.29998779296898</c:v>
                </c:pt>
                <c:pt idx="267">
                  <c:v>408.29998779296898</c:v>
                </c:pt>
                <c:pt idx="268">
                  <c:v>408.39999389648398</c:v>
                </c:pt>
                <c:pt idx="269">
                  <c:v>409.70001220703102</c:v>
                </c:pt>
                <c:pt idx="270">
                  <c:v>409.79998779296898</c:v>
                </c:pt>
                <c:pt idx="271">
                  <c:v>410.70001220703102</c:v>
                </c:pt>
                <c:pt idx="272">
                  <c:v>411.10000610351602</c:v>
                </c:pt>
                <c:pt idx="273">
                  <c:v>411.10000610351602</c:v>
                </c:pt>
                <c:pt idx="274">
                  <c:v>411.10000610351602</c:v>
                </c:pt>
                <c:pt idx="275">
                  <c:v>411.70001220703102</c:v>
                </c:pt>
                <c:pt idx="276">
                  <c:v>413.70001220703102</c:v>
                </c:pt>
                <c:pt idx="277">
                  <c:v>427.89999389648398</c:v>
                </c:pt>
                <c:pt idx="278">
                  <c:v>429.39999389648398</c:v>
                </c:pt>
                <c:pt idx="279">
                  <c:v>429.39999389648398</c:v>
                </c:pt>
                <c:pt idx="280">
                  <c:v>430.70001220703102</c:v>
                </c:pt>
                <c:pt idx="281">
                  <c:v>430.60000610351602</c:v>
                </c:pt>
                <c:pt idx="282">
                  <c:v>430.79998779296898</c:v>
                </c:pt>
                <c:pt idx="283">
                  <c:v>433.10000610351602</c:v>
                </c:pt>
                <c:pt idx="284">
                  <c:v>433.10000610351602</c:v>
                </c:pt>
                <c:pt idx="285">
                  <c:v>434.39999389648398</c:v>
                </c:pt>
                <c:pt idx="286">
                  <c:v>434.39999389648398</c:v>
                </c:pt>
                <c:pt idx="287">
                  <c:v>435.39999389648398</c:v>
                </c:pt>
                <c:pt idx="288">
                  <c:v>436.79998779296898</c:v>
                </c:pt>
                <c:pt idx="289">
                  <c:v>437.79998779296898</c:v>
                </c:pt>
                <c:pt idx="290">
                  <c:v>439.20001220703102</c:v>
                </c:pt>
                <c:pt idx="291">
                  <c:v>439.70001220703102</c:v>
                </c:pt>
                <c:pt idx="292">
                  <c:v>440.39999389648398</c:v>
                </c:pt>
                <c:pt idx="293">
                  <c:v>444</c:v>
                </c:pt>
                <c:pt idx="294">
                  <c:v>447.89999389648398</c:v>
                </c:pt>
                <c:pt idx="295">
                  <c:v>446.60000610351602</c:v>
                </c:pt>
                <c:pt idx="296">
                  <c:v>448</c:v>
                </c:pt>
                <c:pt idx="297">
                  <c:v>448.20001220703102</c:v>
                </c:pt>
                <c:pt idx="298">
                  <c:v>449.29998779296898</c:v>
                </c:pt>
                <c:pt idx="299">
                  <c:v>452</c:v>
                </c:pt>
                <c:pt idx="300">
                  <c:v>453.60000610351602</c:v>
                </c:pt>
                <c:pt idx="301">
                  <c:v>453.60000610351602</c:v>
                </c:pt>
                <c:pt idx="302">
                  <c:v>455.20001220703102</c:v>
                </c:pt>
                <c:pt idx="303">
                  <c:v>456.10000610351602</c:v>
                </c:pt>
                <c:pt idx="304">
                  <c:v>456.79998779296898</c:v>
                </c:pt>
                <c:pt idx="305">
                  <c:v>457.20001220703102</c:v>
                </c:pt>
                <c:pt idx="306">
                  <c:v>458.20001220703102</c:v>
                </c:pt>
                <c:pt idx="307">
                  <c:v>459.39999389648398</c:v>
                </c:pt>
                <c:pt idx="308">
                  <c:v>458.89999389648398</c:v>
                </c:pt>
                <c:pt idx="309">
                  <c:v>461.10000610351602</c:v>
                </c:pt>
                <c:pt idx="310">
                  <c:v>462.70001220703102</c:v>
                </c:pt>
                <c:pt idx="311">
                  <c:v>462.79998779296898</c:v>
                </c:pt>
                <c:pt idx="312">
                  <c:v>464.89999389648398</c:v>
                </c:pt>
                <c:pt idx="313">
                  <c:v>467.20001220703102</c:v>
                </c:pt>
                <c:pt idx="314">
                  <c:v>472.60000610351602</c:v>
                </c:pt>
                <c:pt idx="315">
                  <c:v>477.10000610351602</c:v>
                </c:pt>
                <c:pt idx="316">
                  <c:v>479.5</c:v>
                </c:pt>
                <c:pt idx="317">
                  <c:v>483.10000610351602</c:v>
                </c:pt>
                <c:pt idx="318">
                  <c:v>487.79998779296898</c:v>
                </c:pt>
                <c:pt idx="319">
                  <c:v>490.29998779296898</c:v>
                </c:pt>
                <c:pt idx="320">
                  <c:v>491.20001220703102</c:v>
                </c:pt>
                <c:pt idx="321">
                  <c:v>491.20001220703102</c:v>
                </c:pt>
                <c:pt idx="322">
                  <c:v>491.89999389648398</c:v>
                </c:pt>
                <c:pt idx="323">
                  <c:v>493.29998779296898</c:v>
                </c:pt>
                <c:pt idx="324">
                  <c:v>494.39999389648398</c:v>
                </c:pt>
                <c:pt idx="325">
                  <c:v>495.39999389648398</c:v>
                </c:pt>
                <c:pt idx="326">
                  <c:v>495.39999389648398</c:v>
                </c:pt>
                <c:pt idx="327">
                  <c:v>496.29998779296898</c:v>
                </c:pt>
                <c:pt idx="328">
                  <c:v>496.39999389648398</c:v>
                </c:pt>
                <c:pt idx="329">
                  <c:v>497</c:v>
                </c:pt>
                <c:pt idx="330">
                  <c:v>501.29998779296898</c:v>
                </c:pt>
                <c:pt idx="331">
                  <c:v>502.29998779296898</c:v>
                </c:pt>
                <c:pt idx="332">
                  <c:v>502.39999389648398</c:v>
                </c:pt>
                <c:pt idx="333">
                  <c:v>503.10000610351602</c:v>
                </c:pt>
                <c:pt idx="334">
                  <c:v>503.29998779296898</c:v>
                </c:pt>
                <c:pt idx="335">
                  <c:v>504</c:v>
                </c:pt>
                <c:pt idx="336">
                  <c:v>504.20001220703102</c:v>
                </c:pt>
                <c:pt idx="337">
                  <c:v>504.10000610351602</c:v>
                </c:pt>
                <c:pt idx="338">
                  <c:v>504</c:v>
                </c:pt>
                <c:pt idx="339">
                  <c:v>505.20001220703102</c:v>
                </c:pt>
                <c:pt idx="340">
                  <c:v>508</c:v>
                </c:pt>
                <c:pt idx="341">
                  <c:v>508.10000610351602</c:v>
                </c:pt>
                <c:pt idx="342">
                  <c:v>508.60000610351602</c:v>
                </c:pt>
                <c:pt idx="343">
                  <c:v>508.79998779296898</c:v>
                </c:pt>
                <c:pt idx="344">
                  <c:v>508.60000610351602</c:v>
                </c:pt>
                <c:pt idx="345">
                  <c:v>508.89999389648398</c:v>
                </c:pt>
                <c:pt idx="346">
                  <c:v>508.29998779296898</c:v>
                </c:pt>
                <c:pt idx="347">
                  <c:v>509.79998779296898</c:v>
                </c:pt>
                <c:pt idx="348">
                  <c:v>509.70001220703102</c:v>
                </c:pt>
                <c:pt idx="349">
                  <c:v>510</c:v>
                </c:pt>
                <c:pt idx="350">
                  <c:v>509.89999389648398</c:v>
                </c:pt>
                <c:pt idx="351">
                  <c:v>511.60000610351602</c:v>
                </c:pt>
                <c:pt idx="352">
                  <c:v>511.60000610351602</c:v>
                </c:pt>
                <c:pt idx="353">
                  <c:v>511.60000610351602</c:v>
                </c:pt>
                <c:pt idx="354">
                  <c:v>511.39999389648398</c:v>
                </c:pt>
              </c:numCache>
            </c:numRef>
          </c:xVal>
          <c:yVal>
            <c:numRef>
              <c:f>'2'!$C$34:$C$388</c:f>
              <c:numCache>
                <c:formatCode>General</c:formatCode>
                <c:ptCount val="355"/>
                <c:pt idx="0">
                  <c:v>-0.40724998712539701</c:v>
                </c:pt>
                <c:pt idx="1">
                  <c:v>-0.40724998712539701</c:v>
                </c:pt>
                <c:pt idx="2">
                  <c:v>-0.40724000334739702</c:v>
                </c:pt>
                <c:pt idx="3">
                  <c:v>-0.407209992408752</c:v>
                </c:pt>
                <c:pt idx="4">
                  <c:v>-0.407209992408752</c:v>
                </c:pt>
                <c:pt idx="5">
                  <c:v>-0.40720000863075301</c:v>
                </c:pt>
                <c:pt idx="6">
                  <c:v>-0.40720000863075301</c:v>
                </c:pt>
                <c:pt idx="7">
                  <c:v>-0.40720000863075301</c:v>
                </c:pt>
                <c:pt idx="8">
                  <c:v>-0.40718999505043002</c:v>
                </c:pt>
                <c:pt idx="9">
                  <c:v>-0.40718999505043002</c:v>
                </c:pt>
                <c:pt idx="10">
                  <c:v>-0.40718999505043002</c:v>
                </c:pt>
                <c:pt idx="11">
                  <c:v>-0.40718001127242998</c:v>
                </c:pt>
                <c:pt idx="12">
                  <c:v>-0.40718001127242998</c:v>
                </c:pt>
                <c:pt idx="13">
                  <c:v>-0.40718001127242998</c:v>
                </c:pt>
                <c:pt idx="14">
                  <c:v>-0.40718999505043002</c:v>
                </c:pt>
                <c:pt idx="15">
                  <c:v>-0.40718001127242998</c:v>
                </c:pt>
                <c:pt idx="16">
                  <c:v>-0.40718001127242998</c:v>
                </c:pt>
                <c:pt idx="17">
                  <c:v>-0.407160013914108</c:v>
                </c:pt>
                <c:pt idx="18">
                  <c:v>-0.40715000033378601</c:v>
                </c:pt>
                <c:pt idx="19">
                  <c:v>-0.40713998675346402</c:v>
                </c:pt>
                <c:pt idx="20">
                  <c:v>-0.40707001090049699</c:v>
                </c:pt>
                <c:pt idx="21">
                  <c:v>-0.40705001354217502</c:v>
                </c:pt>
                <c:pt idx="22">
                  <c:v>-0.40703999996185303</c:v>
                </c:pt>
                <c:pt idx="23">
                  <c:v>-0.40703999996185303</c:v>
                </c:pt>
                <c:pt idx="24">
                  <c:v>-0.40700000524520902</c:v>
                </c:pt>
                <c:pt idx="25">
                  <c:v>-0.40698999166488598</c:v>
                </c:pt>
                <c:pt idx="26">
                  <c:v>-0.40698000788688699</c:v>
                </c:pt>
                <c:pt idx="27">
                  <c:v>-0.40698000788688699</c:v>
                </c:pt>
                <c:pt idx="28">
                  <c:v>-0.406969994306564</c:v>
                </c:pt>
                <c:pt idx="29">
                  <c:v>-0.40696001052856401</c:v>
                </c:pt>
                <c:pt idx="30">
                  <c:v>-0.40696001052856401</c:v>
                </c:pt>
                <c:pt idx="31">
                  <c:v>-0.40694999694824202</c:v>
                </c:pt>
                <c:pt idx="32">
                  <c:v>-0.40694001317024198</c:v>
                </c:pt>
                <c:pt idx="33">
                  <c:v>-0.40692999958991999</c:v>
                </c:pt>
                <c:pt idx="34">
                  <c:v>-0.406919986009598</c:v>
                </c:pt>
                <c:pt idx="35">
                  <c:v>-0.40689998865127602</c:v>
                </c:pt>
                <c:pt idx="36">
                  <c:v>-0.40689000487327598</c:v>
                </c:pt>
                <c:pt idx="37">
                  <c:v>-0.40687999129295299</c:v>
                </c:pt>
                <c:pt idx="38">
                  <c:v>-0.406870007514954</c:v>
                </c:pt>
                <c:pt idx="39">
                  <c:v>-0.406870007514954</c:v>
                </c:pt>
                <c:pt idx="40">
                  <c:v>-0.40685999393463101</c:v>
                </c:pt>
                <c:pt idx="41">
                  <c:v>-0.40683001279830899</c:v>
                </c:pt>
                <c:pt idx="42">
                  <c:v>-0.40683001279830899</c:v>
                </c:pt>
                <c:pt idx="43">
                  <c:v>-0.40681999921798701</c:v>
                </c:pt>
                <c:pt idx="44">
                  <c:v>-0.40680998563766502</c:v>
                </c:pt>
                <c:pt idx="45">
                  <c:v>-0.40680000185966497</c:v>
                </c:pt>
                <c:pt idx="46">
                  <c:v>-0.40680000185966497</c:v>
                </c:pt>
                <c:pt idx="47">
                  <c:v>-0.406780004501343</c:v>
                </c:pt>
                <c:pt idx="48">
                  <c:v>-0.40676999092102101</c:v>
                </c:pt>
                <c:pt idx="49">
                  <c:v>-0.40674999356269798</c:v>
                </c:pt>
                <c:pt idx="50">
                  <c:v>-0.40674000978469799</c:v>
                </c:pt>
                <c:pt idx="51">
                  <c:v>-0.406729996204376</c:v>
                </c:pt>
                <c:pt idx="52">
                  <c:v>-0.40672001242637601</c:v>
                </c:pt>
                <c:pt idx="53">
                  <c:v>-0.40670999884605402</c:v>
                </c:pt>
                <c:pt idx="54">
                  <c:v>-0.40669998526573198</c:v>
                </c:pt>
                <c:pt idx="55">
                  <c:v>-0.40669000148773199</c:v>
                </c:pt>
                <c:pt idx="56">
                  <c:v>-0.40667998790741</c:v>
                </c:pt>
                <c:pt idx="57">
                  <c:v>-0.40667000412941001</c:v>
                </c:pt>
                <c:pt idx="58">
                  <c:v>-0.406630009412766</c:v>
                </c:pt>
                <c:pt idx="59">
                  <c:v>-0.40661999583244302</c:v>
                </c:pt>
                <c:pt idx="60">
                  <c:v>-0.40661001205444303</c:v>
                </c:pt>
                <c:pt idx="61">
                  <c:v>-0.40659001469612099</c:v>
                </c:pt>
                <c:pt idx="62">
                  <c:v>-0.40656998753547702</c:v>
                </c:pt>
                <c:pt idx="63">
                  <c:v>-0.40654999017715499</c:v>
                </c:pt>
                <c:pt idx="64">
                  <c:v>-0.406540006399155</c:v>
                </c:pt>
                <c:pt idx="65">
                  <c:v>-0.40652000904083302</c:v>
                </c:pt>
                <c:pt idx="66">
                  <c:v>-0.40650999546050998</c:v>
                </c:pt>
                <c:pt idx="67">
                  <c:v>-0.406489998102188</c:v>
                </c:pt>
                <c:pt idx="68">
                  <c:v>-0.40648001432418801</c:v>
                </c:pt>
                <c:pt idx="69">
                  <c:v>-0.40645000338554399</c:v>
                </c:pt>
                <c:pt idx="70">
                  <c:v>-0.40641999244689903</c:v>
                </c:pt>
                <c:pt idx="71">
                  <c:v>-0.40637999773025502</c:v>
                </c:pt>
                <c:pt idx="72">
                  <c:v>-0.40626999735832198</c:v>
                </c:pt>
                <c:pt idx="73">
                  <c:v>-0.40625</c:v>
                </c:pt>
                <c:pt idx="74">
                  <c:v>-0.40617999434471103</c:v>
                </c:pt>
                <c:pt idx="75">
                  <c:v>-0.40619000792503401</c:v>
                </c:pt>
                <c:pt idx="76">
                  <c:v>-0.40617999434471103</c:v>
                </c:pt>
                <c:pt idx="77">
                  <c:v>-0.40615999698638899</c:v>
                </c:pt>
                <c:pt idx="78">
                  <c:v>-0.40612998604774497</c:v>
                </c:pt>
                <c:pt idx="79">
                  <c:v>-0.406109988689423</c:v>
                </c:pt>
                <c:pt idx="80">
                  <c:v>-0.40608999133110002</c:v>
                </c:pt>
                <c:pt idx="81">
                  <c:v>-0.406060010194778</c:v>
                </c:pt>
                <c:pt idx="82">
                  <c:v>-0.40601998567581199</c:v>
                </c:pt>
                <c:pt idx="83">
                  <c:v>-0.40597999095916698</c:v>
                </c:pt>
                <c:pt idx="84">
                  <c:v>-0.40595000982284501</c:v>
                </c:pt>
                <c:pt idx="85">
                  <c:v>-0.40590000152587902</c:v>
                </c:pt>
                <c:pt idx="86">
                  <c:v>-0.40586000680923501</c:v>
                </c:pt>
                <c:pt idx="87">
                  <c:v>-0.40580999851226801</c:v>
                </c:pt>
                <c:pt idx="88">
                  <c:v>-0.40577998757362399</c:v>
                </c:pt>
                <c:pt idx="89">
                  <c:v>-0.40575999021530201</c:v>
                </c:pt>
                <c:pt idx="90">
                  <c:v>-0.40573999285697898</c:v>
                </c:pt>
                <c:pt idx="91">
                  <c:v>-0.40566000342369102</c:v>
                </c:pt>
                <c:pt idx="92">
                  <c:v>-0.40562000870704701</c:v>
                </c:pt>
                <c:pt idx="93">
                  <c:v>-0.40555998682975802</c:v>
                </c:pt>
                <c:pt idx="94">
                  <c:v>-0.40551000833511402</c:v>
                </c:pt>
                <c:pt idx="95">
                  <c:v>-0.40525999665260298</c:v>
                </c:pt>
                <c:pt idx="96">
                  <c:v>-0.40525999665260298</c:v>
                </c:pt>
                <c:pt idx="97">
                  <c:v>-0.40525999665260298</c:v>
                </c:pt>
                <c:pt idx="98">
                  <c:v>-0.40523999929428101</c:v>
                </c:pt>
                <c:pt idx="99">
                  <c:v>-0.40520998835563699</c:v>
                </c:pt>
                <c:pt idx="100">
                  <c:v>-0.40518000721931502</c:v>
                </c:pt>
                <c:pt idx="101">
                  <c:v>-0.40514001250267001</c:v>
                </c:pt>
                <c:pt idx="102">
                  <c:v>-0.40509000420570401</c:v>
                </c:pt>
                <c:pt idx="103">
                  <c:v>-0.40505999326705899</c:v>
                </c:pt>
                <c:pt idx="104">
                  <c:v>-0.40503999590873702</c:v>
                </c:pt>
                <c:pt idx="105">
                  <c:v>-0.40498000383377097</c:v>
                </c:pt>
                <c:pt idx="106">
                  <c:v>-0.40479001402854897</c:v>
                </c:pt>
                <c:pt idx="107">
                  <c:v>-0.40476000308990501</c:v>
                </c:pt>
                <c:pt idx="108">
                  <c:v>-0.40470001101493802</c:v>
                </c:pt>
                <c:pt idx="109">
                  <c:v>-0.40463000535964999</c:v>
                </c:pt>
                <c:pt idx="110">
                  <c:v>-0.40454998612403897</c:v>
                </c:pt>
                <c:pt idx="111">
                  <c:v>-0.40432000160217302</c:v>
                </c:pt>
                <c:pt idx="112">
                  <c:v>-0.40406000614166299</c:v>
                </c:pt>
                <c:pt idx="113">
                  <c:v>-0.40402999520301802</c:v>
                </c:pt>
                <c:pt idx="114">
                  <c:v>-0.40347999334335299</c:v>
                </c:pt>
                <c:pt idx="115">
                  <c:v>-0.40329000353813199</c:v>
                </c:pt>
                <c:pt idx="116">
                  <c:v>-0.40305000543594399</c:v>
                </c:pt>
                <c:pt idx="117">
                  <c:v>-0.40301001071929898</c:v>
                </c:pt>
                <c:pt idx="118">
                  <c:v>-0.402520000934601</c:v>
                </c:pt>
                <c:pt idx="119">
                  <c:v>-0.40246000885963401</c:v>
                </c:pt>
                <c:pt idx="120">
                  <c:v>-0.40220999717712402</c:v>
                </c:pt>
                <c:pt idx="121">
                  <c:v>-0.40218999981880199</c:v>
                </c:pt>
                <c:pt idx="122">
                  <c:v>-0.40213000774383501</c:v>
                </c:pt>
                <c:pt idx="123">
                  <c:v>-0.40204998850822399</c:v>
                </c:pt>
                <c:pt idx="124">
                  <c:v>-0.40196999907493602</c:v>
                </c:pt>
                <c:pt idx="125">
                  <c:v>-0.40167000889778098</c:v>
                </c:pt>
                <c:pt idx="126">
                  <c:v>-0.40145000815391502</c:v>
                </c:pt>
                <c:pt idx="127">
                  <c:v>-0.40141001343727101</c:v>
                </c:pt>
                <c:pt idx="128">
                  <c:v>-0.401369988918304</c:v>
                </c:pt>
                <c:pt idx="129">
                  <c:v>-0.40103998780250499</c:v>
                </c:pt>
                <c:pt idx="130">
                  <c:v>-0.40101999044418302</c:v>
                </c:pt>
                <c:pt idx="131">
                  <c:v>-0.400990009307861</c:v>
                </c:pt>
                <c:pt idx="132">
                  <c:v>-0.400940001010895</c:v>
                </c:pt>
                <c:pt idx="133">
                  <c:v>-0.40022999048232999</c:v>
                </c:pt>
                <c:pt idx="134">
                  <c:v>-0.40018999576568598</c:v>
                </c:pt>
                <c:pt idx="135">
                  <c:v>-0.40013000369071999</c:v>
                </c:pt>
                <c:pt idx="136">
                  <c:v>-0.40005001425743097</c:v>
                </c:pt>
                <c:pt idx="137">
                  <c:v>-0.399980008602142</c:v>
                </c:pt>
                <c:pt idx="138">
                  <c:v>-0.39972999691963201</c:v>
                </c:pt>
                <c:pt idx="139">
                  <c:v>-0.39952000975608798</c:v>
                </c:pt>
                <c:pt idx="140">
                  <c:v>-0.39947000145912198</c:v>
                </c:pt>
                <c:pt idx="141">
                  <c:v>-0.39923000335693398</c:v>
                </c:pt>
                <c:pt idx="142">
                  <c:v>-0.398739993572235</c:v>
                </c:pt>
                <c:pt idx="143">
                  <c:v>-0.398739993572235</c:v>
                </c:pt>
                <c:pt idx="144">
                  <c:v>-0.39836999773979198</c:v>
                </c:pt>
                <c:pt idx="145">
                  <c:v>-0.39756000041961698</c:v>
                </c:pt>
                <c:pt idx="146">
                  <c:v>-0.39732000231742898</c:v>
                </c:pt>
                <c:pt idx="147">
                  <c:v>-0.39726999402046198</c:v>
                </c:pt>
                <c:pt idx="148">
                  <c:v>-0.39719998836517301</c:v>
                </c:pt>
                <c:pt idx="149">
                  <c:v>-0.39667001366615301</c:v>
                </c:pt>
                <c:pt idx="150">
                  <c:v>-0.396250009536743</c:v>
                </c:pt>
                <c:pt idx="151">
                  <c:v>-0.39621999859809898</c:v>
                </c:pt>
                <c:pt idx="152">
                  <c:v>-0.39592999219894398</c:v>
                </c:pt>
                <c:pt idx="153">
                  <c:v>-0.39592000842094399</c:v>
                </c:pt>
                <c:pt idx="154">
                  <c:v>-0.39570999145507801</c:v>
                </c:pt>
                <c:pt idx="155">
                  <c:v>-0.39550000429153398</c:v>
                </c:pt>
                <c:pt idx="156">
                  <c:v>-0.39546000957489003</c:v>
                </c:pt>
                <c:pt idx="157">
                  <c:v>-0.395240008831024</c:v>
                </c:pt>
                <c:pt idx="158">
                  <c:v>-0.39519000053405801</c:v>
                </c:pt>
                <c:pt idx="159">
                  <c:v>-0.395150005817413</c:v>
                </c:pt>
                <c:pt idx="160">
                  <c:v>-0.39487999677658098</c:v>
                </c:pt>
                <c:pt idx="161">
                  <c:v>-0.39416998624801602</c:v>
                </c:pt>
                <c:pt idx="162">
                  <c:v>-0.39414998888969399</c:v>
                </c:pt>
                <c:pt idx="163">
                  <c:v>-0.393900007009506</c:v>
                </c:pt>
                <c:pt idx="164">
                  <c:v>-0.39359998703002902</c:v>
                </c:pt>
                <c:pt idx="165">
                  <c:v>-0.39182001352310197</c:v>
                </c:pt>
                <c:pt idx="166">
                  <c:v>-0.391799986362457</c:v>
                </c:pt>
                <c:pt idx="167">
                  <c:v>-0.39177000522613498</c:v>
                </c:pt>
                <c:pt idx="168">
                  <c:v>-0.391750007867813</c:v>
                </c:pt>
                <c:pt idx="169">
                  <c:v>-0.39024001359939597</c:v>
                </c:pt>
                <c:pt idx="170">
                  <c:v>-0.39019998908042902</c:v>
                </c:pt>
                <c:pt idx="171">
                  <c:v>-0.38969999551773099</c:v>
                </c:pt>
                <c:pt idx="172">
                  <c:v>-0.38927999138832098</c:v>
                </c:pt>
                <c:pt idx="173">
                  <c:v>-0.38881000876426702</c:v>
                </c:pt>
                <c:pt idx="174">
                  <c:v>-0.38879001140594499</c:v>
                </c:pt>
                <c:pt idx="175">
                  <c:v>-0.38841998577117898</c:v>
                </c:pt>
                <c:pt idx="176">
                  <c:v>-0.38839000463485701</c:v>
                </c:pt>
                <c:pt idx="177">
                  <c:v>-0.38784000277519198</c:v>
                </c:pt>
                <c:pt idx="178">
                  <c:v>-0.38738000392913802</c:v>
                </c:pt>
                <c:pt idx="179">
                  <c:v>-0.38738000392913802</c:v>
                </c:pt>
                <c:pt idx="180">
                  <c:v>-0.386869996786118</c:v>
                </c:pt>
                <c:pt idx="181">
                  <c:v>-0.38611000776290899</c:v>
                </c:pt>
                <c:pt idx="182">
                  <c:v>-0.382990002632141</c:v>
                </c:pt>
                <c:pt idx="183">
                  <c:v>-0.382990002632141</c:v>
                </c:pt>
                <c:pt idx="184">
                  <c:v>-0.38172000646591198</c:v>
                </c:pt>
                <c:pt idx="185">
                  <c:v>-0.38115000724792503</c:v>
                </c:pt>
                <c:pt idx="186">
                  <c:v>-0.38045001029968301</c:v>
                </c:pt>
                <c:pt idx="187">
                  <c:v>-0.38043999671936002</c:v>
                </c:pt>
                <c:pt idx="188">
                  <c:v>-0.37909001111984297</c:v>
                </c:pt>
                <c:pt idx="189">
                  <c:v>-0.37907001376152</c:v>
                </c:pt>
                <c:pt idx="190">
                  <c:v>-0.378729999065399</c:v>
                </c:pt>
                <c:pt idx="191">
                  <c:v>-0.37847000360488903</c:v>
                </c:pt>
                <c:pt idx="192">
                  <c:v>-0.37843000888824502</c:v>
                </c:pt>
                <c:pt idx="193">
                  <c:v>-0.37836998701095598</c:v>
                </c:pt>
                <c:pt idx="194">
                  <c:v>-0.37724000215530401</c:v>
                </c:pt>
                <c:pt idx="195">
                  <c:v>-0.376150012016296</c:v>
                </c:pt>
                <c:pt idx="196">
                  <c:v>-0.37613001465797402</c:v>
                </c:pt>
                <c:pt idx="197">
                  <c:v>-0.375380009412766</c:v>
                </c:pt>
                <c:pt idx="198">
                  <c:v>-0.37536001205444303</c:v>
                </c:pt>
                <c:pt idx="199">
                  <c:v>-0.37367999553680398</c:v>
                </c:pt>
                <c:pt idx="200">
                  <c:v>-0.373659998178482</c:v>
                </c:pt>
                <c:pt idx="201">
                  <c:v>-0.37288001179695102</c:v>
                </c:pt>
                <c:pt idx="202">
                  <c:v>-0.37286001443862898</c:v>
                </c:pt>
                <c:pt idx="203">
                  <c:v>-0.37022998929023698</c:v>
                </c:pt>
                <c:pt idx="204">
                  <c:v>-0.36921998858451799</c:v>
                </c:pt>
                <c:pt idx="205">
                  <c:v>-0.36851000785827598</c:v>
                </c:pt>
                <c:pt idx="206">
                  <c:v>-0.36827999353408802</c:v>
                </c:pt>
                <c:pt idx="207">
                  <c:v>-0.36726000905036899</c:v>
                </c:pt>
                <c:pt idx="208">
                  <c:v>-0.36726000905036899</c:v>
                </c:pt>
                <c:pt idx="209">
                  <c:v>-0.367060005664825</c:v>
                </c:pt>
                <c:pt idx="210">
                  <c:v>-0.36421000957489003</c:v>
                </c:pt>
                <c:pt idx="211">
                  <c:v>-0.36206999421119701</c:v>
                </c:pt>
                <c:pt idx="212">
                  <c:v>-0.35616999864578203</c:v>
                </c:pt>
                <c:pt idx="213">
                  <c:v>-0.35616999864578203</c:v>
                </c:pt>
                <c:pt idx="214">
                  <c:v>-0.35616999864578203</c:v>
                </c:pt>
                <c:pt idx="215">
                  <c:v>-0.35493001341819802</c:v>
                </c:pt>
                <c:pt idx="216">
                  <c:v>-0.353659987449646</c:v>
                </c:pt>
                <c:pt idx="217">
                  <c:v>-0.353610008955002</c:v>
                </c:pt>
                <c:pt idx="218">
                  <c:v>-0.352990001440048</c:v>
                </c:pt>
                <c:pt idx="219">
                  <c:v>-0.35106000304222101</c:v>
                </c:pt>
                <c:pt idx="220">
                  <c:v>-0.35102999210357699</c:v>
                </c:pt>
                <c:pt idx="221">
                  <c:v>-0.35100001096725503</c:v>
                </c:pt>
                <c:pt idx="222">
                  <c:v>-0.350980013608932</c:v>
                </c:pt>
                <c:pt idx="223">
                  <c:v>-0.350980013608932</c:v>
                </c:pt>
                <c:pt idx="224">
                  <c:v>-0.35097000002861001</c:v>
                </c:pt>
                <c:pt idx="225">
                  <c:v>-0.35095000267028797</c:v>
                </c:pt>
                <c:pt idx="226">
                  <c:v>-0.34698000550270103</c:v>
                </c:pt>
                <c:pt idx="227">
                  <c:v>-0.34678000211715698</c:v>
                </c:pt>
                <c:pt idx="228">
                  <c:v>-0.34676998853683499</c:v>
                </c:pt>
                <c:pt idx="229">
                  <c:v>-0.34676000475883501</c:v>
                </c:pt>
                <c:pt idx="230">
                  <c:v>-0.34674999117851302</c:v>
                </c:pt>
                <c:pt idx="231">
                  <c:v>-0.34531000256538402</c:v>
                </c:pt>
                <c:pt idx="232">
                  <c:v>-0.34391000866889998</c:v>
                </c:pt>
                <c:pt idx="233">
                  <c:v>-0.34143000841140703</c:v>
                </c:pt>
                <c:pt idx="234">
                  <c:v>-0.34086999297142001</c:v>
                </c:pt>
                <c:pt idx="235">
                  <c:v>-0.340829998254776</c:v>
                </c:pt>
                <c:pt idx="236">
                  <c:v>-0.34077000617981001</c:v>
                </c:pt>
                <c:pt idx="237">
                  <c:v>-0.33913999795913702</c:v>
                </c:pt>
                <c:pt idx="238">
                  <c:v>-0.33759000897407498</c:v>
                </c:pt>
                <c:pt idx="239">
                  <c:v>-0.33759000897407498</c:v>
                </c:pt>
                <c:pt idx="240">
                  <c:v>-0.33759000897407498</c:v>
                </c:pt>
                <c:pt idx="241">
                  <c:v>-0.334899991750717</c:v>
                </c:pt>
                <c:pt idx="242">
                  <c:v>-0.33254000544548001</c:v>
                </c:pt>
                <c:pt idx="243">
                  <c:v>-0.33252000808715798</c:v>
                </c:pt>
                <c:pt idx="244">
                  <c:v>-0.33248999714851402</c:v>
                </c:pt>
                <c:pt idx="245">
                  <c:v>-0.33028998970985401</c:v>
                </c:pt>
                <c:pt idx="246">
                  <c:v>-0.32903000712394698</c:v>
                </c:pt>
                <c:pt idx="247">
                  <c:v>-0.328770011663437</c:v>
                </c:pt>
                <c:pt idx="248">
                  <c:v>-0.32875001430511502</c:v>
                </c:pt>
                <c:pt idx="249">
                  <c:v>-0.32732000946998602</c:v>
                </c:pt>
                <c:pt idx="250">
                  <c:v>-0.32730999588966397</c:v>
                </c:pt>
                <c:pt idx="251">
                  <c:v>-0.32565000653266901</c:v>
                </c:pt>
                <c:pt idx="252">
                  <c:v>-0.32543998956680298</c:v>
                </c:pt>
                <c:pt idx="253">
                  <c:v>-0.32543000578880299</c:v>
                </c:pt>
                <c:pt idx="254">
                  <c:v>-0.32135999202728299</c:v>
                </c:pt>
                <c:pt idx="255">
                  <c:v>-0.31962001323700001</c:v>
                </c:pt>
                <c:pt idx="256">
                  <c:v>-0.3158999979496</c:v>
                </c:pt>
                <c:pt idx="257">
                  <c:v>-0.31205001473426802</c:v>
                </c:pt>
                <c:pt idx="258">
                  <c:v>-0.30994999408721902</c:v>
                </c:pt>
                <c:pt idx="259">
                  <c:v>-0.29969999194145203</c:v>
                </c:pt>
                <c:pt idx="260">
                  <c:v>-0.29475998878478998</c:v>
                </c:pt>
                <c:pt idx="261">
                  <c:v>-0.294120013713837</c:v>
                </c:pt>
                <c:pt idx="262">
                  <c:v>-0.29078999161720298</c:v>
                </c:pt>
                <c:pt idx="263">
                  <c:v>-0.28775000572204601</c:v>
                </c:pt>
                <c:pt idx="264">
                  <c:v>-0.28453001379966703</c:v>
                </c:pt>
                <c:pt idx="265">
                  <c:v>-0.28409999608993503</c:v>
                </c:pt>
                <c:pt idx="266">
                  <c:v>-0.28213998675346402</c:v>
                </c:pt>
                <c:pt idx="267">
                  <c:v>-0.27465999126434298</c:v>
                </c:pt>
                <c:pt idx="268">
                  <c:v>-0.2744500041008</c:v>
                </c:pt>
                <c:pt idx="269">
                  <c:v>-0.27199000120163003</c:v>
                </c:pt>
                <c:pt idx="270">
                  <c:v>-0.27193999290466297</c:v>
                </c:pt>
                <c:pt idx="271">
                  <c:v>-0.269190013408661</c:v>
                </c:pt>
                <c:pt idx="272">
                  <c:v>-0.26917999982833901</c:v>
                </c:pt>
                <c:pt idx="273">
                  <c:v>-0.26917999982833901</c:v>
                </c:pt>
                <c:pt idx="274">
                  <c:v>-0.26917999982833901</c:v>
                </c:pt>
                <c:pt idx="275">
                  <c:v>-0.26796999573707603</c:v>
                </c:pt>
                <c:pt idx="276">
                  <c:v>-0.26387000083923301</c:v>
                </c:pt>
                <c:pt idx="277">
                  <c:v>-0.23253999650478399</c:v>
                </c:pt>
                <c:pt idx="278">
                  <c:v>-0.22893999516964</c:v>
                </c:pt>
                <c:pt idx="279">
                  <c:v>-0.22893999516964</c:v>
                </c:pt>
                <c:pt idx="280">
                  <c:v>-0.225859999656677</c:v>
                </c:pt>
                <c:pt idx="281">
                  <c:v>-0.22584000229835499</c:v>
                </c:pt>
                <c:pt idx="282">
                  <c:v>-0.224089995026588</c:v>
                </c:pt>
                <c:pt idx="283">
                  <c:v>-0.219539999961853</c:v>
                </c:pt>
                <c:pt idx="284">
                  <c:v>-0.219539999961853</c:v>
                </c:pt>
                <c:pt idx="285">
                  <c:v>-0.216360002756119</c:v>
                </c:pt>
                <c:pt idx="286">
                  <c:v>-0.21615000069141399</c:v>
                </c:pt>
                <c:pt idx="287">
                  <c:v>-0.21355000138282801</c:v>
                </c:pt>
                <c:pt idx="288">
                  <c:v>-0.20995999872684501</c:v>
                </c:pt>
                <c:pt idx="289">
                  <c:v>-0.206790000200272</c:v>
                </c:pt>
                <c:pt idx="290">
                  <c:v>-0.203360006213188</c:v>
                </c:pt>
                <c:pt idx="291">
                  <c:v>-0.20148999989032701</c:v>
                </c:pt>
                <c:pt idx="292">
                  <c:v>-0.199799999594688</c:v>
                </c:pt>
                <c:pt idx="293">
                  <c:v>-0.18974000215530401</c:v>
                </c:pt>
                <c:pt idx="294">
                  <c:v>-0.179389998316765</c:v>
                </c:pt>
                <c:pt idx="295">
                  <c:v>-0.18297000229358701</c:v>
                </c:pt>
                <c:pt idx="296">
                  <c:v>-0.17899000644683799</c:v>
                </c:pt>
                <c:pt idx="297">
                  <c:v>-0.177949994802475</c:v>
                </c:pt>
                <c:pt idx="298">
                  <c:v>-0.17526000738143899</c:v>
                </c:pt>
                <c:pt idx="299">
                  <c:v>-0.16538000106811501</c:v>
                </c:pt>
                <c:pt idx="300">
                  <c:v>-0.162039995193481</c:v>
                </c:pt>
                <c:pt idx="301">
                  <c:v>-0.16073000431060799</c:v>
                </c:pt>
                <c:pt idx="302">
                  <c:v>-0.15604999661445601</c:v>
                </c:pt>
                <c:pt idx="303">
                  <c:v>-0.15272000432014499</c:v>
                </c:pt>
                <c:pt idx="304">
                  <c:v>-0.15037000179290799</c:v>
                </c:pt>
                <c:pt idx="305">
                  <c:v>-0.147420004010201</c:v>
                </c:pt>
                <c:pt idx="306">
                  <c:v>-0.14428000152111101</c:v>
                </c:pt>
                <c:pt idx="307">
                  <c:v>-0.139789998531342</c:v>
                </c:pt>
                <c:pt idx="308">
                  <c:v>-0.13890999555587799</c:v>
                </c:pt>
                <c:pt idx="309">
                  <c:v>-0.13623000681400299</c:v>
                </c:pt>
                <c:pt idx="310">
                  <c:v>-0.13165999948978399</c:v>
                </c:pt>
                <c:pt idx="311">
                  <c:v>-0.13061000406742099</c:v>
                </c:pt>
                <c:pt idx="312">
                  <c:v>-0.123099997639656</c:v>
                </c:pt>
                <c:pt idx="313">
                  <c:v>-0.11710999906063101</c:v>
                </c:pt>
                <c:pt idx="314">
                  <c:v>-9.8569996654987294E-2</c:v>
                </c:pt>
                <c:pt idx="315">
                  <c:v>-8.2439996302127797E-2</c:v>
                </c:pt>
                <c:pt idx="316">
                  <c:v>-7.3579996824264499E-2</c:v>
                </c:pt>
                <c:pt idx="317">
                  <c:v>-6.0339998453855501E-2</c:v>
                </c:pt>
                <c:pt idx="318">
                  <c:v>-3.8019999861717203E-2</c:v>
                </c:pt>
                <c:pt idx="319">
                  <c:v>-3.1899999827146502E-2</c:v>
                </c:pt>
                <c:pt idx="320">
                  <c:v>-2.8189999982714702E-2</c:v>
                </c:pt>
                <c:pt idx="321">
                  <c:v>-2.8160000219941101E-2</c:v>
                </c:pt>
                <c:pt idx="322">
                  <c:v>-2.53299996256828E-2</c:v>
                </c:pt>
                <c:pt idx="323">
                  <c:v>-1.9559999927878401E-2</c:v>
                </c:pt>
                <c:pt idx="324">
                  <c:v>-1.52899995446205E-2</c:v>
                </c:pt>
                <c:pt idx="325">
                  <c:v>-1.11100003123283E-2</c:v>
                </c:pt>
                <c:pt idx="326">
                  <c:v>-1.08899995684624E-2</c:v>
                </c:pt>
                <c:pt idx="327">
                  <c:v>-6.8299998529255399E-3</c:v>
                </c:pt>
                <c:pt idx="328">
                  <c:v>-5.6400001049041696E-3</c:v>
                </c:pt>
                <c:pt idx="329">
                  <c:v>-5.7000000961124897E-3</c:v>
                </c:pt>
                <c:pt idx="330">
                  <c:v>1.47900003939867E-2</c:v>
                </c:pt>
                <c:pt idx="331">
                  <c:v>1.9249999895691899E-2</c:v>
                </c:pt>
                <c:pt idx="332">
                  <c:v>1.9959999248385402E-2</c:v>
                </c:pt>
                <c:pt idx="333">
                  <c:v>2.2479999810457198E-2</c:v>
                </c:pt>
                <c:pt idx="334">
                  <c:v>2.36300006508827E-2</c:v>
                </c:pt>
                <c:pt idx="335">
                  <c:v>2.7930000796914101E-2</c:v>
                </c:pt>
                <c:pt idx="336">
                  <c:v>2.79699992388487E-2</c:v>
                </c:pt>
                <c:pt idx="337">
                  <c:v>2.80099995434284E-2</c:v>
                </c:pt>
                <c:pt idx="338">
                  <c:v>3.24199981987476E-2</c:v>
                </c:pt>
                <c:pt idx="339">
                  <c:v>3.2430000603198998E-2</c:v>
                </c:pt>
                <c:pt idx="340">
                  <c:v>4.57499995827675E-2</c:v>
                </c:pt>
                <c:pt idx="341">
                  <c:v>4.57499995827675E-2</c:v>
                </c:pt>
                <c:pt idx="342">
                  <c:v>5.0020001828670502E-2</c:v>
                </c:pt>
                <c:pt idx="343">
                  <c:v>5.0200000405311598E-2</c:v>
                </c:pt>
                <c:pt idx="344">
                  <c:v>5.0209999084472698E-2</c:v>
                </c:pt>
                <c:pt idx="345">
                  <c:v>5.0220001488923999E-2</c:v>
                </c:pt>
                <c:pt idx="346">
                  <c:v>5.4620001465082203E-2</c:v>
                </c:pt>
                <c:pt idx="347">
                  <c:v>5.4639998823404298E-2</c:v>
                </c:pt>
                <c:pt idx="348">
                  <c:v>5.6099999696016298E-2</c:v>
                </c:pt>
                <c:pt idx="349">
                  <c:v>5.6549999862909303E-2</c:v>
                </c:pt>
                <c:pt idx="350">
                  <c:v>5.5690001696348197E-2</c:v>
                </c:pt>
                <c:pt idx="351">
                  <c:v>6.3600003719329806E-2</c:v>
                </c:pt>
                <c:pt idx="352">
                  <c:v>6.3600003719329806E-2</c:v>
                </c:pt>
                <c:pt idx="353">
                  <c:v>6.3600003719329806E-2</c:v>
                </c:pt>
                <c:pt idx="354">
                  <c:v>6.3589997589588207E-2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2-4B73-892A-D428728E043A}"/>
            </c:ext>
          </c:extLst>
        </c:ser>
        <c:ser>
          <c:idx val="1"/>
          <c:order val="1"/>
          <c:tx>
            <c:v>Pomiar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'2'!$G$34:$G$476</c:f>
                <c:numCache>
                  <c:formatCode>General</c:formatCode>
                  <c:ptCount val="443"/>
                  <c:pt idx="0">
                    <c:v>-8.0100000000000005E-2</c:v>
                  </c:pt>
                  <c:pt idx="1">
                    <c:v>-7.4800000000000005E-2</c:v>
                  </c:pt>
                  <c:pt idx="2">
                    <c:v>-7.0400000000000004E-2</c:v>
                  </c:pt>
                  <c:pt idx="3">
                    <c:v>-6.88E-2</c:v>
                  </c:pt>
                  <c:pt idx="4">
                    <c:v>-6.6200000000000009E-2</c:v>
                  </c:pt>
                  <c:pt idx="5">
                    <c:v>-6.4799999999999996E-2</c:v>
                  </c:pt>
                  <c:pt idx="6">
                    <c:v>-6.2E-2</c:v>
                  </c:pt>
                  <c:pt idx="7">
                    <c:v>-5.9200000000000003E-2</c:v>
                  </c:pt>
                  <c:pt idx="8">
                    <c:v>-5.8700000000000002E-2</c:v>
                  </c:pt>
                  <c:pt idx="9">
                    <c:v>-5.8700000000000002E-2</c:v>
                  </c:pt>
                  <c:pt idx="10">
                    <c:v>-5.7700000000000001E-2</c:v>
                  </c:pt>
                  <c:pt idx="11">
                    <c:v>-5.2500000000000005E-2</c:v>
                  </c:pt>
                  <c:pt idx="12">
                    <c:v>-5.0700000000000002E-2</c:v>
                  </c:pt>
                  <c:pt idx="13">
                    <c:v>-4.9800000000000004E-2</c:v>
                  </c:pt>
                  <c:pt idx="14">
                    <c:v>-4.7300000000000002E-2</c:v>
                  </c:pt>
                  <c:pt idx="15">
                    <c:v>-4.4900000000000002E-2</c:v>
                  </c:pt>
                  <c:pt idx="16">
                    <c:v>-4.3500000000000004E-2</c:v>
                  </c:pt>
                  <c:pt idx="17">
                    <c:v>-4.2000000000000003E-2</c:v>
                  </c:pt>
                  <c:pt idx="18">
                    <c:v>-4.1000000000000002E-2</c:v>
                  </c:pt>
                  <c:pt idx="19">
                    <c:v>-4.2000000000000003E-2</c:v>
                  </c:pt>
                  <c:pt idx="20">
                    <c:v>-4.2000000000000003E-2</c:v>
                  </c:pt>
                  <c:pt idx="21">
                    <c:v>-4.0600000000000004E-2</c:v>
                  </c:pt>
                  <c:pt idx="22">
                    <c:v>-3.78E-2</c:v>
                  </c:pt>
                  <c:pt idx="23">
                    <c:v>-3.6400000000000002E-2</c:v>
                  </c:pt>
                  <c:pt idx="24">
                    <c:v>-3.7100000000000001E-2</c:v>
                  </c:pt>
                  <c:pt idx="25">
                    <c:v>-3.6500000000000005E-2</c:v>
                  </c:pt>
                  <c:pt idx="26">
                    <c:v>6.0000000000000006E-4</c:v>
                  </c:pt>
                  <c:pt idx="27">
                    <c:v>-3.4800000000000005E-2</c:v>
                  </c:pt>
                  <c:pt idx="28">
                    <c:v>-3.3600000000000005E-2</c:v>
                  </c:pt>
                  <c:pt idx="29">
                    <c:v>-3.2000000000000001E-2</c:v>
                  </c:pt>
                  <c:pt idx="30">
                    <c:v>-3.0800000000000001E-2</c:v>
                  </c:pt>
                  <c:pt idx="31">
                    <c:v>-2.9399999999999999E-2</c:v>
                  </c:pt>
                  <c:pt idx="32">
                    <c:v>-2.8000000000000001E-2</c:v>
                  </c:pt>
                  <c:pt idx="33">
                    <c:v>-2.6200000000000001E-2</c:v>
                  </c:pt>
                  <c:pt idx="34">
                    <c:v>-2.2099999999999998E-2</c:v>
                  </c:pt>
                  <c:pt idx="35">
                    <c:v>-1.66E-2</c:v>
                  </c:pt>
                  <c:pt idx="36">
                    <c:v>-1.3899999999999999E-2</c:v>
                  </c:pt>
                  <c:pt idx="37">
                    <c:v>-1.24E-2</c:v>
                  </c:pt>
                  <c:pt idx="38">
                    <c:v>-1.0999999999999999E-2</c:v>
                  </c:pt>
                  <c:pt idx="39">
                    <c:v>-2.8E-3</c:v>
                  </c:pt>
                  <c:pt idx="40">
                    <c:v>-1.1000000000000001E-3</c:v>
                  </c:pt>
                  <c:pt idx="41">
                    <c:v>5.0000000000000001E-4</c:v>
                  </c:pt>
                  <c:pt idx="42">
                    <c:v>2.0999999999999999E-3</c:v>
                  </c:pt>
                  <c:pt idx="43">
                    <c:v>8.9999999999999993E-3</c:v>
                  </c:pt>
                  <c:pt idx="44">
                    <c:v>8.9999999999999993E-3</c:v>
                  </c:pt>
                  <c:pt idx="45">
                    <c:v>1.1299999999999999E-2</c:v>
                  </c:pt>
                  <c:pt idx="46">
                    <c:v>1.18E-2</c:v>
                  </c:pt>
                  <c:pt idx="47">
                    <c:v>1.47E-2</c:v>
                  </c:pt>
                  <c:pt idx="48">
                    <c:v>1.6E-2</c:v>
                  </c:pt>
                  <c:pt idx="49">
                    <c:v>1.67E-2</c:v>
                  </c:pt>
                  <c:pt idx="50">
                    <c:v>1.8800000000000001E-2</c:v>
                  </c:pt>
                  <c:pt idx="51">
                    <c:v>1.89E-2</c:v>
                  </c:pt>
                  <c:pt idx="52">
                    <c:v>2.0299999999999999E-2</c:v>
                  </c:pt>
                  <c:pt idx="53">
                    <c:v>2.0299999999999999E-2</c:v>
                  </c:pt>
                  <c:pt idx="54">
                    <c:v>2.0299999999999999E-2</c:v>
                  </c:pt>
                  <c:pt idx="55">
                    <c:v>2.0399999999999998E-2</c:v>
                  </c:pt>
                  <c:pt idx="56">
                    <c:v>2.1700000000000001E-2</c:v>
                  </c:pt>
                  <c:pt idx="57">
                    <c:v>2.1700000000000001E-2</c:v>
                  </c:pt>
                  <c:pt idx="58">
                    <c:v>2.5399999999999999E-2</c:v>
                  </c:pt>
                  <c:pt idx="59">
                    <c:v>2.5899999999999999E-2</c:v>
                  </c:pt>
                  <c:pt idx="60">
                    <c:v>2.7400000000000001E-2</c:v>
                  </c:pt>
                  <c:pt idx="61">
                    <c:v>2.7400000000000001E-2</c:v>
                  </c:pt>
                  <c:pt idx="62">
                    <c:v>3.0199999999999998E-2</c:v>
                  </c:pt>
                  <c:pt idx="63">
                    <c:v>3.4700000000000002E-2</c:v>
                  </c:pt>
                  <c:pt idx="64">
                    <c:v>3.6300000000000006E-2</c:v>
                  </c:pt>
                  <c:pt idx="65">
                    <c:v>3.85E-2</c:v>
                  </c:pt>
                  <c:pt idx="66">
                    <c:v>4.1500000000000002E-2</c:v>
                  </c:pt>
                  <c:pt idx="67">
                    <c:v>4.4300000000000006E-2</c:v>
                  </c:pt>
                  <c:pt idx="68">
                    <c:v>4.48E-2</c:v>
                  </c:pt>
                  <c:pt idx="69">
                    <c:v>4.7100000000000003E-2</c:v>
                  </c:pt>
                  <c:pt idx="70">
                    <c:v>4.8100000000000004E-2</c:v>
                  </c:pt>
                  <c:pt idx="71">
                    <c:v>4.99E-2</c:v>
                  </c:pt>
                  <c:pt idx="72">
                    <c:v>5.1300000000000005E-2</c:v>
                  </c:pt>
                  <c:pt idx="73">
                    <c:v>5.4300000000000001E-2</c:v>
                  </c:pt>
                  <c:pt idx="74">
                    <c:v>5.4800000000000001E-2</c:v>
                  </c:pt>
                  <c:pt idx="75">
                    <c:v>5.5E-2</c:v>
                  </c:pt>
                  <c:pt idx="76">
                    <c:v>5.5600000000000004E-2</c:v>
                  </c:pt>
                  <c:pt idx="77">
                    <c:v>5.8400000000000001E-2</c:v>
                  </c:pt>
                  <c:pt idx="78">
                    <c:v>6.1200000000000004E-2</c:v>
                  </c:pt>
                  <c:pt idx="79">
                    <c:v>6.13E-2</c:v>
                  </c:pt>
                  <c:pt idx="80">
                    <c:v>6.1600000000000002E-2</c:v>
                  </c:pt>
                  <c:pt idx="81">
                    <c:v>6.3500000000000001E-2</c:v>
                  </c:pt>
                  <c:pt idx="82">
                    <c:v>6.4000000000000001E-2</c:v>
                  </c:pt>
                  <c:pt idx="83">
                    <c:v>6.5000000000000002E-2</c:v>
                  </c:pt>
                  <c:pt idx="84">
                    <c:v>6.54E-2</c:v>
                  </c:pt>
                  <c:pt idx="85">
                    <c:v>6.54E-2</c:v>
                  </c:pt>
                  <c:pt idx="86">
                    <c:v>6.54E-2</c:v>
                  </c:pt>
                  <c:pt idx="87">
                    <c:v>6.54E-2</c:v>
                  </c:pt>
                  <c:pt idx="88">
                    <c:v>6.54E-2</c:v>
                  </c:pt>
                  <c:pt idx="89">
                    <c:v>6.6100000000000006E-2</c:v>
                  </c:pt>
                  <c:pt idx="90">
                    <c:v>6.7299999999999999E-2</c:v>
                  </c:pt>
                  <c:pt idx="91">
                    <c:v>6.7299999999999999E-2</c:v>
                  </c:pt>
                  <c:pt idx="92">
                    <c:v>6.7400000000000002E-2</c:v>
                  </c:pt>
                  <c:pt idx="93">
                    <c:v>6.8400000000000002E-2</c:v>
                  </c:pt>
                  <c:pt idx="94">
                    <c:v>6.9699999999999998E-2</c:v>
                  </c:pt>
                  <c:pt idx="95">
                    <c:v>6.9699999999999998E-2</c:v>
                  </c:pt>
                  <c:pt idx="96">
                    <c:v>6.9699999999999998E-2</c:v>
                  </c:pt>
                  <c:pt idx="97">
                    <c:v>6.9699999999999998E-2</c:v>
                  </c:pt>
                  <c:pt idx="98">
                    <c:v>6.9699999999999998E-2</c:v>
                  </c:pt>
                  <c:pt idx="99">
                    <c:v>7.1000000000000008E-2</c:v>
                  </c:pt>
                  <c:pt idx="100">
                    <c:v>7.1099999999999997E-2</c:v>
                  </c:pt>
                  <c:pt idx="101">
                    <c:v>7.1000000000000008E-2</c:v>
                  </c:pt>
                  <c:pt idx="102">
                    <c:v>7.1000000000000008E-2</c:v>
                  </c:pt>
                  <c:pt idx="103">
                    <c:v>7.1000000000000008E-2</c:v>
                  </c:pt>
                  <c:pt idx="104">
                    <c:v>7.1000000000000008E-2</c:v>
                  </c:pt>
                  <c:pt idx="105">
                    <c:v>7.1099999999999997E-2</c:v>
                  </c:pt>
                  <c:pt idx="106">
                    <c:v>7.1300000000000002E-2</c:v>
                  </c:pt>
                  <c:pt idx="107">
                    <c:v>7.2500000000000009E-2</c:v>
                  </c:pt>
                  <c:pt idx="108">
                    <c:v>7.3900000000000007E-2</c:v>
                  </c:pt>
                  <c:pt idx="109">
                    <c:v>7.5700000000000003E-2</c:v>
                  </c:pt>
                  <c:pt idx="110">
                    <c:v>7.6100000000000001E-2</c:v>
                  </c:pt>
                  <c:pt idx="111">
                    <c:v>7.6700000000000004E-2</c:v>
                  </c:pt>
                  <c:pt idx="112">
                    <c:v>7.6700000000000004E-2</c:v>
                  </c:pt>
                  <c:pt idx="113">
                    <c:v>7.6800000000000007E-2</c:v>
                  </c:pt>
                  <c:pt idx="114">
                    <c:v>7.7100000000000002E-2</c:v>
                  </c:pt>
                  <c:pt idx="115">
                    <c:v>7.6999999999999999E-2</c:v>
                  </c:pt>
                  <c:pt idx="116">
                    <c:v>7.6800000000000007E-2</c:v>
                  </c:pt>
                  <c:pt idx="117">
                    <c:v>7.7200000000000005E-2</c:v>
                  </c:pt>
                  <c:pt idx="118">
                    <c:v>7.7700000000000005E-2</c:v>
                  </c:pt>
                  <c:pt idx="119">
                    <c:v>7.8100000000000003E-2</c:v>
                  </c:pt>
                  <c:pt idx="120">
                    <c:v>7.8100000000000003E-2</c:v>
                  </c:pt>
                  <c:pt idx="121">
                    <c:v>7.8100000000000003E-2</c:v>
                  </c:pt>
                  <c:pt idx="122">
                    <c:v>7.9500000000000001E-2</c:v>
                  </c:pt>
                  <c:pt idx="123">
                    <c:v>8.09E-2</c:v>
                  </c:pt>
                  <c:pt idx="124">
                    <c:v>8.2799999999999999E-2</c:v>
                  </c:pt>
                  <c:pt idx="125">
                    <c:v>8.2400000000000001E-2</c:v>
                  </c:pt>
                  <c:pt idx="126">
                    <c:v>8.2400000000000001E-2</c:v>
                  </c:pt>
                  <c:pt idx="127">
                    <c:v>8.2400000000000001E-2</c:v>
                  </c:pt>
                  <c:pt idx="128">
                    <c:v>8.5600000000000009E-2</c:v>
                  </c:pt>
                  <c:pt idx="129">
                    <c:v>8.6500000000000007E-2</c:v>
                  </c:pt>
                  <c:pt idx="130">
                    <c:v>8.6800000000000002E-2</c:v>
                  </c:pt>
                  <c:pt idx="131">
                    <c:v>8.9400000000000007E-2</c:v>
                  </c:pt>
                  <c:pt idx="132">
                    <c:v>9.0700000000000003E-2</c:v>
                  </c:pt>
                  <c:pt idx="133">
                    <c:v>9.0700000000000003E-2</c:v>
                  </c:pt>
                  <c:pt idx="134">
                    <c:v>9.0700000000000003E-2</c:v>
                  </c:pt>
                  <c:pt idx="135">
                    <c:v>9.0700000000000003E-2</c:v>
                  </c:pt>
                  <c:pt idx="136">
                    <c:v>9.0800000000000006E-2</c:v>
                  </c:pt>
                  <c:pt idx="137">
                    <c:v>9.0800000000000006E-2</c:v>
                  </c:pt>
                  <c:pt idx="138">
                    <c:v>9.0800000000000006E-2</c:v>
                  </c:pt>
                  <c:pt idx="139">
                    <c:v>9.0800000000000006E-2</c:v>
                  </c:pt>
                  <c:pt idx="140">
                    <c:v>9.0800000000000006E-2</c:v>
                  </c:pt>
                  <c:pt idx="141">
                    <c:v>9.0800000000000006E-2</c:v>
                  </c:pt>
                  <c:pt idx="142">
                    <c:v>9.2100000000000001E-2</c:v>
                  </c:pt>
                  <c:pt idx="143">
                    <c:v>9.2100000000000001E-2</c:v>
                  </c:pt>
                  <c:pt idx="144">
                    <c:v>9.2100000000000001E-2</c:v>
                  </c:pt>
                  <c:pt idx="145">
                    <c:v>9.2100000000000001E-2</c:v>
                  </c:pt>
                  <c:pt idx="146">
                    <c:v>9.2100000000000001E-2</c:v>
                  </c:pt>
                  <c:pt idx="147">
                    <c:v>9.2100000000000001E-2</c:v>
                  </c:pt>
                  <c:pt idx="148">
                    <c:v>9.2100000000000001E-2</c:v>
                  </c:pt>
                  <c:pt idx="149">
                    <c:v>9.2100000000000001E-2</c:v>
                  </c:pt>
                  <c:pt idx="150">
                    <c:v>9.2100000000000001E-2</c:v>
                  </c:pt>
                  <c:pt idx="151">
                    <c:v>9.2100000000000001E-2</c:v>
                  </c:pt>
                  <c:pt idx="152">
                    <c:v>9.2100000000000001E-2</c:v>
                  </c:pt>
                  <c:pt idx="153">
                    <c:v>9.2100000000000001E-2</c:v>
                  </c:pt>
                  <c:pt idx="154">
                    <c:v>9.2100000000000001E-2</c:v>
                  </c:pt>
                  <c:pt idx="155">
                    <c:v>9.2100000000000001E-2</c:v>
                  </c:pt>
                  <c:pt idx="156">
                    <c:v>9.1300000000000006E-2</c:v>
                  </c:pt>
                  <c:pt idx="157">
                    <c:v>9.3899999999999997E-2</c:v>
                  </c:pt>
                  <c:pt idx="158">
                    <c:v>9.6299999999999997E-2</c:v>
                  </c:pt>
                  <c:pt idx="159">
                    <c:v>9.7500000000000003E-2</c:v>
                  </c:pt>
                  <c:pt idx="160">
                    <c:v>9.7700000000000009E-2</c:v>
                  </c:pt>
                  <c:pt idx="161">
                    <c:v>9.7700000000000009E-2</c:v>
                  </c:pt>
                  <c:pt idx="162">
                    <c:v>9.7700000000000009E-2</c:v>
                  </c:pt>
                  <c:pt idx="163">
                    <c:v>9.7799999999999998E-2</c:v>
                  </c:pt>
                  <c:pt idx="164">
                    <c:v>9.7799999999999998E-2</c:v>
                  </c:pt>
                  <c:pt idx="165">
                    <c:v>9.7799999999999998E-2</c:v>
                  </c:pt>
                  <c:pt idx="166">
                    <c:v>9.7799999999999998E-2</c:v>
                  </c:pt>
                  <c:pt idx="167">
                    <c:v>9.7799999999999998E-2</c:v>
                  </c:pt>
                  <c:pt idx="168">
                    <c:v>9.7799999999999998E-2</c:v>
                  </c:pt>
                  <c:pt idx="169">
                    <c:v>9.7799999999999998E-2</c:v>
                  </c:pt>
                  <c:pt idx="170">
                    <c:v>9.9199999999999997E-2</c:v>
                  </c:pt>
                  <c:pt idx="171">
                    <c:v>0.1004</c:v>
                  </c:pt>
                  <c:pt idx="172">
                    <c:v>0.10060000000000001</c:v>
                  </c:pt>
                  <c:pt idx="173">
                    <c:v>0.10060000000000001</c:v>
                  </c:pt>
                  <c:pt idx="174">
                    <c:v>0.10060000000000001</c:v>
                  </c:pt>
                  <c:pt idx="175">
                    <c:v>0.10060000000000001</c:v>
                  </c:pt>
                  <c:pt idx="176">
                    <c:v>0.1009</c:v>
                  </c:pt>
                  <c:pt idx="177">
                    <c:v>0.1018</c:v>
                  </c:pt>
                  <c:pt idx="178">
                    <c:v>0.10200000000000001</c:v>
                  </c:pt>
                  <c:pt idx="179">
                    <c:v>0.10200000000000001</c:v>
                  </c:pt>
                  <c:pt idx="180">
                    <c:v>0.10200000000000001</c:v>
                  </c:pt>
                  <c:pt idx="181">
                    <c:v>0.10200000000000001</c:v>
                  </c:pt>
                  <c:pt idx="182">
                    <c:v>0.10200000000000001</c:v>
                  </c:pt>
                  <c:pt idx="183">
                    <c:v>0.10200000000000001</c:v>
                  </c:pt>
                  <c:pt idx="184">
                    <c:v>0.10200000000000001</c:v>
                  </c:pt>
                  <c:pt idx="185">
                    <c:v>0.10200000000000001</c:v>
                  </c:pt>
                  <c:pt idx="186">
                    <c:v>0.1026</c:v>
                  </c:pt>
                  <c:pt idx="187">
                    <c:v>0.10250000000000001</c:v>
                  </c:pt>
                  <c:pt idx="188">
                    <c:v>0.10340000000000001</c:v>
                  </c:pt>
                  <c:pt idx="189">
                    <c:v>0.10340000000000001</c:v>
                  </c:pt>
                  <c:pt idx="190">
                    <c:v>0.1048</c:v>
                  </c:pt>
                  <c:pt idx="191">
                    <c:v>0.10490000000000001</c:v>
                  </c:pt>
                  <c:pt idx="192">
                    <c:v>0.10490000000000001</c:v>
                  </c:pt>
                  <c:pt idx="193">
                    <c:v>0.1062</c:v>
                  </c:pt>
                  <c:pt idx="194">
                    <c:v>0.1072</c:v>
                  </c:pt>
                  <c:pt idx="195">
                    <c:v>0.10790000000000001</c:v>
                  </c:pt>
                  <c:pt idx="196">
                    <c:v>0.109</c:v>
                  </c:pt>
                  <c:pt idx="197">
                    <c:v>0.10970000000000001</c:v>
                  </c:pt>
                  <c:pt idx="198">
                    <c:v>0.1105</c:v>
                  </c:pt>
                  <c:pt idx="199">
                    <c:v>0.1119</c:v>
                  </c:pt>
                  <c:pt idx="200">
                    <c:v>0.1124</c:v>
                  </c:pt>
                  <c:pt idx="201">
                    <c:v>0.1129</c:v>
                  </c:pt>
                  <c:pt idx="202">
                    <c:v>0.1133</c:v>
                  </c:pt>
                  <c:pt idx="203">
                    <c:v>0.11370000000000001</c:v>
                  </c:pt>
                  <c:pt idx="204">
                    <c:v>0.1147</c:v>
                  </c:pt>
                  <c:pt idx="205">
                    <c:v>0.1149</c:v>
                  </c:pt>
                  <c:pt idx="206">
                    <c:v>0.11610000000000001</c:v>
                  </c:pt>
                  <c:pt idx="207">
                    <c:v>0.11610000000000001</c:v>
                  </c:pt>
                  <c:pt idx="208">
                    <c:v>0.11750000000000001</c:v>
                  </c:pt>
                  <c:pt idx="209">
                    <c:v>0.11750000000000001</c:v>
                  </c:pt>
                  <c:pt idx="210">
                    <c:v>0.1206</c:v>
                  </c:pt>
                  <c:pt idx="211">
                    <c:v>0.1217</c:v>
                  </c:pt>
                  <c:pt idx="212">
                    <c:v>0.12470000000000001</c:v>
                  </c:pt>
                  <c:pt idx="213">
                    <c:v>0.12919999999999998</c:v>
                  </c:pt>
                  <c:pt idx="214">
                    <c:v>0.13009999999999999</c:v>
                  </c:pt>
                  <c:pt idx="215">
                    <c:v>0.13149999999999998</c:v>
                  </c:pt>
                  <c:pt idx="216">
                    <c:v>0.1328</c:v>
                  </c:pt>
                  <c:pt idx="217">
                    <c:v>0.13439999999999999</c:v>
                  </c:pt>
                  <c:pt idx="218">
                    <c:v>0.13519999999999999</c:v>
                  </c:pt>
                  <c:pt idx="219">
                    <c:v>0.13719999999999999</c:v>
                  </c:pt>
                  <c:pt idx="220">
                    <c:v>0.13719999999999999</c:v>
                  </c:pt>
                  <c:pt idx="221">
                    <c:v>0.13849999999999998</c:v>
                  </c:pt>
                  <c:pt idx="222">
                    <c:v>0.13979999999999998</c:v>
                  </c:pt>
                  <c:pt idx="223">
                    <c:v>0.13999999999999999</c:v>
                  </c:pt>
                  <c:pt idx="224">
                    <c:v>0.14129999999999998</c:v>
                  </c:pt>
                  <c:pt idx="225">
                    <c:v>0.14279999999999998</c:v>
                  </c:pt>
                  <c:pt idx="226">
                    <c:v>0.14279999999999998</c:v>
                  </c:pt>
                  <c:pt idx="227">
                    <c:v>0.14459999999999998</c:v>
                  </c:pt>
                  <c:pt idx="228">
                    <c:v>0.14679999999999999</c:v>
                  </c:pt>
                  <c:pt idx="229">
                    <c:v>0.1512</c:v>
                  </c:pt>
                  <c:pt idx="230">
                    <c:v>0.15129999999999999</c:v>
                  </c:pt>
                  <c:pt idx="231">
                    <c:v>0.15139999999999998</c:v>
                  </c:pt>
                  <c:pt idx="232">
                    <c:v>0.1525</c:v>
                  </c:pt>
                  <c:pt idx="233">
                    <c:v>0.15629999999999999</c:v>
                  </c:pt>
                  <c:pt idx="234">
                    <c:v>0.1565</c:v>
                  </c:pt>
                  <c:pt idx="235">
                    <c:v>0.15469999999999998</c:v>
                  </c:pt>
                  <c:pt idx="236">
                    <c:v>0.15409999999999999</c:v>
                  </c:pt>
                  <c:pt idx="237">
                    <c:v>0.15409999999999999</c:v>
                  </c:pt>
                  <c:pt idx="238">
                    <c:v>0.15459999999999999</c:v>
                  </c:pt>
                  <c:pt idx="239">
                    <c:v>0.1555</c:v>
                  </c:pt>
                  <c:pt idx="240">
                    <c:v>0.1565</c:v>
                  </c:pt>
                  <c:pt idx="241">
                    <c:v>0.15689999999999998</c:v>
                  </c:pt>
                  <c:pt idx="242">
                    <c:v>0.15769999999999998</c:v>
                  </c:pt>
                  <c:pt idx="243">
                    <c:v>0.1578</c:v>
                  </c:pt>
                  <c:pt idx="244">
                    <c:v>0.1585</c:v>
                  </c:pt>
                  <c:pt idx="245">
                    <c:v>0.1583</c:v>
                  </c:pt>
                  <c:pt idx="246">
                    <c:v>0.1583</c:v>
                  </c:pt>
                  <c:pt idx="247">
                    <c:v>0.1583</c:v>
                  </c:pt>
                  <c:pt idx="248">
                    <c:v>0.1583</c:v>
                  </c:pt>
                  <c:pt idx="249">
                    <c:v>0.1583</c:v>
                  </c:pt>
                  <c:pt idx="250">
                    <c:v>0.1583</c:v>
                  </c:pt>
                  <c:pt idx="251">
                    <c:v>0.1583</c:v>
                  </c:pt>
                  <c:pt idx="252">
                    <c:v>0.1583</c:v>
                  </c:pt>
                  <c:pt idx="253">
                    <c:v>0.15839999999999999</c:v>
                  </c:pt>
                  <c:pt idx="254">
                    <c:v>0.1585</c:v>
                  </c:pt>
                  <c:pt idx="255">
                    <c:v>0.159</c:v>
                  </c:pt>
                  <c:pt idx="256">
                    <c:v>0.15939999999999999</c:v>
                  </c:pt>
                  <c:pt idx="257">
                    <c:v>0.15969999999999998</c:v>
                  </c:pt>
                  <c:pt idx="258">
                    <c:v>0.1598</c:v>
                  </c:pt>
                  <c:pt idx="259">
                    <c:v>0.16119999999999998</c:v>
                  </c:pt>
                  <c:pt idx="260">
                    <c:v>0.16119999999999998</c:v>
                  </c:pt>
                  <c:pt idx="261">
                    <c:v>0.16089999999999999</c:v>
                  </c:pt>
                  <c:pt idx="262">
                    <c:v>0.16109999999999999</c:v>
                  </c:pt>
                  <c:pt idx="263">
                    <c:v>0.16059999999999999</c:v>
                  </c:pt>
                  <c:pt idx="264">
                    <c:v>0.16109999999999999</c:v>
                  </c:pt>
                  <c:pt idx="265">
                    <c:v>0.16199999999999998</c:v>
                  </c:pt>
                  <c:pt idx="266">
                    <c:v>0.16249999999999998</c:v>
                  </c:pt>
                  <c:pt idx="267">
                    <c:v>0.16799999999999998</c:v>
                  </c:pt>
                  <c:pt idx="268">
                    <c:v>0.1681</c:v>
                  </c:pt>
                  <c:pt idx="269">
                    <c:v>0.1694</c:v>
                  </c:pt>
                  <c:pt idx="270">
                    <c:v>0.1709</c:v>
                  </c:pt>
                  <c:pt idx="271">
                    <c:v>0.17229999999999998</c:v>
                  </c:pt>
                  <c:pt idx="272">
                    <c:v>0.17369999999999999</c:v>
                  </c:pt>
                  <c:pt idx="273">
                    <c:v>0.17679999999999998</c:v>
                  </c:pt>
                  <c:pt idx="274">
                    <c:v>0.17909999999999998</c:v>
                  </c:pt>
                  <c:pt idx="275">
                    <c:v>0.1807</c:v>
                  </c:pt>
                  <c:pt idx="276">
                    <c:v>0.18129999999999999</c:v>
                  </c:pt>
                  <c:pt idx="277">
                    <c:v>0.18099999999999999</c:v>
                  </c:pt>
                  <c:pt idx="278">
                    <c:v>0.18129999999999999</c:v>
                  </c:pt>
                  <c:pt idx="279">
                    <c:v>0.18079999999999999</c:v>
                  </c:pt>
                  <c:pt idx="280">
                    <c:v>0.18109999999999998</c:v>
                  </c:pt>
                  <c:pt idx="281">
                    <c:v>0.1817</c:v>
                  </c:pt>
                  <c:pt idx="282">
                    <c:v>0.1822</c:v>
                  </c:pt>
                  <c:pt idx="283">
                    <c:v>0.18339999999999998</c:v>
                  </c:pt>
                  <c:pt idx="284">
                    <c:v>0.18339999999999998</c:v>
                  </c:pt>
                  <c:pt idx="285">
                    <c:v>0.18479999999999999</c:v>
                  </c:pt>
                  <c:pt idx="286">
                    <c:v>0.18759999999999999</c:v>
                  </c:pt>
                  <c:pt idx="287">
                    <c:v>0.18889999999999998</c:v>
                  </c:pt>
                  <c:pt idx="288">
                    <c:v>0.1893</c:v>
                  </c:pt>
                  <c:pt idx="289">
                    <c:v>0.189</c:v>
                  </c:pt>
                  <c:pt idx="290">
                    <c:v>0.19139999999999999</c:v>
                  </c:pt>
                  <c:pt idx="291">
                    <c:v>0.1963</c:v>
                  </c:pt>
                  <c:pt idx="292">
                    <c:v>0.2006</c:v>
                  </c:pt>
                  <c:pt idx="293">
                    <c:v>0.20569999999999999</c:v>
                  </c:pt>
                  <c:pt idx="294">
                    <c:v>0.2097</c:v>
                  </c:pt>
                  <c:pt idx="295">
                    <c:v>0.21029999999999999</c:v>
                  </c:pt>
                  <c:pt idx="296">
                    <c:v>0.21429999999999999</c:v>
                  </c:pt>
                  <c:pt idx="297">
                    <c:v>0.21639999999999998</c:v>
                  </c:pt>
                  <c:pt idx="298">
                    <c:v>0.21919999999999998</c:v>
                  </c:pt>
                  <c:pt idx="299">
                    <c:v>0.22109999999999999</c:v>
                  </c:pt>
                  <c:pt idx="300">
                    <c:v>0.22199999999999998</c:v>
                  </c:pt>
                  <c:pt idx="301">
                    <c:v>0.2233</c:v>
                  </c:pt>
                  <c:pt idx="302">
                    <c:v>0.2233</c:v>
                  </c:pt>
                  <c:pt idx="303">
                    <c:v>0.22349999999999998</c:v>
                  </c:pt>
                  <c:pt idx="304">
                    <c:v>0.22449999999999998</c:v>
                  </c:pt>
                  <c:pt idx="305">
                    <c:v>0.22469999999999998</c:v>
                  </c:pt>
                  <c:pt idx="306">
                    <c:v>0.22599999999999998</c:v>
                  </c:pt>
                  <c:pt idx="307">
                    <c:v>0.2276</c:v>
                  </c:pt>
                  <c:pt idx="308">
                    <c:v>0.22869999999999999</c:v>
                  </c:pt>
                  <c:pt idx="309">
                    <c:v>0.22869999999999999</c:v>
                  </c:pt>
                  <c:pt idx="310">
                    <c:v>0.22949999999999998</c:v>
                  </c:pt>
                  <c:pt idx="311">
                    <c:v>0.23139999999999999</c:v>
                  </c:pt>
                  <c:pt idx="312">
                    <c:v>0.23149999999999998</c:v>
                  </c:pt>
                  <c:pt idx="313">
                    <c:v>0.23279999999999998</c:v>
                  </c:pt>
                  <c:pt idx="314">
                    <c:v>0.23279999999999998</c:v>
                  </c:pt>
                  <c:pt idx="315">
                    <c:v>0.23299999999999998</c:v>
                  </c:pt>
                  <c:pt idx="316">
                    <c:v>0.2329</c:v>
                  </c:pt>
                  <c:pt idx="317">
                    <c:v>0.23279999999999998</c:v>
                  </c:pt>
                  <c:pt idx="318">
                    <c:v>0.23299999999999998</c:v>
                  </c:pt>
                  <c:pt idx="319">
                    <c:v>0.23329999999999998</c:v>
                  </c:pt>
                  <c:pt idx="320">
                    <c:v>0.23329999999999998</c:v>
                  </c:pt>
                  <c:pt idx="321">
                    <c:v>0.23369999999999999</c:v>
                  </c:pt>
                  <c:pt idx="322">
                    <c:v>0.23399999999999999</c:v>
                  </c:pt>
                  <c:pt idx="323">
                    <c:v>0.2341</c:v>
                  </c:pt>
                  <c:pt idx="324">
                    <c:v>0.2341</c:v>
                  </c:pt>
                  <c:pt idx="325">
                    <c:v>0.2341</c:v>
                  </c:pt>
                  <c:pt idx="326">
                    <c:v>0.2341</c:v>
                  </c:pt>
                  <c:pt idx="327">
                    <c:v>0.23429999999999998</c:v>
                  </c:pt>
                  <c:pt idx="328">
                    <c:v>0.23529999999999998</c:v>
                  </c:pt>
                  <c:pt idx="329">
                    <c:v>0.23649999999999999</c:v>
                  </c:pt>
                  <c:pt idx="330">
                    <c:v>0.23679999999999998</c:v>
                  </c:pt>
                  <c:pt idx="331">
                    <c:v>0.23559999999999998</c:v>
                  </c:pt>
                  <c:pt idx="332">
                    <c:v>0.23549999999999999</c:v>
                  </c:pt>
                  <c:pt idx="333">
                    <c:v>0.23549999999999999</c:v>
                  </c:pt>
                  <c:pt idx="334">
                    <c:v>0.23549999999999999</c:v>
                  </c:pt>
                  <c:pt idx="335">
                    <c:v>0.23569999999999999</c:v>
                  </c:pt>
                  <c:pt idx="336">
                    <c:v>0.23569999999999999</c:v>
                  </c:pt>
                  <c:pt idx="337">
                    <c:v>0.23559999999999998</c:v>
                  </c:pt>
                  <c:pt idx="338">
                    <c:v>0.23619999999999999</c:v>
                  </c:pt>
                  <c:pt idx="339">
                    <c:v>0.2369</c:v>
                  </c:pt>
                  <c:pt idx="340">
                    <c:v>0.2369</c:v>
                  </c:pt>
                  <c:pt idx="341">
                    <c:v>0.23809999999999998</c:v>
                  </c:pt>
                  <c:pt idx="342">
                    <c:v>0.23809999999999998</c:v>
                  </c:pt>
                  <c:pt idx="343">
                    <c:v>0.2397</c:v>
                  </c:pt>
                  <c:pt idx="344">
                    <c:v>0.24089999999999998</c:v>
                  </c:pt>
                  <c:pt idx="345">
                    <c:v>0.24249999999999999</c:v>
                  </c:pt>
                  <c:pt idx="346">
                    <c:v>0.2445</c:v>
                  </c:pt>
                  <c:pt idx="347">
                    <c:v>0.25259999999999999</c:v>
                  </c:pt>
                  <c:pt idx="348">
                    <c:v>0.25629999999999997</c:v>
                  </c:pt>
                  <c:pt idx="349">
                    <c:v>0.25669999999999998</c:v>
                  </c:pt>
                  <c:pt idx="350">
                    <c:v>0.25929999999999997</c:v>
                  </c:pt>
                  <c:pt idx="351">
                    <c:v>0.25950000000000001</c:v>
                  </c:pt>
                  <c:pt idx="352">
                    <c:v>0.26129999999999998</c:v>
                  </c:pt>
                  <c:pt idx="353">
                    <c:v>0.26369999999999999</c:v>
                  </c:pt>
                  <c:pt idx="354">
                    <c:v>0.2717</c:v>
                  </c:pt>
                  <c:pt idx="355">
                    <c:v>0.27949999999999997</c:v>
                  </c:pt>
                  <c:pt idx="356">
                    <c:v>0.27979999999999999</c:v>
                  </c:pt>
                  <c:pt idx="357">
                    <c:v>0.28370000000000001</c:v>
                  </c:pt>
                  <c:pt idx="358">
                    <c:v>0.2863</c:v>
                  </c:pt>
                  <c:pt idx="359">
                    <c:v>0.28749999999999998</c:v>
                  </c:pt>
                  <c:pt idx="360">
                    <c:v>0.28889999999999999</c:v>
                  </c:pt>
                  <c:pt idx="361">
                    <c:v>0.28989999999999999</c:v>
                  </c:pt>
                  <c:pt idx="362">
                    <c:v>0.29359999999999997</c:v>
                  </c:pt>
                  <c:pt idx="363">
                    <c:v>0.29559999999999997</c:v>
                  </c:pt>
                  <c:pt idx="364">
                    <c:v>0.29759999999999998</c:v>
                  </c:pt>
                  <c:pt idx="365">
                    <c:v>0.29759999999999998</c:v>
                  </c:pt>
                  <c:pt idx="366">
                    <c:v>0.2984</c:v>
                  </c:pt>
                  <c:pt idx="367">
                    <c:v>0.29809999999999998</c:v>
                  </c:pt>
                  <c:pt idx="368">
                    <c:v>0.29849999999999999</c:v>
                  </c:pt>
                  <c:pt idx="369">
                    <c:v>0.30049999999999999</c:v>
                  </c:pt>
                  <c:pt idx="370">
                    <c:v>0.3019</c:v>
                  </c:pt>
                  <c:pt idx="371">
                    <c:v>0.3085</c:v>
                  </c:pt>
                  <c:pt idx="372">
                    <c:v>0.31109999999999999</c:v>
                  </c:pt>
                  <c:pt idx="373">
                    <c:v>0.3125</c:v>
                  </c:pt>
                  <c:pt idx="374">
                    <c:v>0.3135</c:v>
                  </c:pt>
                  <c:pt idx="375">
                    <c:v>0.31490000000000001</c:v>
                  </c:pt>
                  <c:pt idx="376">
                    <c:v>0.31590000000000001</c:v>
                  </c:pt>
                  <c:pt idx="377">
                    <c:v>0.31709999999999999</c:v>
                  </c:pt>
                  <c:pt idx="378">
                    <c:v>0.31979999999999997</c:v>
                  </c:pt>
                  <c:pt idx="379">
                    <c:v>0.32050000000000001</c:v>
                  </c:pt>
                  <c:pt idx="380">
                    <c:v>0.32050000000000001</c:v>
                  </c:pt>
                  <c:pt idx="381">
                    <c:v>0.32050000000000001</c:v>
                  </c:pt>
                  <c:pt idx="382">
                    <c:v>0.32100000000000001</c:v>
                  </c:pt>
                  <c:pt idx="383">
                    <c:v>0.32169999999999999</c:v>
                  </c:pt>
                  <c:pt idx="384">
                    <c:v>0.32169999999999999</c:v>
                  </c:pt>
                  <c:pt idx="385">
                    <c:v>0.32279999999999998</c:v>
                  </c:pt>
                  <c:pt idx="386">
                    <c:v>0.32269999999999999</c:v>
                  </c:pt>
                  <c:pt idx="387">
                    <c:v>0.32269999999999999</c:v>
                  </c:pt>
                  <c:pt idx="388">
                    <c:v>0.32350000000000001</c:v>
                  </c:pt>
                  <c:pt idx="389">
                    <c:v>0.32389999999999997</c:v>
                  </c:pt>
                  <c:pt idx="390">
                    <c:v>0.32550000000000001</c:v>
                  </c:pt>
                  <c:pt idx="391">
                    <c:v>0.3271</c:v>
                  </c:pt>
                  <c:pt idx="392">
                    <c:v>0.32789999999999997</c:v>
                  </c:pt>
                  <c:pt idx="393">
                    <c:v>0.32900000000000001</c:v>
                  </c:pt>
                  <c:pt idx="394">
                    <c:v>0.32929999999999998</c:v>
                  </c:pt>
                  <c:pt idx="395">
                    <c:v>0.32929999999999998</c:v>
                  </c:pt>
                  <c:pt idx="396">
                    <c:v>0.3306</c:v>
                  </c:pt>
                  <c:pt idx="397">
                    <c:v>0.33039999999999997</c:v>
                  </c:pt>
                  <c:pt idx="398">
                    <c:v>0.33039999999999997</c:v>
                  </c:pt>
                  <c:pt idx="399">
                    <c:v>0.33149999999999996</c:v>
                  </c:pt>
                  <c:pt idx="400">
                    <c:v>0.33329999999999999</c:v>
                  </c:pt>
                  <c:pt idx="401">
                    <c:v>0.33479999999999999</c:v>
                  </c:pt>
                  <c:pt idx="402">
                    <c:v>0.3347</c:v>
                  </c:pt>
                  <c:pt idx="403">
                    <c:v>0.33579999999999999</c:v>
                  </c:pt>
                  <c:pt idx="404">
                    <c:v>0.33799999999999997</c:v>
                  </c:pt>
                  <c:pt idx="405">
                    <c:v>0.3402</c:v>
                  </c:pt>
                  <c:pt idx="406">
                    <c:v>0.3453</c:v>
                  </c:pt>
                  <c:pt idx="407">
                    <c:v>0.35020000000000001</c:v>
                  </c:pt>
                  <c:pt idx="408">
                    <c:v>0.3553</c:v>
                  </c:pt>
                  <c:pt idx="409">
                    <c:v>0.35819999999999996</c:v>
                  </c:pt>
                  <c:pt idx="410">
                    <c:v>0.35899999999999999</c:v>
                  </c:pt>
                  <c:pt idx="411">
                    <c:v>0.36059999999999998</c:v>
                  </c:pt>
                  <c:pt idx="412">
                    <c:v>0.36230000000000001</c:v>
                  </c:pt>
                  <c:pt idx="413">
                    <c:v>0.36480000000000001</c:v>
                  </c:pt>
                  <c:pt idx="414">
                    <c:v>0.36730000000000002</c:v>
                  </c:pt>
                  <c:pt idx="415">
                    <c:v>0.36979999999999996</c:v>
                  </c:pt>
                  <c:pt idx="416">
                    <c:v>0.37390000000000001</c:v>
                  </c:pt>
                  <c:pt idx="417">
                    <c:v>0.37479999999999997</c:v>
                  </c:pt>
                  <c:pt idx="418">
                    <c:v>0.3785</c:v>
                  </c:pt>
                  <c:pt idx="419">
                    <c:v>0.3785</c:v>
                  </c:pt>
                  <c:pt idx="420">
                    <c:v>0.38079999999999997</c:v>
                  </c:pt>
                  <c:pt idx="421">
                    <c:v>0.38419999999999999</c:v>
                  </c:pt>
                  <c:pt idx="422">
                    <c:v>0.38500000000000001</c:v>
                  </c:pt>
                  <c:pt idx="423">
                    <c:v>0.3861</c:v>
                  </c:pt>
                  <c:pt idx="424">
                    <c:v>0.38650000000000001</c:v>
                  </c:pt>
                  <c:pt idx="425">
                    <c:v>0.39089999999999997</c:v>
                  </c:pt>
                  <c:pt idx="426">
                    <c:v>0.39169999999999999</c:v>
                  </c:pt>
                  <c:pt idx="427">
                    <c:v>0.39289999999999997</c:v>
                  </c:pt>
                  <c:pt idx="428">
                    <c:v>0.39289999999999997</c:v>
                  </c:pt>
                  <c:pt idx="429">
                    <c:v>0.39339999999999997</c:v>
                  </c:pt>
                  <c:pt idx="430">
                    <c:v>0.39429999999999998</c:v>
                  </c:pt>
                  <c:pt idx="431">
                    <c:v>0.39529999999999998</c:v>
                  </c:pt>
                  <c:pt idx="432">
                    <c:v>0.39749999999999996</c:v>
                  </c:pt>
                  <c:pt idx="433">
                    <c:v>0.39839999999999998</c:v>
                  </c:pt>
                  <c:pt idx="434">
                    <c:v>0.39989999999999998</c:v>
                  </c:pt>
                  <c:pt idx="435">
                    <c:v>0.4012</c:v>
                  </c:pt>
                  <c:pt idx="436">
                    <c:v>0.40199999999999997</c:v>
                  </c:pt>
                  <c:pt idx="437">
                    <c:v>0.40399999999999997</c:v>
                  </c:pt>
                  <c:pt idx="438">
                    <c:v>0.40549999999999997</c:v>
                  </c:pt>
                  <c:pt idx="439">
                    <c:v>0.40639999999999998</c:v>
                  </c:pt>
                  <c:pt idx="440">
                    <c:v>0.40709999999999996</c:v>
                  </c:pt>
                  <c:pt idx="441">
                    <c:v>0.40720000000000001</c:v>
                  </c:pt>
                  <c:pt idx="442">
                    <c:v>0.40770000000000001</c:v>
                  </c:pt>
                </c:numCache>
              </c:numRef>
            </c:plus>
            <c:minus>
              <c:numRef>
                <c:f>'2'!$G$34:$G$476</c:f>
                <c:numCache>
                  <c:formatCode>General</c:formatCode>
                  <c:ptCount val="443"/>
                  <c:pt idx="0">
                    <c:v>-8.0100000000000005E-2</c:v>
                  </c:pt>
                  <c:pt idx="1">
                    <c:v>-7.4800000000000005E-2</c:v>
                  </c:pt>
                  <c:pt idx="2">
                    <c:v>-7.0400000000000004E-2</c:v>
                  </c:pt>
                  <c:pt idx="3">
                    <c:v>-6.88E-2</c:v>
                  </c:pt>
                  <c:pt idx="4">
                    <c:v>-6.6200000000000009E-2</c:v>
                  </c:pt>
                  <c:pt idx="5">
                    <c:v>-6.4799999999999996E-2</c:v>
                  </c:pt>
                  <c:pt idx="6">
                    <c:v>-6.2E-2</c:v>
                  </c:pt>
                  <c:pt idx="7">
                    <c:v>-5.9200000000000003E-2</c:v>
                  </c:pt>
                  <c:pt idx="8">
                    <c:v>-5.8700000000000002E-2</c:v>
                  </c:pt>
                  <c:pt idx="9">
                    <c:v>-5.8700000000000002E-2</c:v>
                  </c:pt>
                  <c:pt idx="10">
                    <c:v>-5.7700000000000001E-2</c:v>
                  </c:pt>
                  <c:pt idx="11">
                    <c:v>-5.2500000000000005E-2</c:v>
                  </c:pt>
                  <c:pt idx="12">
                    <c:v>-5.0700000000000002E-2</c:v>
                  </c:pt>
                  <c:pt idx="13">
                    <c:v>-4.9800000000000004E-2</c:v>
                  </c:pt>
                  <c:pt idx="14">
                    <c:v>-4.7300000000000002E-2</c:v>
                  </c:pt>
                  <c:pt idx="15">
                    <c:v>-4.4900000000000002E-2</c:v>
                  </c:pt>
                  <c:pt idx="16">
                    <c:v>-4.3500000000000004E-2</c:v>
                  </c:pt>
                  <c:pt idx="17">
                    <c:v>-4.2000000000000003E-2</c:v>
                  </c:pt>
                  <c:pt idx="18">
                    <c:v>-4.1000000000000002E-2</c:v>
                  </c:pt>
                  <c:pt idx="19">
                    <c:v>-4.2000000000000003E-2</c:v>
                  </c:pt>
                  <c:pt idx="20">
                    <c:v>-4.2000000000000003E-2</c:v>
                  </c:pt>
                  <c:pt idx="21">
                    <c:v>-4.0600000000000004E-2</c:v>
                  </c:pt>
                  <c:pt idx="22">
                    <c:v>-3.78E-2</c:v>
                  </c:pt>
                  <c:pt idx="23">
                    <c:v>-3.6400000000000002E-2</c:v>
                  </c:pt>
                  <c:pt idx="24">
                    <c:v>-3.7100000000000001E-2</c:v>
                  </c:pt>
                  <c:pt idx="25">
                    <c:v>-3.6500000000000005E-2</c:v>
                  </c:pt>
                  <c:pt idx="26">
                    <c:v>6.0000000000000006E-4</c:v>
                  </c:pt>
                  <c:pt idx="27">
                    <c:v>-3.4800000000000005E-2</c:v>
                  </c:pt>
                  <c:pt idx="28">
                    <c:v>-3.3600000000000005E-2</c:v>
                  </c:pt>
                  <c:pt idx="29">
                    <c:v>-3.2000000000000001E-2</c:v>
                  </c:pt>
                  <c:pt idx="30">
                    <c:v>-3.0800000000000001E-2</c:v>
                  </c:pt>
                  <c:pt idx="31">
                    <c:v>-2.9399999999999999E-2</c:v>
                  </c:pt>
                  <c:pt idx="32">
                    <c:v>-2.8000000000000001E-2</c:v>
                  </c:pt>
                  <c:pt idx="33">
                    <c:v>-2.6200000000000001E-2</c:v>
                  </c:pt>
                  <c:pt idx="34">
                    <c:v>-2.2099999999999998E-2</c:v>
                  </c:pt>
                  <c:pt idx="35">
                    <c:v>-1.66E-2</c:v>
                  </c:pt>
                  <c:pt idx="36">
                    <c:v>-1.3899999999999999E-2</c:v>
                  </c:pt>
                  <c:pt idx="37">
                    <c:v>-1.24E-2</c:v>
                  </c:pt>
                  <c:pt idx="38">
                    <c:v>-1.0999999999999999E-2</c:v>
                  </c:pt>
                  <c:pt idx="39">
                    <c:v>-2.8E-3</c:v>
                  </c:pt>
                  <c:pt idx="40">
                    <c:v>-1.1000000000000001E-3</c:v>
                  </c:pt>
                  <c:pt idx="41">
                    <c:v>5.0000000000000001E-4</c:v>
                  </c:pt>
                  <c:pt idx="42">
                    <c:v>2.0999999999999999E-3</c:v>
                  </c:pt>
                  <c:pt idx="43">
                    <c:v>8.9999999999999993E-3</c:v>
                  </c:pt>
                  <c:pt idx="44">
                    <c:v>8.9999999999999993E-3</c:v>
                  </c:pt>
                  <c:pt idx="45">
                    <c:v>1.1299999999999999E-2</c:v>
                  </c:pt>
                  <c:pt idx="46">
                    <c:v>1.18E-2</c:v>
                  </c:pt>
                  <c:pt idx="47">
                    <c:v>1.47E-2</c:v>
                  </c:pt>
                  <c:pt idx="48">
                    <c:v>1.6E-2</c:v>
                  </c:pt>
                  <c:pt idx="49">
                    <c:v>1.67E-2</c:v>
                  </c:pt>
                  <c:pt idx="50">
                    <c:v>1.8800000000000001E-2</c:v>
                  </c:pt>
                  <c:pt idx="51">
                    <c:v>1.89E-2</c:v>
                  </c:pt>
                  <c:pt idx="52">
                    <c:v>2.0299999999999999E-2</c:v>
                  </c:pt>
                  <c:pt idx="53">
                    <c:v>2.0299999999999999E-2</c:v>
                  </c:pt>
                  <c:pt idx="54">
                    <c:v>2.0299999999999999E-2</c:v>
                  </c:pt>
                  <c:pt idx="55">
                    <c:v>2.0399999999999998E-2</c:v>
                  </c:pt>
                  <c:pt idx="56">
                    <c:v>2.1700000000000001E-2</c:v>
                  </c:pt>
                  <c:pt idx="57">
                    <c:v>2.1700000000000001E-2</c:v>
                  </c:pt>
                  <c:pt idx="58">
                    <c:v>2.5399999999999999E-2</c:v>
                  </c:pt>
                  <c:pt idx="59">
                    <c:v>2.5899999999999999E-2</c:v>
                  </c:pt>
                  <c:pt idx="60">
                    <c:v>2.7400000000000001E-2</c:v>
                  </c:pt>
                  <c:pt idx="61">
                    <c:v>2.7400000000000001E-2</c:v>
                  </c:pt>
                  <c:pt idx="62">
                    <c:v>3.0199999999999998E-2</c:v>
                  </c:pt>
                  <c:pt idx="63">
                    <c:v>3.4700000000000002E-2</c:v>
                  </c:pt>
                  <c:pt idx="64">
                    <c:v>3.6300000000000006E-2</c:v>
                  </c:pt>
                  <c:pt idx="65">
                    <c:v>3.85E-2</c:v>
                  </c:pt>
                  <c:pt idx="66">
                    <c:v>4.1500000000000002E-2</c:v>
                  </c:pt>
                  <c:pt idx="67">
                    <c:v>4.4300000000000006E-2</c:v>
                  </c:pt>
                  <c:pt idx="68">
                    <c:v>4.48E-2</c:v>
                  </c:pt>
                  <c:pt idx="69">
                    <c:v>4.7100000000000003E-2</c:v>
                  </c:pt>
                  <c:pt idx="70">
                    <c:v>4.8100000000000004E-2</c:v>
                  </c:pt>
                  <c:pt idx="71">
                    <c:v>4.99E-2</c:v>
                  </c:pt>
                  <c:pt idx="72">
                    <c:v>5.1300000000000005E-2</c:v>
                  </c:pt>
                  <c:pt idx="73">
                    <c:v>5.4300000000000001E-2</c:v>
                  </c:pt>
                  <c:pt idx="74">
                    <c:v>5.4800000000000001E-2</c:v>
                  </c:pt>
                  <c:pt idx="75">
                    <c:v>5.5E-2</c:v>
                  </c:pt>
                  <c:pt idx="76">
                    <c:v>5.5600000000000004E-2</c:v>
                  </c:pt>
                  <c:pt idx="77">
                    <c:v>5.8400000000000001E-2</c:v>
                  </c:pt>
                  <c:pt idx="78">
                    <c:v>6.1200000000000004E-2</c:v>
                  </c:pt>
                  <c:pt idx="79">
                    <c:v>6.13E-2</c:v>
                  </c:pt>
                  <c:pt idx="80">
                    <c:v>6.1600000000000002E-2</c:v>
                  </c:pt>
                  <c:pt idx="81">
                    <c:v>6.3500000000000001E-2</c:v>
                  </c:pt>
                  <c:pt idx="82">
                    <c:v>6.4000000000000001E-2</c:v>
                  </c:pt>
                  <c:pt idx="83">
                    <c:v>6.5000000000000002E-2</c:v>
                  </c:pt>
                  <c:pt idx="84">
                    <c:v>6.54E-2</c:v>
                  </c:pt>
                  <c:pt idx="85">
                    <c:v>6.54E-2</c:v>
                  </c:pt>
                  <c:pt idx="86">
                    <c:v>6.54E-2</c:v>
                  </c:pt>
                  <c:pt idx="87">
                    <c:v>6.54E-2</c:v>
                  </c:pt>
                  <c:pt idx="88">
                    <c:v>6.54E-2</c:v>
                  </c:pt>
                  <c:pt idx="89">
                    <c:v>6.6100000000000006E-2</c:v>
                  </c:pt>
                  <c:pt idx="90">
                    <c:v>6.7299999999999999E-2</c:v>
                  </c:pt>
                  <c:pt idx="91">
                    <c:v>6.7299999999999999E-2</c:v>
                  </c:pt>
                  <c:pt idx="92">
                    <c:v>6.7400000000000002E-2</c:v>
                  </c:pt>
                  <c:pt idx="93">
                    <c:v>6.8400000000000002E-2</c:v>
                  </c:pt>
                  <c:pt idx="94">
                    <c:v>6.9699999999999998E-2</c:v>
                  </c:pt>
                  <c:pt idx="95">
                    <c:v>6.9699999999999998E-2</c:v>
                  </c:pt>
                  <c:pt idx="96">
                    <c:v>6.9699999999999998E-2</c:v>
                  </c:pt>
                  <c:pt idx="97">
                    <c:v>6.9699999999999998E-2</c:v>
                  </c:pt>
                  <c:pt idx="98">
                    <c:v>6.9699999999999998E-2</c:v>
                  </c:pt>
                  <c:pt idx="99">
                    <c:v>7.1000000000000008E-2</c:v>
                  </c:pt>
                  <c:pt idx="100">
                    <c:v>7.1099999999999997E-2</c:v>
                  </c:pt>
                  <c:pt idx="101">
                    <c:v>7.1000000000000008E-2</c:v>
                  </c:pt>
                  <c:pt idx="102">
                    <c:v>7.1000000000000008E-2</c:v>
                  </c:pt>
                  <c:pt idx="103">
                    <c:v>7.1000000000000008E-2</c:v>
                  </c:pt>
                  <c:pt idx="104">
                    <c:v>7.1000000000000008E-2</c:v>
                  </c:pt>
                  <c:pt idx="105">
                    <c:v>7.1099999999999997E-2</c:v>
                  </c:pt>
                  <c:pt idx="106">
                    <c:v>7.1300000000000002E-2</c:v>
                  </c:pt>
                  <c:pt idx="107">
                    <c:v>7.2500000000000009E-2</c:v>
                  </c:pt>
                  <c:pt idx="108">
                    <c:v>7.3900000000000007E-2</c:v>
                  </c:pt>
                  <c:pt idx="109">
                    <c:v>7.5700000000000003E-2</c:v>
                  </c:pt>
                  <c:pt idx="110">
                    <c:v>7.6100000000000001E-2</c:v>
                  </c:pt>
                  <c:pt idx="111">
                    <c:v>7.6700000000000004E-2</c:v>
                  </c:pt>
                  <c:pt idx="112">
                    <c:v>7.6700000000000004E-2</c:v>
                  </c:pt>
                  <c:pt idx="113">
                    <c:v>7.6800000000000007E-2</c:v>
                  </c:pt>
                  <c:pt idx="114">
                    <c:v>7.7100000000000002E-2</c:v>
                  </c:pt>
                  <c:pt idx="115">
                    <c:v>7.6999999999999999E-2</c:v>
                  </c:pt>
                  <c:pt idx="116">
                    <c:v>7.6800000000000007E-2</c:v>
                  </c:pt>
                  <c:pt idx="117">
                    <c:v>7.7200000000000005E-2</c:v>
                  </c:pt>
                  <c:pt idx="118">
                    <c:v>7.7700000000000005E-2</c:v>
                  </c:pt>
                  <c:pt idx="119">
                    <c:v>7.8100000000000003E-2</c:v>
                  </c:pt>
                  <c:pt idx="120">
                    <c:v>7.8100000000000003E-2</c:v>
                  </c:pt>
                  <c:pt idx="121">
                    <c:v>7.8100000000000003E-2</c:v>
                  </c:pt>
                  <c:pt idx="122">
                    <c:v>7.9500000000000001E-2</c:v>
                  </c:pt>
                  <c:pt idx="123">
                    <c:v>8.09E-2</c:v>
                  </c:pt>
                  <c:pt idx="124">
                    <c:v>8.2799999999999999E-2</c:v>
                  </c:pt>
                  <c:pt idx="125">
                    <c:v>8.2400000000000001E-2</c:v>
                  </c:pt>
                  <c:pt idx="126">
                    <c:v>8.2400000000000001E-2</c:v>
                  </c:pt>
                  <c:pt idx="127">
                    <c:v>8.2400000000000001E-2</c:v>
                  </c:pt>
                  <c:pt idx="128">
                    <c:v>8.5600000000000009E-2</c:v>
                  </c:pt>
                  <c:pt idx="129">
                    <c:v>8.6500000000000007E-2</c:v>
                  </c:pt>
                  <c:pt idx="130">
                    <c:v>8.6800000000000002E-2</c:v>
                  </c:pt>
                  <c:pt idx="131">
                    <c:v>8.9400000000000007E-2</c:v>
                  </c:pt>
                  <c:pt idx="132">
                    <c:v>9.0700000000000003E-2</c:v>
                  </c:pt>
                  <c:pt idx="133">
                    <c:v>9.0700000000000003E-2</c:v>
                  </c:pt>
                  <c:pt idx="134">
                    <c:v>9.0700000000000003E-2</c:v>
                  </c:pt>
                  <c:pt idx="135">
                    <c:v>9.0700000000000003E-2</c:v>
                  </c:pt>
                  <c:pt idx="136">
                    <c:v>9.0800000000000006E-2</c:v>
                  </c:pt>
                  <c:pt idx="137">
                    <c:v>9.0800000000000006E-2</c:v>
                  </c:pt>
                  <c:pt idx="138">
                    <c:v>9.0800000000000006E-2</c:v>
                  </c:pt>
                  <c:pt idx="139">
                    <c:v>9.0800000000000006E-2</c:v>
                  </c:pt>
                  <c:pt idx="140">
                    <c:v>9.0800000000000006E-2</c:v>
                  </c:pt>
                  <c:pt idx="141">
                    <c:v>9.0800000000000006E-2</c:v>
                  </c:pt>
                  <c:pt idx="142">
                    <c:v>9.2100000000000001E-2</c:v>
                  </c:pt>
                  <c:pt idx="143">
                    <c:v>9.2100000000000001E-2</c:v>
                  </c:pt>
                  <c:pt idx="144">
                    <c:v>9.2100000000000001E-2</c:v>
                  </c:pt>
                  <c:pt idx="145">
                    <c:v>9.2100000000000001E-2</c:v>
                  </c:pt>
                  <c:pt idx="146">
                    <c:v>9.2100000000000001E-2</c:v>
                  </c:pt>
                  <c:pt idx="147">
                    <c:v>9.2100000000000001E-2</c:v>
                  </c:pt>
                  <c:pt idx="148">
                    <c:v>9.2100000000000001E-2</c:v>
                  </c:pt>
                  <c:pt idx="149">
                    <c:v>9.2100000000000001E-2</c:v>
                  </c:pt>
                  <c:pt idx="150">
                    <c:v>9.2100000000000001E-2</c:v>
                  </c:pt>
                  <c:pt idx="151">
                    <c:v>9.2100000000000001E-2</c:v>
                  </c:pt>
                  <c:pt idx="152">
                    <c:v>9.2100000000000001E-2</c:v>
                  </c:pt>
                  <c:pt idx="153">
                    <c:v>9.2100000000000001E-2</c:v>
                  </c:pt>
                  <c:pt idx="154">
                    <c:v>9.2100000000000001E-2</c:v>
                  </c:pt>
                  <c:pt idx="155">
                    <c:v>9.2100000000000001E-2</c:v>
                  </c:pt>
                  <c:pt idx="156">
                    <c:v>9.1300000000000006E-2</c:v>
                  </c:pt>
                  <c:pt idx="157">
                    <c:v>9.3899999999999997E-2</c:v>
                  </c:pt>
                  <c:pt idx="158">
                    <c:v>9.6299999999999997E-2</c:v>
                  </c:pt>
                  <c:pt idx="159">
                    <c:v>9.7500000000000003E-2</c:v>
                  </c:pt>
                  <c:pt idx="160">
                    <c:v>9.7700000000000009E-2</c:v>
                  </c:pt>
                  <c:pt idx="161">
                    <c:v>9.7700000000000009E-2</c:v>
                  </c:pt>
                  <c:pt idx="162">
                    <c:v>9.7700000000000009E-2</c:v>
                  </c:pt>
                  <c:pt idx="163">
                    <c:v>9.7799999999999998E-2</c:v>
                  </c:pt>
                  <c:pt idx="164">
                    <c:v>9.7799999999999998E-2</c:v>
                  </c:pt>
                  <c:pt idx="165">
                    <c:v>9.7799999999999998E-2</c:v>
                  </c:pt>
                  <c:pt idx="166">
                    <c:v>9.7799999999999998E-2</c:v>
                  </c:pt>
                  <c:pt idx="167">
                    <c:v>9.7799999999999998E-2</c:v>
                  </c:pt>
                  <c:pt idx="168">
                    <c:v>9.7799999999999998E-2</c:v>
                  </c:pt>
                  <c:pt idx="169">
                    <c:v>9.7799999999999998E-2</c:v>
                  </c:pt>
                  <c:pt idx="170">
                    <c:v>9.9199999999999997E-2</c:v>
                  </c:pt>
                  <c:pt idx="171">
                    <c:v>0.1004</c:v>
                  </c:pt>
                  <c:pt idx="172">
                    <c:v>0.10060000000000001</c:v>
                  </c:pt>
                  <c:pt idx="173">
                    <c:v>0.10060000000000001</c:v>
                  </c:pt>
                  <c:pt idx="174">
                    <c:v>0.10060000000000001</c:v>
                  </c:pt>
                  <c:pt idx="175">
                    <c:v>0.10060000000000001</c:v>
                  </c:pt>
                  <c:pt idx="176">
                    <c:v>0.1009</c:v>
                  </c:pt>
                  <c:pt idx="177">
                    <c:v>0.1018</c:v>
                  </c:pt>
                  <c:pt idx="178">
                    <c:v>0.10200000000000001</c:v>
                  </c:pt>
                  <c:pt idx="179">
                    <c:v>0.10200000000000001</c:v>
                  </c:pt>
                  <c:pt idx="180">
                    <c:v>0.10200000000000001</c:v>
                  </c:pt>
                  <c:pt idx="181">
                    <c:v>0.10200000000000001</c:v>
                  </c:pt>
                  <c:pt idx="182">
                    <c:v>0.10200000000000001</c:v>
                  </c:pt>
                  <c:pt idx="183">
                    <c:v>0.10200000000000001</c:v>
                  </c:pt>
                  <c:pt idx="184">
                    <c:v>0.10200000000000001</c:v>
                  </c:pt>
                  <c:pt idx="185">
                    <c:v>0.10200000000000001</c:v>
                  </c:pt>
                  <c:pt idx="186">
                    <c:v>0.1026</c:v>
                  </c:pt>
                  <c:pt idx="187">
                    <c:v>0.10250000000000001</c:v>
                  </c:pt>
                  <c:pt idx="188">
                    <c:v>0.10340000000000001</c:v>
                  </c:pt>
                  <c:pt idx="189">
                    <c:v>0.10340000000000001</c:v>
                  </c:pt>
                  <c:pt idx="190">
                    <c:v>0.1048</c:v>
                  </c:pt>
                  <c:pt idx="191">
                    <c:v>0.10490000000000001</c:v>
                  </c:pt>
                  <c:pt idx="192">
                    <c:v>0.10490000000000001</c:v>
                  </c:pt>
                  <c:pt idx="193">
                    <c:v>0.1062</c:v>
                  </c:pt>
                  <c:pt idx="194">
                    <c:v>0.1072</c:v>
                  </c:pt>
                  <c:pt idx="195">
                    <c:v>0.10790000000000001</c:v>
                  </c:pt>
                  <c:pt idx="196">
                    <c:v>0.109</c:v>
                  </c:pt>
                  <c:pt idx="197">
                    <c:v>0.10970000000000001</c:v>
                  </c:pt>
                  <c:pt idx="198">
                    <c:v>0.1105</c:v>
                  </c:pt>
                  <c:pt idx="199">
                    <c:v>0.1119</c:v>
                  </c:pt>
                  <c:pt idx="200">
                    <c:v>0.1124</c:v>
                  </c:pt>
                  <c:pt idx="201">
                    <c:v>0.1129</c:v>
                  </c:pt>
                  <c:pt idx="202">
                    <c:v>0.1133</c:v>
                  </c:pt>
                  <c:pt idx="203">
                    <c:v>0.11370000000000001</c:v>
                  </c:pt>
                  <c:pt idx="204">
                    <c:v>0.1147</c:v>
                  </c:pt>
                  <c:pt idx="205">
                    <c:v>0.1149</c:v>
                  </c:pt>
                  <c:pt idx="206">
                    <c:v>0.11610000000000001</c:v>
                  </c:pt>
                  <c:pt idx="207">
                    <c:v>0.11610000000000001</c:v>
                  </c:pt>
                  <c:pt idx="208">
                    <c:v>0.11750000000000001</c:v>
                  </c:pt>
                  <c:pt idx="209">
                    <c:v>0.11750000000000001</c:v>
                  </c:pt>
                  <c:pt idx="210">
                    <c:v>0.1206</c:v>
                  </c:pt>
                  <c:pt idx="211">
                    <c:v>0.1217</c:v>
                  </c:pt>
                  <c:pt idx="212">
                    <c:v>0.12470000000000001</c:v>
                  </c:pt>
                  <c:pt idx="213">
                    <c:v>0.12919999999999998</c:v>
                  </c:pt>
                  <c:pt idx="214">
                    <c:v>0.13009999999999999</c:v>
                  </c:pt>
                  <c:pt idx="215">
                    <c:v>0.13149999999999998</c:v>
                  </c:pt>
                  <c:pt idx="216">
                    <c:v>0.1328</c:v>
                  </c:pt>
                  <c:pt idx="217">
                    <c:v>0.13439999999999999</c:v>
                  </c:pt>
                  <c:pt idx="218">
                    <c:v>0.13519999999999999</c:v>
                  </c:pt>
                  <c:pt idx="219">
                    <c:v>0.13719999999999999</c:v>
                  </c:pt>
                  <c:pt idx="220">
                    <c:v>0.13719999999999999</c:v>
                  </c:pt>
                  <c:pt idx="221">
                    <c:v>0.13849999999999998</c:v>
                  </c:pt>
                  <c:pt idx="222">
                    <c:v>0.13979999999999998</c:v>
                  </c:pt>
                  <c:pt idx="223">
                    <c:v>0.13999999999999999</c:v>
                  </c:pt>
                  <c:pt idx="224">
                    <c:v>0.14129999999999998</c:v>
                  </c:pt>
                  <c:pt idx="225">
                    <c:v>0.14279999999999998</c:v>
                  </c:pt>
                  <c:pt idx="226">
                    <c:v>0.14279999999999998</c:v>
                  </c:pt>
                  <c:pt idx="227">
                    <c:v>0.14459999999999998</c:v>
                  </c:pt>
                  <c:pt idx="228">
                    <c:v>0.14679999999999999</c:v>
                  </c:pt>
                  <c:pt idx="229">
                    <c:v>0.1512</c:v>
                  </c:pt>
                  <c:pt idx="230">
                    <c:v>0.15129999999999999</c:v>
                  </c:pt>
                  <c:pt idx="231">
                    <c:v>0.15139999999999998</c:v>
                  </c:pt>
                  <c:pt idx="232">
                    <c:v>0.1525</c:v>
                  </c:pt>
                  <c:pt idx="233">
                    <c:v>0.15629999999999999</c:v>
                  </c:pt>
                  <c:pt idx="234">
                    <c:v>0.1565</c:v>
                  </c:pt>
                  <c:pt idx="235">
                    <c:v>0.15469999999999998</c:v>
                  </c:pt>
                  <c:pt idx="236">
                    <c:v>0.15409999999999999</c:v>
                  </c:pt>
                  <c:pt idx="237">
                    <c:v>0.15409999999999999</c:v>
                  </c:pt>
                  <c:pt idx="238">
                    <c:v>0.15459999999999999</c:v>
                  </c:pt>
                  <c:pt idx="239">
                    <c:v>0.1555</c:v>
                  </c:pt>
                  <c:pt idx="240">
                    <c:v>0.1565</c:v>
                  </c:pt>
                  <c:pt idx="241">
                    <c:v>0.15689999999999998</c:v>
                  </c:pt>
                  <c:pt idx="242">
                    <c:v>0.15769999999999998</c:v>
                  </c:pt>
                  <c:pt idx="243">
                    <c:v>0.1578</c:v>
                  </c:pt>
                  <c:pt idx="244">
                    <c:v>0.1585</c:v>
                  </c:pt>
                  <c:pt idx="245">
                    <c:v>0.1583</c:v>
                  </c:pt>
                  <c:pt idx="246">
                    <c:v>0.1583</c:v>
                  </c:pt>
                  <c:pt idx="247">
                    <c:v>0.1583</c:v>
                  </c:pt>
                  <c:pt idx="248">
                    <c:v>0.1583</c:v>
                  </c:pt>
                  <c:pt idx="249">
                    <c:v>0.1583</c:v>
                  </c:pt>
                  <c:pt idx="250">
                    <c:v>0.1583</c:v>
                  </c:pt>
                  <c:pt idx="251">
                    <c:v>0.1583</c:v>
                  </c:pt>
                  <c:pt idx="252">
                    <c:v>0.1583</c:v>
                  </c:pt>
                  <c:pt idx="253">
                    <c:v>0.15839999999999999</c:v>
                  </c:pt>
                  <c:pt idx="254">
                    <c:v>0.1585</c:v>
                  </c:pt>
                  <c:pt idx="255">
                    <c:v>0.159</c:v>
                  </c:pt>
                  <c:pt idx="256">
                    <c:v>0.15939999999999999</c:v>
                  </c:pt>
                  <c:pt idx="257">
                    <c:v>0.15969999999999998</c:v>
                  </c:pt>
                  <c:pt idx="258">
                    <c:v>0.1598</c:v>
                  </c:pt>
                  <c:pt idx="259">
                    <c:v>0.16119999999999998</c:v>
                  </c:pt>
                  <c:pt idx="260">
                    <c:v>0.16119999999999998</c:v>
                  </c:pt>
                  <c:pt idx="261">
                    <c:v>0.16089999999999999</c:v>
                  </c:pt>
                  <c:pt idx="262">
                    <c:v>0.16109999999999999</c:v>
                  </c:pt>
                  <c:pt idx="263">
                    <c:v>0.16059999999999999</c:v>
                  </c:pt>
                  <c:pt idx="264">
                    <c:v>0.16109999999999999</c:v>
                  </c:pt>
                  <c:pt idx="265">
                    <c:v>0.16199999999999998</c:v>
                  </c:pt>
                  <c:pt idx="266">
                    <c:v>0.16249999999999998</c:v>
                  </c:pt>
                  <c:pt idx="267">
                    <c:v>0.16799999999999998</c:v>
                  </c:pt>
                  <c:pt idx="268">
                    <c:v>0.1681</c:v>
                  </c:pt>
                  <c:pt idx="269">
                    <c:v>0.1694</c:v>
                  </c:pt>
                  <c:pt idx="270">
                    <c:v>0.1709</c:v>
                  </c:pt>
                  <c:pt idx="271">
                    <c:v>0.17229999999999998</c:v>
                  </c:pt>
                  <c:pt idx="272">
                    <c:v>0.17369999999999999</c:v>
                  </c:pt>
                  <c:pt idx="273">
                    <c:v>0.17679999999999998</c:v>
                  </c:pt>
                  <c:pt idx="274">
                    <c:v>0.17909999999999998</c:v>
                  </c:pt>
                  <c:pt idx="275">
                    <c:v>0.1807</c:v>
                  </c:pt>
                  <c:pt idx="276">
                    <c:v>0.18129999999999999</c:v>
                  </c:pt>
                  <c:pt idx="277">
                    <c:v>0.18099999999999999</c:v>
                  </c:pt>
                  <c:pt idx="278">
                    <c:v>0.18129999999999999</c:v>
                  </c:pt>
                  <c:pt idx="279">
                    <c:v>0.18079999999999999</c:v>
                  </c:pt>
                  <c:pt idx="280">
                    <c:v>0.18109999999999998</c:v>
                  </c:pt>
                  <c:pt idx="281">
                    <c:v>0.1817</c:v>
                  </c:pt>
                  <c:pt idx="282">
                    <c:v>0.1822</c:v>
                  </c:pt>
                  <c:pt idx="283">
                    <c:v>0.18339999999999998</c:v>
                  </c:pt>
                  <c:pt idx="284">
                    <c:v>0.18339999999999998</c:v>
                  </c:pt>
                  <c:pt idx="285">
                    <c:v>0.18479999999999999</c:v>
                  </c:pt>
                  <c:pt idx="286">
                    <c:v>0.18759999999999999</c:v>
                  </c:pt>
                  <c:pt idx="287">
                    <c:v>0.18889999999999998</c:v>
                  </c:pt>
                  <c:pt idx="288">
                    <c:v>0.1893</c:v>
                  </c:pt>
                  <c:pt idx="289">
                    <c:v>0.189</c:v>
                  </c:pt>
                  <c:pt idx="290">
                    <c:v>0.19139999999999999</c:v>
                  </c:pt>
                  <c:pt idx="291">
                    <c:v>0.1963</c:v>
                  </c:pt>
                  <c:pt idx="292">
                    <c:v>0.2006</c:v>
                  </c:pt>
                  <c:pt idx="293">
                    <c:v>0.20569999999999999</c:v>
                  </c:pt>
                  <c:pt idx="294">
                    <c:v>0.2097</c:v>
                  </c:pt>
                  <c:pt idx="295">
                    <c:v>0.21029999999999999</c:v>
                  </c:pt>
                  <c:pt idx="296">
                    <c:v>0.21429999999999999</c:v>
                  </c:pt>
                  <c:pt idx="297">
                    <c:v>0.21639999999999998</c:v>
                  </c:pt>
                  <c:pt idx="298">
                    <c:v>0.21919999999999998</c:v>
                  </c:pt>
                  <c:pt idx="299">
                    <c:v>0.22109999999999999</c:v>
                  </c:pt>
                  <c:pt idx="300">
                    <c:v>0.22199999999999998</c:v>
                  </c:pt>
                  <c:pt idx="301">
                    <c:v>0.2233</c:v>
                  </c:pt>
                  <c:pt idx="302">
                    <c:v>0.2233</c:v>
                  </c:pt>
                  <c:pt idx="303">
                    <c:v>0.22349999999999998</c:v>
                  </c:pt>
                  <c:pt idx="304">
                    <c:v>0.22449999999999998</c:v>
                  </c:pt>
                  <c:pt idx="305">
                    <c:v>0.22469999999999998</c:v>
                  </c:pt>
                  <c:pt idx="306">
                    <c:v>0.22599999999999998</c:v>
                  </c:pt>
                  <c:pt idx="307">
                    <c:v>0.2276</c:v>
                  </c:pt>
                  <c:pt idx="308">
                    <c:v>0.22869999999999999</c:v>
                  </c:pt>
                  <c:pt idx="309">
                    <c:v>0.22869999999999999</c:v>
                  </c:pt>
                  <c:pt idx="310">
                    <c:v>0.22949999999999998</c:v>
                  </c:pt>
                  <c:pt idx="311">
                    <c:v>0.23139999999999999</c:v>
                  </c:pt>
                  <c:pt idx="312">
                    <c:v>0.23149999999999998</c:v>
                  </c:pt>
                  <c:pt idx="313">
                    <c:v>0.23279999999999998</c:v>
                  </c:pt>
                  <c:pt idx="314">
                    <c:v>0.23279999999999998</c:v>
                  </c:pt>
                  <c:pt idx="315">
                    <c:v>0.23299999999999998</c:v>
                  </c:pt>
                  <c:pt idx="316">
                    <c:v>0.2329</c:v>
                  </c:pt>
                  <c:pt idx="317">
                    <c:v>0.23279999999999998</c:v>
                  </c:pt>
                  <c:pt idx="318">
                    <c:v>0.23299999999999998</c:v>
                  </c:pt>
                  <c:pt idx="319">
                    <c:v>0.23329999999999998</c:v>
                  </c:pt>
                  <c:pt idx="320">
                    <c:v>0.23329999999999998</c:v>
                  </c:pt>
                  <c:pt idx="321">
                    <c:v>0.23369999999999999</c:v>
                  </c:pt>
                  <c:pt idx="322">
                    <c:v>0.23399999999999999</c:v>
                  </c:pt>
                  <c:pt idx="323">
                    <c:v>0.2341</c:v>
                  </c:pt>
                  <c:pt idx="324">
                    <c:v>0.2341</c:v>
                  </c:pt>
                  <c:pt idx="325">
                    <c:v>0.2341</c:v>
                  </c:pt>
                  <c:pt idx="326">
                    <c:v>0.2341</c:v>
                  </c:pt>
                  <c:pt idx="327">
                    <c:v>0.23429999999999998</c:v>
                  </c:pt>
                  <c:pt idx="328">
                    <c:v>0.23529999999999998</c:v>
                  </c:pt>
                  <c:pt idx="329">
                    <c:v>0.23649999999999999</c:v>
                  </c:pt>
                  <c:pt idx="330">
                    <c:v>0.23679999999999998</c:v>
                  </c:pt>
                  <c:pt idx="331">
                    <c:v>0.23559999999999998</c:v>
                  </c:pt>
                  <c:pt idx="332">
                    <c:v>0.23549999999999999</c:v>
                  </c:pt>
                  <c:pt idx="333">
                    <c:v>0.23549999999999999</c:v>
                  </c:pt>
                  <c:pt idx="334">
                    <c:v>0.23549999999999999</c:v>
                  </c:pt>
                  <c:pt idx="335">
                    <c:v>0.23569999999999999</c:v>
                  </c:pt>
                  <c:pt idx="336">
                    <c:v>0.23569999999999999</c:v>
                  </c:pt>
                  <c:pt idx="337">
                    <c:v>0.23559999999999998</c:v>
                  </c:pt>
                  <c:pt idx="338">
                    <c:v>0.23619999999999999</c:v>
                  </c:pt>
                  <c:pt idx="339">
                    <c:v>0.2369</c:v>
                  </c:pt>
                  <c:pt idx="340">
                    <c:v>0.2369</c:v>
                  </c:pt>
                  <c:pt idx="341">
                    <c:v>0.23809999999999998</c:v>
                  </c:pt>
                  <c:pt idx="342">
                    <c:v>0.23809999999999998</c:v>
                  </c:pt>
                  <c:pt idx="343">
                    <c:v>0.2397</c:v>
                  </c:pt>
                  <c:pt idx="344">
                    <c:v>0.24089999999999998</c:v>
                  </c:pt>
                  <c:pt idx="345">
                    <c:v>0.24249999999999999</c:v>
                  </c:pt>
                  <c:pt idx="346">
                    <c:v>0.2445</c:v>
                  </c:pt>
                  <c:pt idx="347">
                    <c:v>0.25259999999999999</c:v>
                  </c:pt>
                  <c:pt idx="348">
                    <c:v>0.25629999999999997</c:v>
                  </c:pt>
                  <c:pt idx="349">
                    <c:v>0.25669999999999998</c:v>
                  </c:pt>
                  <c:pt idx="350">
                    <c:v>0.25929999999999997</c:v>
                  </c:pt>
                  <c:pt idx="351">
                    <c:v>0.25950000000000001</c:v>
                  </c:pt>
                  <c:pt idx="352">
                    <c:v>0.26129999999999998</c:v>
                  </c:pt>
                  <c:pt idx="353">
                    <c:v>0.26369999999999999</c:v>
                  </c:pt>
                  <c:pt idx="354">
                    <c:v>0.2717</c:v>
                  </c:pt>
                  <c:pt idx="355">
                    <c:v>0.27949999999999997</c:v>
                  </c:pt>
                  <c:pt idx="356">
                    <c:v>0.27979999999999999</c:v>
                  </c:pt>
                  <c:pt idx="357">
                    <c:v>0.28370000000000001</c:v>
                  </c:pt>
                  <c:pt idx="358">
                    <c:v>0.2863</c:v>
                  </c:pt>
                  <c:pt idx="359">
                    <c:v>0.28749999999999998</c:v>
                  </c:pt>
                  <c:pt idx="360">
                    <c:v>0.28889999999999999</c:v>
                  </c:pt>
                  <c:pt idx="361">
                    <c:v>0.28989999999999999</c:v>
                  </c:pt>
                  <c:pt idx="362">
                    <c:v>0.29359999999999997</c:v>
                  </c:pt>
                  <c:pt idx="363">
                    <c:v>0.29559999999999997</c:v>
                  </c:pt>
                  <c:pt idx="364">
                    <c:v>0.29759999999999998</c:v>
                  </c:pt>
                  <c:pt idx="365">
                    <c:v>0.29759999999999998</c:v>
                  </c:pt>
                  <c:pt idx="366">
                    <c:v>0.2984</c:v>
                  </c:pt>
                  <c:pt idx="367">
                    <c:v>0.29809999999999998</c:v>
                  </c:pt>
                  <c:pt idx="368">
                    <c:v>0.29849999999999999</c:v>
                  </c:pt>
                  <c:pt idx="369">
                    <c:v>0.30049999999999999</c:v>
                  </c:pt>
                  <c:pt idx="370">
                    <c:v>0.3019</c:v>
                  </c:pt>
                  <c:pt idx="371">
                    <c:v>0.3085</c:v>
                  </c:pt>
                  <c:pt idx="372">
                    <c:v>0.31109999999999999</c:v>
                  </c:pt>
                  <c:pt idx="373">
                    <c:v>0.3125</c:v>
                  </c:pt>
                  <c:pt idx="374">
                    <c:v>0.3135</c:v>
                  </c:pt>
                  <c:pt idx="375">
                    <c:v>0.31490000000000001</c:v>
                  </c:pt>
                  <c:pt idx="376">
                    <c:v>0.31590000000000001</c:v>
                  </c:pt>
                  <c:pt idx="377">
                    <c:v>0.31709999999999999</c:v>
                  </c:pt>
                  <c:pt idx="378">
                    <c:v>0.31979999999999997</c:v>
                  </c:pt>
                  <c:pt idx="379">
                    <c:v>0.32050000000000001</c:v>
                  </c:pt>
                  <c:pt idx="380">
                    <c:v>0.32050000000000001</c:v>
                  </c:pt>
                  <c:pt idx="381">
                    <c:v>0.32050000000000001</c:v>
                  </c:pt>
                  <c:pt idx="382">
                    <c:v>0.32100000000000001</c:v>
                  </c:pt>
                  <c:pt idx="383">
                    <c:v>0.32169999999999999</c:v>
                  </c:pt>
                  <c:pt idx="384">
                    <c:v>0.32169999999999999</c:v>
                  </c:pt>
                  <c:pt idx="385">
                    <c:v>0.32279999999999998</c:v>
                  </c:pt>
                  <c:pt idx="386">
                    <c:v>0.32269999999999999</c:v>
                  </c:pt>
                  <c:pt idx="387">
                    <c:v>0.32269999999999999</c:v>
                  </c:pt>
                  <c:pt idx="388">
                    <c:v>0.32350000000000001</c:v>
                  </c:pt>
                  <c:pt idx="389">
                    <c:v>0.32389999999999997</c:v>
                  </c:pt>
                  <c:pt idx="390">
                    <c:v>0.32550000000000001</c:v>
                  </c:pt>
                  <c:pt idx="391">
                    <c:v>0.3271</c:v>
                  </c:pt>
                  <c:pt idx="392">
                    <c:v>0.32789999999999997</c:v>
                  </c:pt>
                  <c:pt idx="393">
                    <c:v>0.32900000000000001</c:v>
                  </c:pt>
                  <c:pt idx="394">
                    <c:v>0.32929999999999998</c:v>
                  </c:pt>
                  <c:pt idx="395">
                    <c:v>0.32929999999999998</c:v>
                  </c:pt>
                  <c:pt idx="396">
                    <c:v>0.3306</c:v>
                  </c:pt>
                  <c:pt idx="397">
                    <c:v>0.33039999999999997</c:v>
                  </c:pt>
                  <c:pt idx="398">
                    <c:v>0.33039999999999997</c:v>
                  </c:pt>
                  <c:pt idx="399">
                    <c:v>0.33149999999999996</c:v>
                  </c:pt>
                  <c:pt idx="400">
                    <c:v>0.33329999999999999</c:v>
                  </c:pt>
                  <c:pt idx="401">
                    <c:v>0.33479999999999999</c:v>
                  </c:pt>
                  <c:pt idx="402">
                    <c:v>0.3347</c:v>
                  </c:pt>
                  <c:pt idx="403">
                    <c:v>0.33579999999999999</c:v>
                  </c:pt>
                  <c:pt idx="404">
                    <c:v>0.33799999999999997</c:v>
                  </c:pt>
                  <c:pt idx="405">
                    <c:v>0.3402</c:v>
                  </c:pt>
                  <c:pt idx="406">
                    <c:v>0.3453</c:v>
                  </c:pt>
                  <c:pt idx="407">
                    <c:v>0.35020000000000001</c:v>
                  </c:pt>
                  <c:pt idx="408">
                    <c:v>0.3553</c:v>
                  </c:pt>
                  <c:pt idx="409">
                    <c:v>0.35819999999999996</c:v>
                  </c:pt>
                  <c:pt idx="410">
                    <c:v>0.35899999999999999</c:v>
                  </c:pt>
                  <c:pt idx="411">
                    <c:v>0.36059999999999998</c:v>
                  </c:pt>
                  <c:pt idx="412">
                    <c:v>0.36230000000000001</c:v>
                  </c:pt>
                  <c:pt idx="413">
                    <c:v>0.36480000000000001</c:v>
                  </c:pt>
                  <c:pt idx="414">
                    <c:v>0.36730000000000002</c:v>
                  </c:pt>
                  <c:pt idx="415">
                    <c:v>0.36979999999999996</c:v>
                  </c:pt>
                  <c:pt idx="416">
                    <c:v>0.37390000000000001</c:v>
                  </c:pt>
                  <c:pt idx="417">
                    <c:v>0.37479999999999997</c:v>
                  </c:pt>
                  <c:pt idx="418">
                    <c:v>0.3785</c:v>
                  </c:pt>
                  <c:pt idx="419">
                    <c:v>0.3785</c:v>
                  </c:pt>
                  <c:pt idx="420">
                    <c:v>0.38079999999999997</c:v>
                  </c:pt>
                  <c:pt idx="421">
                    <c:v>0.38419999999999999</c:v>
                  </c:pt>
                  <c:pt idx="422">
                    <c:v>0.38500000000000001</c:v>
                  </c:pt>
                  <c:pt idx="423">
                    <c:v>0.3861</c:v>
                  </c:pt>
                  <c:pt idx="424">
                    <c:v>0.38650000000000001</c:v>
                  </c:pt>
                  <c:pt idx="425">
                    <c:v>0.39089999999999997</c:v>
                  </c:pt>
                  <c:pt idx="426">
                    <c:v>0.39169999999999999</c:v>
                  </c:pt>
                  <c:pt idx="427">
                    <c:v>0.39289999999999997</c:v>
                  </c:pt>
                  <c:pt idx="428">
                    <c:v>0.39289999999999997</c:v>
                  </c:pt>
                  <c:pt idx="429">
                    <c:v>0.39339999999999997</c:v>
                  </c:pt>
                  <c:pt idx="430">
                    <c:v>0.39429999999999998</c:v>
                  </c:pt>
                  <c:pt idx="431">
                    <c:v>0.39529999999999998</c:v>
                  </c:pt>
                  <c:pt idx="432">
                    <c:v>0.39749999999999996</c:v>
                  </c:pt>
                  <c:pt idx="433">
                    <c:v>0.39839999999999998</c:v>
                  </c:pt>
                  <c:pt idx="434">
                    <c:v>0.39989999999999998</c:v>
                  </c:pt>
                  <c:pt idx="435">
                    <c:v>0.4012</c:v>
                  </c:pt>
                  <c:pt idx="436">
                    <c:v>0.40199999999999997</c:v>
                  </c:pt>
                  <c:pt idx="437">
                    <c:v>0.40399999999999997</c:v>
                  </c:pt>
                  <c:pt idx="438">
                    <c:v>0.40549999999999997</c:v>
                  </c:pt>
                  <c:pt idx="439">
                    <c:v>0.40639999999999998</c:v>
                  </c:pt>
                  <c:pt idx="440">
                    <c:v>0.40709999999999996</c:v>
                  </c:pt>
                  <c:pt idx="441">
                    <c:v>0.40720000000000001</c:v>
                  </c:pt>
                  <c:pt idx="442">
                    <c:v>0.40770000000000001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'2'!$I$34:$I$476</c:f>
                <c:numCache>
                  <c:formatCode>General</c:formatCode>
                  <c:ptCount val="443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  <c:pt idx="195">
                    <c:v>5.8000000000000005E-3</c:v>
                  </c:pt>
                  <c:pt idx="196">
                    <c:v>5.8000000000000005E-3</c:v>
                  </c:pt>
                  <c:pt idx="197">
                    <c:v>5.8000000000000005E-3</c:v>
                  </c:pt>
                  <c:pt idx="198">
                    <c:v>5.8000000000000005E-3</c:v>
                  </c:pt>
                  <c:pt idx="199">
                    <c:v>5.8000000000000005E-3</c:v>
                  </c:pt>
                  <c:pt idx="200">
                    <c:v>5.8000000000000005E-3</c:v>
                  </c:pt>
                  <c:pt idx="201">
                    <c:v>5.8000000000000005E-3</c:v>
                  </c:pt>
                  <c:pt idx="202">
                    <c:v>5.8000000000000005E-3</c:v>
                  </c:pt>
                  <c:pt idx="203">
                    <c:v>5.8000000000000005E-3</c:v>
                  </c:pt>
                  <c:pt idx="204">
                    <c:v>5.8000000000000005E-3</c:v>
                  </c:pt>
                  <c:pt idx="205">
                    <c:v>5.8000000000000005E-3</c:v>
                  </c:pt>
                  <c:pt idx="206">
                    <c:v>5.8000000000000005E-3</c:v>
                  </c:pt>
                  <c:pt idx="207">
                    <c:v>5.8000000000000005E-3</c:v>
                  </c:pt>
                  <c:pt idx="208">
                    <c:v>5.8000000000000005E-3</c:v>
                  </c:pt>
                  <c:pt idx="209">
                    <c:v>5.8000000000000005E-3</c:v>
                  </c:pt>
                  <c:pt idx="210">
                    <c:v>5.8000000000000005E-3</c:v>
                  </c:pt>
                  <c:pt idx="211">
                    <c:v>5.8000000000000005E-3</c:v>
                  </c:pt>
                  <c:pt idx="212">
                    <c:v>5.8000000000000005E-3</c:v>
                  </c:pt>
                  <c:pt idx="213">
                    <c:v>5.8000000000000005E-3</c:v>
                  </c:pt>
                  <c:pt idx="214">
                    <c:v>5.8000000000000005E-3</c:v>
                  </c:pt>
                  <c:pt idx="215">
                    <c:v>5.8000000000000005E-3</c:v>
                  </c:pt>
                  <c:pt idx="216">
                    <c:v>5.8000000000000005E-3</c:v>
                  </c:pt>
                  <c:pt idx="217">
                    <c:v>5.8000000000000005E-3</c:v>
                  </c:pt>
                  <c:pt idx="218">
                    <c:v>5.8000000000000005E-3</c:v>
                  </c:pt>
                  <c:pt idx="219">
                    <c:v>5.8000000000000005E-3</c:v>
                  </c:pt>
                  <c:pt idx="220">
                    <c:v>5.8000000000000005E-3</c:v>
                  </c:pt>
                  <c:pt idx="221">
                    <c:v>5.8000000000000005E-3</c:v>
                  </c:pt>
                  <c:pt idx="222">
                    <c:v>5.8000000000000005E-3</c:v>
                  </c:pt>
                  <c:pt idx="223">
                    <c:v>5.8000000000000005E-3</c:v>
                  </c:pt>
                  <c:pt idx="224">
                    <c:v>5.8000000000000005E-3</c:v>
                  </c:pt>
                  <c:pt idx="225">
                    <c:v>5.8000000000000005E-3</c:v>
                  </c:pt>
                  <c:pt idx="226">
                    <c:v>5.8000000000000005E-3</c:v>
                  </c:pt>
                  <c:pt idx="227">
                    <c:v>5.8000000000000005E-3</c:v>
                  </c:pt>
                  <c:pt idx="228">
                    <c:v>5.8000000000000005E-3</c:v>
                  </c:pt>
                  <c:pt idx="229">
                    <c:v>5.8000000000000005E-3</c:v>
                  </c:pt>
                  <c:pt idx="230">
                    <c:v>5.8000000000000005E-3</c:v>
                  </c:pt>
                  <c:pt idx="231">
                    <c:v>5.8000000000000005E-3</c:v>
                  </c:pt>
                  <c:pt idx="232">
                    <c:v>5.8000000000000005E-3</c:v>
                  </c:pt>
                  <c:pt idx="233">
                    <c:v>5.8000000000000005E-3</c:v>
                  </c:pt>
                  <c:pt idx="234">
                    <c:v>5.8000000000000005E-3</c:v>
                  </c:pt>
                  <c:pt idx="235">
                    <c:v>5.8000000000000005E-3</c:v>
                  </c:pt>
                  <c:pt idx="236">
                    <c:v>5.8000000000000005E-3</c:v>
                  </c:pt>
                  <c:pt idx="237">
                    <c:v>5.8000000000000005E-3</c:v>
                  </c:pt>
                  <c:pt idx="238">
                    <c:v>5.8000000000000005E-3</c:v>
                  </c:pt>
                  <c:pt idx="239">
                    <c:v>5.8000000000000005E-3</c:v>
                  </c:pt>
                  <c:pt idx="240">
                    <c:v>5.8000000000000005E-3</c:v>
                  </c:pt>
                  <c:pt idx="241">
                    <c:v>5.8000000000000005E-3</c:v>
                  </c:pt>
                  <c:pt idx="242">
                    <c:v>5.8000000000000005E-3</c:v>
                  </c:pt>
                  <c:pt idx="243">
                    <c:v>5.8000000000000005E-3</c:v>
                  </c:pt>
                  <c:pt idx="244">
                    <c:v>5.8000000000000005E-3</c:v>
                  </c:pt>
                  <c:pt idx="245">
                    <c:v>5.8000000000000005E-3</c:v>
                  </c:pt>
                  <c:pt idx="246">
                    <c:v>5.8000000000000005E-3</c:v>
                  </c:pt>
                  <c:pt idx="247">
                    <c:v>5.8000000000000005E-3</c:v>
                  </c:pt>
                  <c:pt idx="248">
                    <c:v>5.8000000000000005E-3</c:v>
                  </c:pt>
                  <c:pt idx="249">
                    <c:v>5.8000000000000005E-3</c:v>
                  </c:pt>
                  <c:pt idx="250">
                    <c:v>5.8000000000000005E-3</c:v>
                  </c:pt>
                  <c:pt idx="251">
                    <c:v>5.8000000000000005E-3</c:v>
                  </c:pt>
                  <c:pt idx="252">
                    <c:v>5.8000000000000005E-3</c:v>
                  </c:pt>
                  <c:pt idx="253">
                    <c:v>5.8000000000000005E-3</c:v>
                  </c:pt>
                  <c:pt idx="254">
                    <c:v>5.8000000000000005E-3</c:v>
                  </c:pt>
                  <c:pt idx="255">
                    <c:v>5.8000000000000005E-3</c:v>
                  </c:pt>
                  <c:pt idx="256">
                    <c:v>5.8000000000000005E-3</c:v>
                  </c:pt>
                  <c:pt idx="257">
                    <c:v>5.8000000000000005E-3</c:v>
                  </c:pt>
                  <c:pt idx="258">
                    <c:v>5.8000000000000005E-3</c:v>
                  </c:pt>
                  <c:pt idx="259">
                    <c:v>5.8000000000000005E-3</c:v>
                  </c:pt>
                  <c:pt idx="260">
                    <c:v>5.8000000000000005E-3</c:v>
                  </c:pt>
                  <c:pt idx="261">
                    <c:v>5.8000000000000005E-3</c:v>
                  </c:pt>
                  <c:pt idx="262">
                    <c:v>5.8000000000000005E-3</c:v>
                  </c:pt>
                  <c:pt idx="263">
                    <c:v>5.8000000000000005E-3</c:v>
                  </c:pt>
                  <c:pt idx="264">
                    <c:v>5.8000000000000005E-3</c:v>
                  </c:pt>
                  <c:pt idx="265">
                    <c:v>5.8000000000000005E-3</c:v>
                  </c:pt>
                  <c:pt idx="266">
                    <c:v>5.8000000000000005E-3</c:v>
                  </c:pt>
                  <c:pt idx="267">
                    <c:v>5.8000000000000005E-3</c:v>
                  </c:pt>
                  <c:pt idx="268">
                    <c:v>5.8000000000000005E-3</c:v>
                  </c:pt>
                  <c:pt idx="269">
                    <c:v>5.8000000000000005E-3</c:v>
                  </c:pt>
                  <c:pt idx="270">
                    <c:v>5.8000000000000005E-3</c:v>
                  </c:pt>
                  <c:pt idx="271">
                    <c:v>5.8000000000000005E-3</c:v>
                  </c:pt>
                  <c:pt idx="272">
                    <c:v>5.8000000000000005E-3</c:v>
                  </c:pt>
                  <c:pt idx="273">
                    <c:v>5.8000000000000005E-3</c:v>
                  </c:pt>
                  <c:pt idx="274">
                    <c:v>5.8000000000000005E-3</c:v>
                  </c:pt>
                  <c:pt idx="275">
                    <c:v>5.8000000000000005E-3</c:v>
                  </c:pt>
                  <c:pt idx="276">
                    <c:v>5.8000000000000005E-3</c:v>
                  </c:pt>
                  <c:pt idx="277">
                    <c:v>5.8000000000000005E-3</c:v>
                  </c:pt>
                  <c:pt idx="278">
                    <c:v>5.8000000000000005E-3</c:v>
                  </c:pt>
                  <c:pt idx="279">
                    <c:v>5.8000000000000005E-3</c:v>
                  </c:pt>
                  <c:pt idx="280">
                    <c:v>5.8000000000000005E-3</c:v>
                  </c:pt>
                  <c:pt idx="281">
                    <c:v>5.8000000000000005E-3</c:v>
                  </c:pt>
                  <c:pt idx="282">
                    <c:v>5.8000000000000005E-3</c:v>
                  </c:pt>
                  <c:pt idx="283">
                    <c:v>5.8000000000000005E-3</c:v>
                  </c:pt>
                  <c:pt idx="284">
                    <c:v>5.8000000000000005E-3</c:v>
                  </c:pt>
                  <c:pt idx="285">
                    <c:v>5.8000000000000005E-3</c:v>
                  </c:pt>
                  <c:pt idx="286">
                    <c:v>5.8000000000000005E-3</c:v>
                  </c:pt>
                  <c:pt idx="287">
                    <c:v>5.8000000000000005E-3</c:v>
                  </c:pt>
                  <c:pt idx="288">
                    <c:v>5.8000000000000005E-3</c:v>
                  </c:pt>
                  <c:pt idx="289">
                    <c:v>5.8000000000000005E-3</c:v>
                  </c:pt>
                  <c:pt idx="290">
                    <c:v>5.8000000000000005E-3</c:v>
                  </c:pt>
                  <c:pt idx="291">
                    <c:v>5.8000000000000005E-3</c:v>
                  </c:pt>
                  <c:pt idx="292">
                    <c:v>5.8000000000000005E-3</c:v>
                  </c:pt>
                  <c:pt idx="293">
                    <c:v>5.8000000000000005E-3</c:v>
                  </c:pt>
                  <c:pt idx="294">
                    <c:v>5.8000000000000005E-3</c:v>
                  </c:pt>
                  <c:pt idx="295">
                    <c:v>5.8000000000000005E-3</c:v>
                  </c:pt>
                  <c:pt idx="296">
                    <c:v>5.8000000000000005E-3</c:v>
                  </c:pt>
                  <c:pt idx="297">
                    <c:v>5.8000000000000005E-3</c:v>
                  </c:pt>
                  <c:pt idx="298">
                    <c:v>5.8000000000000005E-3</c:v>
                  </c:pt>
                  <c:pt idx="299">
                    <c:v>5.8000000000000005E-3</c:v>
                  </c:pt>
                  <c:pt idx="300">
                    <c:v>5.8000000000000005E-3</c:v>
                  </c:pt>
                  <c:pt idx="301">
                    <c:v>5.8000000000000005E-3</c:v>
                  </c:pt>
                  <c:pt idx="302">
                    <c:v>5.8000000000000005E-3</c:v>
                  </c:pt>
                  <c:pt idx="303">
                    <c:v>5.8000000000000005E-3</c:v>
                  </c:pt>
                  <c:pt idx="304">
                    <c:v>5.8000000000000005E-3</c:v>
                  </c:pt>
                  <c:pt idx="305">
                    <c:v>5.8000000000000005E-3</c:v>
                  </c:pt>
                  <c:pt idx="306">
                    <c:v>5.8000000000000005E-3</c:v>
                  </c:pt>
                  <c:pt idx="307">
                    <c:v>5.8000000000000005E-3</c:v>
                  </c:pt>
                  <c:pt idx="308">
                    <c:v>5.8000000000000005E-3</c:v>
                  </c:pt>
                  <c:pt idx="309">
                    <c:v>5.8000000000000005E-3</c:v>
                  </c:pt>
                  <c:pt idx="310">
                    <c:v>5.8000000000000005E-3</c:v>
                  </c:pt>
                  <c:pt idx="311">
                    <c:v>5.8000000000000005E-3</c:v>
                  </c:pt>
                  <c:pt idx="312">
                    <c:v>5.8000000000000005E-3</c:v>
                  </c:pt>
                  <c:pt idx="313">
                    <c:v>5.8000000000000005E-3</c:v>
                  </c:pt>
                  <c:pt idx="314">
                    <c:v>5.8000000000000005E-3</c:v>
                  </c:pt>
                  <c:pt idx="315">
                    <c:v>5.8000000000000005E-3</c:v>
                  </c:pt>
                  <c:pt idx="316">
                    <c:v>5.8000000000000005E-3</c:v>
                  </c:pt>
                  <c:pt idx="317">
                    <c:v>5.8000000000000005E-3</c:v>
                  </c:pt>
                  <c:pt idx="318">
                    <c:v>5.8000000000000005E-3</c:v>
                  </c:pt>
                  <c:pt idx="319">
                    <c:v>5.8000000000000005E-3</c:v>
                  </c:pt>
                  <c:pt idx="320">
                    <c:v>5.8000000000000005E-3</c:v>
                  </c:pt>
                  <c:pt idx="321">
                    <c:v>5.8000000000000005E-3</c:v>
                  </c:pt>
                  <c:pt idx="322">
                    <c:v>5.8000000000000005E-3</c:v>
                  </c:pt>
                  <c:pt idx="323">
                    <c:v>5.8000000000000005E-3</c:v>
                  </c:pt>
                  <c:pt idx="324">
                    <c:v>5.8000000000000005E-3</c:v>
                  </c:pt>
                  <c:pt idx="325">
                    <c:v>5.8000000000000005E-3</c:v>
                  </c:pt>
                  <c:pt idx="326">
                    <c:v>5.8000000000000005E-3</c:v>
                  </c:pt>
                  <c:pt idx="327">
                    <c:v>5.8000000000000005E-3</c:v>
                  </c:pt>
                  <c:pt idx="328">
                    <c:v>5.8000000000000005E-3</c:v>
                  </c:pt>
                  <c:pt idx="329">
                    <c:v>5.8000000000000005E-3</c:v>
                  </c:pt>
                  <c:pt idx="330">
                    <c:v>5.8000000000000005E-3</c:v>
                  </c:pt>
                  <c:pt idx="331">
                    <c:v>5.8000000000000005E-3</c:v>
                  </c:pt>
                  <c:pt idx="332">
                    <c:v>5.8000000000000005E-3</c:v>
                  </c:pt>
                  <c:pt idx="333">
                    <c:v>5.8000000000000005E-3</c:v>
                  </c:pt>
                  <c:pt idx="334">
                    <c:v>5.8000000000000005E-3</c:v>
                  </c:pt>
                  <c:pt idx="335">
                    <c:v>5.8000000000000005E-3</c:v>
                  </c:pt>
                  <c:pt idx="336">
                    <c:v>5.8000000000000005E-3</c:v>
                  </c:pt>
                  <c:pt idx="337">
                    <c:v>5.8000000000000005E-3</c:v>
                  </c:pt>
                  <c:pt idx="338">
                    <c:v>5.8000000000000005E-3</c:v>
                  </c:pt>
                  <c:pt idx="339">
                    <c:v>5.8000000000000005E-3</c:v>
                  </c:pt>
                  <c:pt idx="340">
                    <c:v>5.8000000000000005E-3</c:v>
                  </c:pt>
                  <c:pt idx="341">
                    <c:v>5.8000000000000005E-3</c:v>
                  </c:pt>
                  <c:pt idx="342">
                    <c:v>5.8000000000000005E-3</c:v>
                  </c:pt>
                  <c:pt idx="343">
                    <c:v>5.8000000000000005E-3</c:v>
                  </c:pt>
                  <c:pt idx="344">
                    <c:v>5.8000000000000005E-3</c:v>
                  </c:pt>
                  <c:pt idx="345">
                    <c:v>5.8000000000000005E-3</c:v>
                  </c:pt>
                  <c:pt idx="346">
                    <c:v>5.8000000000000005E-3</c:v>
                  </c:pt>
                  <c:pt idx="347">
                    <c:v>5.8000000000000005E-3</c:v>
                  </c:pt>
                  <c:pt idx="348">
                    <c:v>5.8000000000000005E-3</c:v>
                  </c:pt>
                  <c:pt idx="349">
                    <c:v>5.8000000000000005E-3</c:v>
                  </c:pt>
                  <c:pt idx="350">
                    <c:v>5.8000000000000005E-3</c:v>
                  </c:pt>
                  <c:pt idx="351">
                    <c:v>5.8000000000000005E-3</c:v>
                  </c:pt>
                  <c:pt idx="352">
                    <c:v>5.8000000000000005E-3</c:v>
                  </c:pt>
                  <c:pt idx="353">
                    <c:v>5.8000000000000005E-3</c:v>
                  </c:pt>
                  <c:pt idx="354">
                    <c:v>5.8000000000000005E-3</c:v>
                  </c:pt>
                  <c:pt idx="355">
                    <c:v>5.8000000000000005E-3</c:v>
                  </c:pt>
                  <c:pt idx="356">
                    <c:v>5.8000000000000005E-3</c:v>
                  </c:pt>
                  <c:pt idx="357">
                    <c:v>5.8000000000000005E-3</c:v>
                  </c:pt>
                  <c:pt idx="358">
                    <c:v>5.8000000000000005E-3</c:v>
                  </c:pt>
                  <c:pt idx="359">
                    <c:v>5.8000000000000005E-3</c:v>
                  </c:pt>
                  <c:pt idx="360">
                    <c:v>5.8000000000000005E-3</c:v>
                  </c:pt>
                  <c:pt idx="361">
                    <c:v>5.8000000000000005E-3</c:v>
                  </c:pt>
                  <c:pt idx="362">
                    <c:v>5.8000000000000005E-3</c:v>
                  </c:pt>
                  <c:pt idx="363">
                    <c:v>5.8000000000000005E-3</c:v>
                  </c:pt>
                  <c:pt idx="364">
                    <c:v>5.8000000000000005E-3</c:v>
                  </c:pt>
                  <c:pt idx="365">
                    <c:v>5.8000000000000005E-3</c:v>
                  </c:pt>
                  <c:pt idx="366">
                    <c:v>5.8000000000000005E-3</c:v>
                  </c:pt>
                  <c:pt idx="367">
                    <c:v>5.8000000000000005E-3</c:v>
                  </c:pt>
                  <c:pt idx="368">
                    <c:v>5.8000000000000005E-3</c:v>
                  </c:pt>
                  <c:pt idx="369">
                    <c:v>5.8000000000000005E-3</c:v>
                  </c:pt>
                  <c:pt idx="370">
                    <c:v>5.8000000000000005E-3</c:v>
                  </c:pt>
                  <c:pt idx="371">
                    <c:v>5.8000000000000005E-3</c:v>
                  </c:pt>
                  <c:pt idx="372">
                    <c:v>5.8000000000000005E-3</c:v>
                  </c:pt>
                  <c:pt idx="373">
                    <c:v>5.8000000000000005E-3</c:v>
                  </c:pt>
                  <c:pt idx="374">
                    <c:v>5.8000000000000005E-3</c:v>
                  </c:pt>
                  <c:pt idx="375">
                    <c:v>5.8000000000000005E-3</c:v>
                  </c:pt>
                  <c:pt idx="376">
                    <c:v>5.8000000000000005E-3</c:v>
                  </c:pt>
                  <c:pt idx="377">
                    <c:v>5.8000000000000005E-3</c:v>
                  </c:pt>
                  <c:pt idx="378">
                    <c:v>5.8000000000000005E-3</c:v>
                  </c:pt>
                  <c:pt idx="379">
                    <c:v>5.8000000000000005E-3</c:v>
                  </c:pt>
                  <c:pt idx="380">
                    <c:v>5.8000000000000005E-3</c:v>
                  </c:pt>
                  <c:pt idx="381">
                    <c:v>5.8000000000000005E-3</c:v>
                  </c:pt>
                  <c:pt idx="382">
                    <c:v>5.8000000000000005E-3</c:v>
                  </c:pt>
                  <c:pt idx="383">
                    <c:v>5.8000000000000005E-3</c:v>
                  </c:pt>
                  <c:pt idx="384">
                    <c:v>5.8000000000000005E-3</c:v>
                  </c:pt>
                  <c:pt idx="385">
                    <c:v>5.8000000000000005E-3</c:v>
                  </c:pt>
                  <c:pt idx="386">
                    <c:v>5.8000000000000005E-3</c:v>
                  </c:pt>
                  <c:pt idx="387">
                    <c:v>5.8000000000000005E-3</c:v>
                  </c:pt>
                  <c:pt idx="388">
                    <c:v>5.8000000000000005E-3</c:v>
                  </c:pt>
                  <c:pt idx="389">
                    <c:v>5.8000000000000005E-3</c:v>
                  </c:pt>
                  <c:pt idx="390">
                    <c:v>5.8000000000000005E-3</c:v>
                  </c:pt>
                  <c:pt idx="391">
                    <c:v>5.8000000000000005E-3</c:v>
                  </c:pt>
                  <c:pt idx="392">
                    <c:v>5.8000000000000005E-3</c:v>
                  </c:pt>
                  <c:pt idx="393">
                    <c:v>5.8000000000000005E-3</c:v>
                  </c:pt>
                  <c:pt idx="394">
                    <c:v>5.8000000000000005E-3</c:v>
                  </c:pt>
                  <c:pt idx="395">
                    <c:v>5.8000000000000005E-3</c:v>
                  </c:pt>
                  <c:pt idx="396">
                    <c:v>5.8000000000000005E-3</c:v>
                  </c:pt>
                  <c:pt idx="397">
                    <c:v>5.8000000000000005E-3</c:v>
                  </c:pt>
                  <c:pt idx="398">
                    <c:v>5.8000000000000005E-3</c:v>
                  </c:pt>
                  <c:pt idx="399">
                    <c:v>5.8000000000000005E-3</c:v>
                  </c:pt>
                  <c:pt idx="400">
                    <c:v>5.8000000000000005E-3</c:v>
                  </c:pt>
                  <c:pt idx="401">
                    <c:v>5.8000000000000005E-3</c:v>
                  </c:pt>
                  <c:pt idx="402">
                    <c:v>5.8000000000000005E-3</c:v>
                  </c:pt>
                  <c:pt idx="403">
                    <c:v>5.8000000000000005E-3</c:v>
                  </c:pt>
                  <c:pt idx="404">
                    <c:v>5.8000000000000005E-3</c:v>
                  </c:pt>
                  <c:pt idx="405">
                    <c:v>5.8000000000000005E-3</c:v>
                  </c:pt>
                  <c:pt idx="406">
                    <c:v>5.8000000000000005E-3</c:v>
                  </c:pt>
                  <c:pt idx="407">
                    <c:v>5.8000000000000005E-3</c:v>
                  </c:pt>
                  <c:pt idx="408">
                    <c:v>5.8000000000000005E-3</c:v>
                  </c:pt>
                  <c:pt idx="409">
                    <c:v>5.8000000000000005E-3</c:v>
                  </c:pt>
                  <c:pt idx="410">
                    <c:v>5.8000000000000005E-3</c:v>
                  </c:pt>
                  <c:pt idx="411">
                    <c:v>5.8000000000000005E-3</c:v>
                  </c:pt>
                  <c:pt idx="412">
                    <c:v>5.8000000000000005E-3</c:v>
                  </c:pt>
                  <c:pt idx="413">
                    <c:v>5.8000000000000005E-3</c:v>
                  </c:pt>
                  <c:pt idx="414">
                    <c:v>5.8000000000000005E-3</c:v>
                  </c:pt>
                  <c:pt idx="415">
                    <c:v>5.8000000000000005E-3</c:v>
                  </c:pt>
                  <c:pt idx="416">
                    <c:v>5.8000000000000005E-3</c:v>
                  </c:pt>
                  <c:pt idx="417">
                    <c:v>5.8000000000000005E-3</c:v>
                  </c:pt>
                  <c:pt idx="418">
                    <c:v>5.8000000000000005E-3</c:v>
                  </c:pt>
                  <c:pt idx="419">
                    <c:v>5.8000000000000005E-3</c:v>
                  </c:pt>
                  <c:pt idx="420">
                    <c:v>5.8000000000000005E-3</c:v>
                  </c:pt>
                  <c:pt idx="421">
                    <c:v>5.8000000000000005E-3</c:v>
                  </c:pt>
                  <c:pt idx="422">
                    <c:v>5.8000000000000005E-3</c:v>
                  </c:pt>
                  <c:pt idx="423">
                    <c:v>5.8000000000000005E-3</c:v>
                  </c:pt>
                  <c:pt idx="424">
                    <c:v>5.8000000000000005E-3</c:v>
                  </c:pt>
                  <c:pt idx="425">
                    <c:v>5.8000000000000005E-3</c:v>
                  </c:pt>
                  <c:pt idx="426">
                    <c:v>5.8000000000000005E-3</c:v>
                  </c:pt>
                  <c:pt idx="427">
                    <c:v>5.8000000000000005E-3</c:v>
                  </c:pt>
                  <c:pt idx="428">
                    <c:v>5.8000000000000005E-3</c:v>
                  </c:pt>
                  <c:pt idx="429">
                    <c:v>5.8000000000000005E-3</c:v>
                  </c:pt>
                  <c:pt idx="430">
                    <c:v>5.8000000000000005E-3</c:v>
                  </c:pt>
                  <c:pt idx="431">
                    <c:v>5.8000000000000005E-3</c:v>
                  </c:pt>
                  <c:pt idx="432">
                    <c:v>5.8000000000000005E-3</c:v>
                  </c:pt>
                  <c:pt idx="433">
                    <c:v>5.8000000000000005E-3</c:v>
                  </c:pt>
                  <c:pt idx="434">
                    <c:v>5.8000000000000005E-3</c:v>
                  </c:pt>
                  <c:pt idx="435">
                    <c:v>5.8000000000000005E-3</c:v>
                  </c:pt>
                  <c:pt idx="436">
                    <c:v>5.8000000000000005E-3</c:v>
                  </c:pt>
                  <c:pt idx="437">
                    <c:v>5.8000000000000005E-3</c:v>
                  </c:pt>
                  <c:pt idx="438">
                    <c:v>5.8000000000000005E-3</c:v>
                  </c:pt>
                  <c:pt idx="439">
                    <c:v>5.8000000000000005E-3</c:v>
                  </c:pt>
                  <c:pt idx="440">
                    <c:v>5.8000000000000005E-3</c:v>
                  </c:pt>
                  <c:pt idx="441">
                    <c:v>5.8000000000000005E-3</c:v>
                  </c:pt>
                  <c:pt idx="442">
                    <c:v>5.8000000000000005E-3</c:v>
                  </c:pt>
                </c:numCache>
              </c:numRef>
            </c:plus>
            <c:minus>
              <c:numRef>
                <c:f>'2'!$I$34:$I$476</c:f>
                <c:numCache>
                  <c:formatCode>General</c:formatCode>
                  <c:ptCount val="443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  <c:pt idx="195">
                    <c:v>5.8000000000000005E-3</c:v>
                  </c:pt>
                  <c:pt idx="196">
                    <c:v>5.8000000000000005E-3</c:v>
                  </c:pt>
                  <c:pt idx="197">
                    <c:v>5.8000000000000005E-3</c:v>
                  </c:pt>
                  <c:pt idx="198">
                    <c:v>5.8000000000000005E-3</c:v>
                  </c:pt>
                  <c:pt idx="199">
                    <c:v>5.8000000000000005E-3</c:v>
                  </c:pt>
                  <c:pt idx="200">
                    <c:v>5.8000000000000005E-3</c:v>
                  </c:pt>
                  <c:pt idx="201">
                    <c:v>5.8000000000000005E-3</c:v>
                  </c:pt>
                  <c:pt idx="202">
                    <c:v>5.8000000000000005E-3</c:v>
                  </c:pt>
                  <c:pt idx="203">
                    <c:v>5.8000000000000005E-3</c:v>
                  </c:pt>
                  <c:pt idx="204">
                    <c:v>5.8000000000000005E-3</c:v>
                  </c:pt>
                  <c:pt idx="205">
                    <c:v>5.8000000000000005E-3</c:v>
                  </c:pt>
                  <c:pt idx="206">
                    <c:v>5.8000000000000005E-3</c:v>
                  </c:pt>
                  <c:pt idx="207">
                    <c:v>5.8000000000000005E-3</c:v>
                  </c:pt>
                  <c:pt idx="208">
                    <c:v>5.8000000000000005E-3</c:v>
                  </c:pt>
                  <c:pt idx="209">
                    <c:v>5.8000000000000005E-3</c:v>
                  </c:pt>
                  <c:pt idx="210">
                    <c:v>5.8000000000000005E-3</c:v>
                  </c:pt>
                  <c:pt idx="211">
                    <c:v>5.8000000000000005E-3</c:v>
                  </c:pt>
                  <c:pt idx="212">
                    <c:v>5.8000000000000005E-3</c:v>
                  </c:pt>
                  <c:pt idx="213">
                    <c:v>5.8000000000000005E-3</c:v>
                  </c:pt>
                  <c:pt idx="214">
                    <c:v>5.8000000000000005E-3</c:v>
                  </c:pt>
                  <c:pt idx="215">
                    <c:v>5.8000000000000005E-3</c:v>
                  </c:pt>
                  <c:pt idx="216">
                    <c:v>5.8000000000000005E-3</c:v>
                  </c:pt>
                  <c:pt idx="217">
                    <c:v>5.8000000000000005E-3</c:v>
                  </c:pt>
                  <c:pt idx="218">
                    <c:v>5.8000000000000005E-3</c:v>
                  </c:pt>
                  <c:pt idx="219">
                    <c:v>5.8000000000000005E-3</c:v>
                  </c:pt>
                  <c:pt idx="220">
                    <c:v>5.8000000000000005E-3</c:v>
                  </c:pt>
                  <c:pt idx="221">
                    <c:v>5.8000000000000005E-3</c:v>
                  </c:pt>
                  <c:pt idx="222">
                    <c:v>5.8000000000000005E-3</c:v>
                  </c:pt>
                  <c:pt idx="223">
                    <c:v>5.8000000000000005E-3</c:v>
                  </c:pt>
                  <c:pt idx="224">
                    <c:v>5.8000000000000005E-3</c:v>
                  </c:pt>
                  <c:pt idx="225">
                    <c:v>5.8000000000000005E-3</c:v>
                  </c:pt>
                  <c:pt idx="226">
                    <c:v>5.8000000000000005E-3</c:v>
                  </c:pt>
                  <c:pt idx="227">
                    <c:v>5.8000000000000005E-3</c:v>
                  </c:pt>
                  <c:pt idx="228">
                    <c:v>5.8000000000000005E-3</c:v>
                  </c:pt>
                  <c:pt idx="229">
                    <c:v>5.8000000000000005E-3</c:v>
                  </c:pt>
                  <c:pt idx="230">
                    <c:v>5.8000000000000005E-3</c:v>
                  </c:pt>
                  <c:pt idx="231">
                    <c:v>5.8000000000000005E-3</c:v>
                  </c:pt>
                  <c:pt idx="232">
                    <c:v>5.8000000000000005E-3</c:v>
                  </c:pt>
                  <c:pt idx="233">
                    <c:v>5.8000000000000005E-3</c:v>
                  </c:pt>
                  <c:pt idx="234">
                    <c:v>5.8000000000000005E-3</c:v>
                  </c:pt>
                  <c:pt idx="235">
                    <c:v>5.8000000000000005E-3</c:v>
                  </c:pt>
                  <c:pt idx="236">
                    <c:v>5.8000000000000005E-3</c:v>
                  </c:pt>
                  <c:pt idx="237">
                    <c:v>5.8000000000000005E-3</c:v>
                  </c:pt>
                  <c:pt idx="238">
                    <c:v>5.8000000000000005E-3</c:v>
                  </c:pt>
                  <c:pt idx="239">
                    <c:v>5.8000000000000005E-3</c:v>
                  </c:pt>
                  <c:pt idx="240">
                    <c:v>5.8000000000000005E-3</c:v>
                  </c:pt>
                  <c:pt idx="241">
                    <c:v>5.8000000000000005E-3</c:v>
                  </c:pt>
                  <c:pt idx="242">
                    <c:v>5.8000000000000005E-3</c:v>
                  </c:pt>
                  <c:pt idx="243">
                    <c:v>5.8000000000000005E-3</c:v>
                  </c:pt>
                  <c:pt idx="244">
                    <c:v>5.8000000000000005E-3</c:v>
                  </c:pt>
                  <c:pt idx="245">
                    <c:v>5.8000000000000005E-3</c:v>
                  </c:pt>
                  <c:pt idx="246">
                    <c:v>5.8000000000000005E-3</c:v>
                  </c:pt>
                  <c:pt idx="247">
                    <c:v>5.8000000000000005E-3</c:v>
                  </c:pt>
                  <c:pt idx="248">
                    <c:v>5.8000000000000005E-3</c:v>
                  </c:pt>
                  <c:pt idx="249">
                    <c:v>5.8000000000000005E-3</c:v>
                  </c:pt>
                  <c:pt idx="250">
                    <c:v>5.8000000000000005E-3</c:v>
                  </c:pt>
                  <c:pt idx="251">
                    <c:v>5.8000000000000005E-3</c:v>
                  </c:pt>
                  <c:pt idx="252">
                    <c:v>5.8000000000000005E-3</c:v>
                  </c:pt>
                  <c:pt idx="253">
                    <c:v>5.8000000000000005E-3</c:v>
                  </c:pt>
                  <c:pt idx="254">
                    <c:v>5.8000000000000005E-3</c:v>
                  </c:pt>
                  <c:pt idx="255">
                    <c:v>5.8000000000000005E-3</c:v>
                  </c:pt>
                  <c:pt idx="256">
                    <c:v>5.8000000000000005E-3</c:v>
                  </c:pt>
                  <c:pt idx="257">
                    <c:v>5.8000000000000005E-3</c:v>
                  </c:pt>
                  <c:pt idx="258">
                    <c:v>5.8000000000000005E-3</c:v>
                  </c:pt>
                  <c:pt idx="259">
                    <c:v>5.8000000000000005E-3</c:v>
                  </c:pt>
                  <c:pt idx="260">
                    <c:v>5.8000000000000005E-3</c:v>
                  </c:pt>
                  <c:pt idx="261">
                    <c:v>5.8000000000000005E-3</c:v>
                  </c:pt>
                  <c:pt idx="262">
                    <c:v>5.8000000000000005E-3</c:v>
                  </c:pt>
                  <c:pt idx="263">
                    <c:v>5.8000000000000005E-3</c:v>
                  </c:pt>
                  <c:pt idx="264">
                    <c:v>5.8000000000000005E-3</c:v>
                  </c:pt>
                  <c:pt idx="265">
                    <c:v>5.8000000000000005E-3</c:v>
                  </c:pt>
                  <c:pt idx="266">
                    <c:v>5.8000000000000005E-3</c:v>
                  </c:pt>
                  <c:pt idx="267">
                    <c:v>5.8000000000000005E-3</c:v>
                  </c:pt>
                  <c:pt idx="268">
                    <c:v>5.8000000000000005E-3</c:v>
                  </c:pt>
                  <c:pt idx="269">
                    <c:v>5.8000000000000005E-3</c:v>
                  </c:pt>
                  <c:pt idx="270">
                    <c:v>5.8000000000000005E-3</c:v>
                  </c:pt>
                  <c:pt idx="271">
                    <c:v>5.8000000000000005E-3</c:v>
                  </c:pt>
                  <c:pt idx="272">
                    <c:v>5.8000000000000005E-3</c:v>
                  </c:pt>
                  <c:pt idx="273">
                    <c:v>5.8000000000000005E-3</c:v>
                  </c:pt>
                  <c:pt idx="274">
                    <c:v>5.8000000000000005E-3</c:v>
                  </c:pt>
                  <c:pt idx="275">
                    <c:v>5.8000000000000005E-3</c:v>
                  </c:pt>
                  <c:pt idx="276">
                    <c:v>5.8000000000000005E-3</c:v>
                  </c:pt>
                  <c:pt idx="277">
                    <c:v>5.8000000000000005E-3</c:v>
                  </c:pt>
                  <c:pt idx="278">
                    <c:v>5.8000000000000005E-3</c:v>
                  </c:pt>
                  <c:pt idx="279">
                    <c:v>5.8000000000000005E-3</c:v>
                  </c:pt>
                  <c:pt idx="280">
                    <c:v>5.8000000000000005E-3</c:v>
                  </c:pt>
                  <c:pt idx="281">
                    <c:v>5.8000000000000005E-3</c:v>
                  </c:pt>
                  <c:pt idx="282">
                    <c:v>5.8000000000000005E-3</c:v>
                  </c:pt>
                  <c:pt idx="283">
                    <c:v>5.8000000000000005E-3</c:v>
                  </c:pt>
                  <c:pt idx="284">
                    <c:v>5.8000000000000005E-3</c:v>
                  </c:pt>
                  <c:pt idx="285">
                    <c:v>5.8000000000000005E-3</c:v>
                  </c:pt>
                  <c:pt idx="286">
                    <c:v>5.8000000000000005E-3</c:v>
                  </c:pt>
                  <c:pt idx="287">
                    <c:v>5.8000000000000005E-3</c:v>
                  </c:pt>
                  <c:pt idx="288">
                    <c:v>5.8000000000000005E-3</c:v>
                  </c:pt>
                  <c:pt idx="289">
                    <c:v>5.8000000000000005E-3</c:v>
                  </c:pt>
                  <c:pt idx="290">
                    <c:v>5.8000000000000005E-3</c:v>
                  </c:pt>
                  <c:pt idx="291">
                    <c:v>5.8000000000000005E-3</c:v>
                  </c:pt>
                  <c:pt idx="292">
                    <c:v>5.8000000000000005E-3</c:v>
                  </c:pt>
                  <c:pt idx="293">
                    <c:v>5.8000000000000005E-3</c:v>
                  </c:pt>
                  <c:pt idx="294">
                    <c:v>5.8000000000000005E-3</c:v>
                  </c:pt>
                  <c:pt idx="295">
                    <c:v>5.8000000000000005E-3</c:v>
                  </c:pt>
                  <c:pt idx="296">
                    <c:v>5.8000000000000005E-3</c:v>
                  </c:pt>
                  <c:pt idx="297">
                    <c:v>5.8000000000000005E-3</c:v>
                  </c:pt>
                  <c:pt idx="298">
                    <c:v>5.8000000000000005E-3</c:v>
                  </c:pt>
                  <c:pt idx="299">
                    <c:v>5.8000000000000005E-3</c:v>
                  </c:pt>
                  <c:pt idx="300">
                    <c:v>5.8000000000000005E-3</c:v>
                  </c:pt>
                  <c:pt idx="301">
                    <c:v>5.8000000000000005E-3</c:v>
                  </c:pt>
                  <c:pt idx="302">
                    <c:v>5.8000000000000005E-3</c:v>
                  </c:pt>
                  <c:pt idx="303">
                    <c:v>5.8000000000000005E-3</c:v>
                  </c:pt>
                  <c:pt idx="304">
                    <c:v>5.8000000000000005E-3</c:v>
                  </c:pt>
                  <c:pt idx="305">
                    <c:v>5.8000000000000005E-3</c:v>
                  </c:pt>
                  <c:pt idx="306">
                    <c:v>5.8000000000000005E-3</c:v>
                  </c:pt>
                  <c:pt idx="307">
                    <c:v>5.8000000000000005E-3</c:v>
                  </c:pt>
                  <c:pt idx="308">
                    <c:v>5.8000000000000005E-3</c:v>
                  </c:pt>
                  <c:pt idx="309">
                    <c:v>5.8000000000000005E-3</c:v>
                  </c:pt>
                  <c:pt idx="310">
                    <c:v>5.8000000000000005E-3</c:v>
                  </c:pt>
                  <c:pt idx="311">
                    <c:v>5.8000000000000005E-3</c:v>
                  </c:pt>
                  <c:pt idx="312">
                    <c:v>5.8000000000000005E-3</c:v>
                  </c:pt>
                  <c:pt idx="313">
                    <c:v>5.8000000000000005E-3</c:v>
                  </c:pt>
                  <c:pt idx="314">
                    <c:v>5.8000000000000005E-3</c:v>
                  </c:pt>
                  <c:pt idx="315">
                    <c:v>5.8000000000000005E-3</c:v>
                  </c:pt>
                  <c:pt idx="316">
                    <c:v>5.8000000000000005E-3</c:v>
                  </c:pt>
                  <c:pt idx="317">
                    <c:v>5.8000000000000005E-3</c:v>
                  </c:pt>
                  <c:pt idx="318">
                    <c:v>5.8000000000000005E-3</c:v>
                  </c:pt>
                  <c:pt idx="319">
                    <c:v>5.8000000000000005E-3</c:v>
                  </c:pt>
                  <c:pt idx="320">
                    <c:v>5.8000000000000005E-3</c:v>
                  </c:pt>
                  <c:pt idx="321">
                    <c:v>5.8000000000000005E-3</c:v>
                  </c:pt>
                  <c:pt idx="322">
                    <c:v>5.8000000000000005E-3</c:v>
                  </c:pt>
                  <c:pt idx="323">
                    <c:v>5.8000000000000005E-3</c:v>
                  </c:pt>
                  <c:pt idx="324">
                    <c:v>5.8000000000000005E-3</c:v>
                  </c:pt>
                  <c:pt idx="325">
                    <c:v>5.8000000000000005E-3</c:v>
                  </c:pt>
                  <c:pt idx="326">
                    <c:v>5.8000000000000005E-3</c:v>
                  </c:pt>
                  <c:pt idx="327">
                    <c:v>5.8000000000000005E-3</c:v>
                  </c:pt>
                  <c:pt idx="328">
                    <c:v>5.8000000000000005E-3</c:v>
                  </c:pt>
                  <c:pt idx="329">
                    <c:v>5.8000000000000005E-3</c:v>
                  </c:pt>
                  <c:pt idx="330">
                    <c:v>5.8000000000000005E-3</c:v>
                  </c:pt>
                  <c:pt idx="331">
                    <c:v>5.8000000000000005E-3</c:v>
                  </c:pt>
                  <c:pt idx="332">
                    <c:v>5.8000000000000005E-3</c:v>
                  </c:pt>
                  <c:pt idx="333">
                    <c:v>5.8000000000000005E-3</c:v>
                  </c:pt>
                  <c:pt idx="334">
                    <c:v>5.8000000000000005E-3</c:v>
                  </c:pt>
                  <c:pt idx="335">
                    <c:v>5.8000000000000005E-3</c:v>
                  </c:pt>
                  <c:pt idx="336">
                    <c:v>5.8000000000000005E-3</c:v>
                  </c:pt>
                  <c:pt idx="337">
                    <c:v>5.8000000000000005E-3</c:v>
                  </c:pt>
                  <c:pt idx="338">
                    <c:v>5.8000000000000005E-3</c:v>
                  </c:pt>
                  <c:pt idx="339">
                    <c:v>5.8000000000000005E-3</c:v>
                  </c:pt>
                  <c:pt idx="340">
                    <c:v>5.8000000000000005E-3</c:v>
                  </c:pt>
                  <c:pt idx="341">
                    <c:v>5.8000000000000005E-3</c:v>
                  </c:pt>
                  <c:pt idx="342">
                    <c:v>5.8000000000000005E-3</c:v>
                  </c:pt>
                  <c:pt idx="343">
                    <c:v>5.8000000000000005E-3</c:v>
                  </c:pt>
                  <c:pt idx="344">
                    <c:v>5.8000000000000005E-3</c:v>
                  </c:pt>
                  <c:pt idx="345">
                    <c:v>5.8000000000000005E-3</c:v>
                  </c:pt>
                  <c:pt idx="346">
                    <c:v>5.8000000000000005E-3</c:v>
                  </c:pt>
                  <c:pt idx="347">
                    <c:v>5.8000000000000005E-3</c:v>
                  </c:pt>
                  <c:pt idx="348">
                    <c:v>5.8000000000000005E-3</c:v>
                  </c:pt>
                  <c:pt idx="349">
                    <c:v>5.8000000000000005E-3</c:v>
                  </c:pt>
                  <c:pt idx="350">
                    <c:v>5.8000000000000005E-3</c:v>
                  </c:pt>
                  <c:pt idx="351">
                    <c:v>5.8000000000000005E-3</c:v>
                  </c:pt>
                  <c:pt idx="352">
                    <c:v>5.8000000000000005E-3</c:v>
                  </c:pt>
                  <c:pt idx="353">
                    <c:v>5.8000000000000005E-3</c:v>
                  </c:pt>
                  <c:pt idx="354">
                    <c:v>5.8000000000000005E-3</c:v>
                  </c:pt>
                  <c:pt idx="355">
                    <c:v>5.8000000000000005E-3</c:v>
                  </c:pt>
                  <c:pt idx="356">
                    <c:v>5.8000000000000005E-3</c:v>
                  </c:pt>
                  <c:pt idx="357">
                    <c:v>5.8000000000000005E-3</c:v>
                  </c:pt>
                  <c:pt idx="358">
                    <c:v>5.8000000000000005E-3</c:v>
                  </c:pt>
                  <c:pt idx="359">
                    <c:v>5.8000000000000005E-3</c:v>
                  </c:pt>
                  <c:pt idx="360">
                    <c:v>5.8000000000000005E-3</c:v>
                  </c:pt>
                  <c:pt idx="361">
                    <c:v>5.8000000000000005E-3</c:v>
                  </c:pt>
                  <c:pt idx="362">
                    <c:v>5.8000000000000005E-3</c:v>
                  </c:pt>
                  <c:pt idx="363">
                    <c:v>5.8000000000000005E-3</c:v>
                  </c:pt>
                  <c:pt idx="364">
                    <c:v>5.8000000000000005E-3</c:v>
                  </c:pt>
                  <c:pt idx="365">
                    <c:v>5.8000000000000005E-3</c:v>
                  </c:pt>
                  <c:pt idx="366">
                    <c:v>5.8000000000000005E-3</c:v>
                  </c:pt>
                  <c:pt idx="367">
                    <c:v>5.8000000000000005E-3</c:v>
                  </c:pt>
                  <c:pt idx="368">
                    <c:v>5.8000000000000005E-3</c:v>
                  </c:pt>
                  <c:pt idx="369">
                    <c:v>5.8000000000000005E-3</c:v>
                  </c:pt>
                  <c:pt idx="370">
                    <c:v>5.8000000000000005E-3</c:v>
                  </c:pt>
                  <c:pt idx="371">
                    <c:v>5.8000000000000005E-3</c:v>
                  </c:pt>
                  <c:pt idx="372">
                    <c:v>5.8000000000000005E-3</c:v>
                  </c:pt>
                  <c:pt idx="373">
                    <c:v>5.8000000000000005E-3</c:v>
                  </c:pt>
                  <c:pt idx="374">
                    <c:v>5.8000000000000005E-3</c:v>
                  </c:pt>
                  <c:pt idx="375">
                    <c:v>5.8000000000000005E-3</c:v>
                  </c:pt>
                  <c:pt idx="376">
                    <c:v>5.8000000000000005E-3</c:v>
                  </c:pt>
                  <c:pt idx="377">
                    <c:v>5.8000000000000005E-3</c:v>
                  </c:pt>
                  <c:pt idx="378">
                    <c:v>5.8000000000000005E-3</c:v>
                  </c:pt>
                  <c:pt idx="379">
                    <c:v>5.8000000000000005E-3</c:v>
                  </c:pt>
                  <c:pt idx="380">
                    <c:v>5.8000000000000005E-3</c:v>
                  </c:pt>
                  <c:pt idx="381">
                    <c:v>5.8000000000000005E-3</c:v>
                  </c:pt>
                  <c:pt idx="382">
                    <c:v>5.8000000000000005E-3</c:v>
                  </c:pt>
                  <c:pt idx="383">
                    <c:v>5.8000000000000005E-3</c:v>
                  </c:pt>
                  <c:pt idx="384">
                    <c:v>5.8000000000000005E-3</c:v>
                  </c:pt>
                  <c:pt idx="385">
                    <c:v>5.8000000000000005E-3</c:v>
                  </c:pt>
                  <c:pt idx="386">
                    <c:v>5.8000000000000005E-3</c:v>
                  </c:pt>
                  <c:pt idx="387">
                    <c:v>5.8000000000000005E-3</c:v>
                  </c:pt>
                  <c:pt idx="388">
                    <c:v>5.8000000000000005E-3</c:v>
                  </c:pt>
                  <c:pt idx="389">
                    <c:v>5.8000000000000005E-3</c:v>
                  </c:pt>
                  <c:pt idx="390">
                    <c:v>5.8000000000000005E-3</c:v>
                  </c:pt>
                  <c:pt idx="391">
                    <c:v>5.8000000000000005E-3</c:v>
                  </c:pt>
                  <c:pt idx="392">
                    <c:v>5.8000000000000005E-3</c:v>
                  </c:pt>
                  <c:pt idx="393">
                    <c:v>5.8000000000000005E-3</c:v>
                  </c:pt>
                  <c:pt idx="394">
                    <c:v>5.8000000000000005E-3</c:v>
                  </c:pt>
                  <c:pt idx="395">
                    <c:v>5.8000000000000005E-3</c:v>
                  </c:pt>
                  <c:pt idx="396">
                    <c:v>5.8000000000000005E-3</c:v>
                  </c:pt>
                  <c:pt idx="397">
                    <c:v>5.8000000000000005E-3</c:v>
                  </c:pt>
                  <c:pt idx="398">
                    <c:v>5.8000000000000005E-3</c:v>
                  </c:pt>
                  <c:pt idx="399">
                    <c:v>5.8000000000000005E-3</c:v>
                  </c:pt>
                  <c:pt idx="400">
                    <c:v>5.8000000000000005E-3</c:v>
                  </c:pt>
                  <c:pt idx="401">
                    <c:v>5.8000000000000005E-3</c:v>
                  </c:pt>
                  <c:pt idx="402">
                    <c:v>5.8000000000000005E-3</c:v>
                  </c:pt>
                  <c:pt idx="403">
                    <c:v>5.8000000000000005E-3</c:v>
                  </c:pt>
                  <c:pt idx="404">
                    <c:v>5.8000000000000005E-3</c:v>
                  </c:pt>
                  <c:pt idx="405">
                    <c:v>5.8000000000000005E-3</c:v>
                  </c:pt>
                  <c:pt idx="406">
                    <c:v>5.8000000000000005E-3</c:v>
                  </c:pt>
                  <c:pt idx="407">
                    <c:v>5.8000000000000005E-3</c:v>
                  </c:pt>
                  <c:pt idx="408">
                    <c:v>5.8000000000000005E-3</c:v>
                  </c:pt>
                  <c:pt idx="409">
                    <c:v>5.8000000000000005E-3</c:v>
                  </c:pt>
                  <c:pt idx="410">
                    <c:v>5.8000000000000005E-3</c:v>
                  </c:pt>
                  <c:pt idx="411">
                    <c:v>5.8000000000000005E-3</c:v>
                  </c:pt>
                  <c:pt idx="412">
                    <c:v>5.8000000000000005E-3</c:v>
                  </c:pt>
                  <c:pt idx="413">
                    <c:v>5.8000000000000005E-3</c:v>
                  </c:pt>
                  <c:pt idx="414">
                    <c:v>5.8000000000000005E-3</c:v>
                  </c:pt>
                  <c:pt idx="415">
                    <c:v>5.8000000000000005E-3</c:v>
                  </c:pt>
                  <c:pt idx="416">
                    <c:v>5.8000000000000005E-3</c:v>
                  </c:pt>
                  <c:pt idx="417">
                    <c:v>5.8000000000000005E-3</c:v>
                  </c:pt>
                  <c:pt idx="418">
                    <c:v>5.8000000000000005E-3</c:v>
                  </c:pt>
                  <c:pt idx="419">
                    <c:v>5.8000000000000005E-3</c:v>
                  </c:pt>
                  <c:pt idx="420">
                    <c:v>5.8000000000000005E-3</c:v>
                  </c:pt>
                  <c:pt idx="421">
                    <c:v>5.8000000000000005E-3</c:v>
                  </c:pt>
                  <c:pt idx="422">
                    <c:v>5.8000000000000005E-3</c:v>
                  </c:pt>
                  <c:pt idx="423">
                    <c:v>5.8000000000000005E-3</c:v>
                  </c:pt>
                  <c:pt idx="424">
                    <c:v>5.8000000000000005E-3</c:v>
                  </c:pt>
                  <c:pt idx="425">
                    <c:v>5.8000000000000005E-3</c:v>
                  </c:pt>
                  <c:pt idx="426">
                    <c:v>5.8000000000000005E-3</c:v>
                  </c:pt>
                  <c:pt idx="427">
                    <c:v>5.8000000000000005E-3</c:v>
                  </c:pt>
                  <c:pt idx="428">
                    <c:v>5.8000000000000005E-3</c:v>
                  </c:pt>
                  <c:pt idx="429">
                    <c:v>5.8000000000000005E-3</c:v>
                  </c:pt>
                  <c:pt idx="430">
                    <c:v>5.8000000000000005E-3</c:v>
                  </c:pt>
                  <c:pt idx="431">
                    <c:v>5.8000000000000005E-3</c:v>
                  </c:pt>
                  <c:pt idx="432">
                    <c:v>5.8000000000000005E-3</c:v>
                  </c:pt>
                  <c:pt idx="433">
                    <c:v>5.8000000000000005E-3</c:v>
                  </c:pt>
                  <c:pt idx="434">
                    <c:v>5.8000000000000005E-3</c:v>
                  </c:pt>
                  <c:pt idx="435">
                    <c:v>5.8000000000000005E-3</c:v>
                  </c:pt>
                  <c:pt idx="436">
                    <c:v>5.8000000000000005E-3</c:v>
                  </c:pt>
                  <c:pt idx="437">
                    <c:v>5.8000000000000005E-3</c:v>
                  </c:pt>
                  <c:pt idx="438">
                    <c:v>5.8000000000000005E-3</c:v>
                  </c:pt>
                  <c:pt idx="439">
                    <c:v>5.8000000000000005E-3</c:v>
                  </c:pt>
                  <c:pt idx="440">
                    <c:v>5.8000000000000005E-3</c:v>
                  </c:pt>
                  <c:pt idx="441">
                    <c:v>5.8000000000000005E-3</c:v>
                  </c:pt>
                  <c:pt idx="442">
                    <c:v>5.8000000000000005E-3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'2'!$F$34:$F$476</c:f>
              <c:numCache>
                <c:formatCode>General</c:formatCode>
                <c:ptCount val="443"/>
                <c:pt idx="0">
                  <c:v>-100.800003051758</c:v>
                </c:pt>
                <c:pt idx="1">
                  <c:v>-94.099998474121094</c:v>
                </c:pt>
                <c:pt idx="2">
                  <c:v>-88.599998474121094</c:v>
                </c:pt>
                <c:pt idx="3">
                  <c:v>-86.599998474121094</c:v>
                </c:pt>
                <c:pt idx="4">
                  <c:v>-83.400001525878906</c:v>
                </c:pt>
                <c:pt idx="5">
                  <c:v>-81.599998474121094</c:v>
                </c:pt>
                <c:pt idx="6">
                  <c:v>-78.199996948242202</c:v>
                </c:pt>
                <c:pt idx="7">
                  <c:v>-74.599998474121094</c:v>
                </c:pt>
                <c:pt idx="8">
                  <c:v>-74</c:v>
                </c:pt>
                <c:pt idx="9">
                  <c:v>-74</c:v>
                </c:pt>
                <c:pt idx="10">
                  <c:v>-72.800003051757798</c:v>
                </c:pt>
                <c:pt idx="11">
                  <c:v>-66.300003051757798</c:v>
                </c:pt>
                <c:pt idx="12">
                  <c:v>-64</c:v>
                </c:pt>
                <c:pt idx="13">
                  <c:v>-62.900001525878899</c:v>
                </c:pt>
                <c:pt idx="14">
                  <c:v>-59.799999237060497</c:v>
                </c:pt>
                <c:pt idx="15">
                  <c:v>-56.799999237060497</c:v>
                </c:pt>
                <c:pt idx="16">
                  <c:v>-55</c:v>
                </c:pt>
                <c:pt idx="17">
                  <c:v>-53.200000762939503</c:v>
                </c:pt>
                <c:pt idx="18">
                  <c:v>-51.900001525878899</c:v>
                </c:pt>
                <c:pt idx="19">
                  <c:v>-53.200000762939503</c:v>
                </c:pt>
                <c:pt idx="20">
                  <c:v>-53.099998474121101</c:v>
                </c:pt>
                <c:pt idx="21">
                  <c:v>-51.400001525878899</c:v>
                </c:pt>
                <c:pt idx="22">
                  <c:v>-47.900001525878899</c:v>
                </c:pt>
                <c:pt idx="23">
                  <c:v>-46.200000762939503</c:v>
                </c:pt>
                <c:pt idx="24">
                  <c:v>-47</c:v>
                </c:pt>
                <c:pt idx="25">
                  <c:v>-46.299999237060497</c:v>
                </c:pt>
                <c:pt idx="26">
                  <c:v>0</c:v>
                </c:pt>
                <c:pt idx="27">
                  <c:v>-44.110000610351598</c:v>
                </c:pt>
                <c:pt idx="28">
                  <c:v>-42.669998168945298</c:v>
                </c:pt>
                <c:pt idx="29">
                  <c:v>-40.669998168945298</c:v>
                </c:pt>
                <c:pt idx="30">
                  <c:v>-39.130001068115199</c:v>
                </c:pt>
                <c:pt idx="31">
                  <c:v>-37.360000610351598</c:v>
                </c:pt>
                <c:pt idx="32">
                  <c:v>-35.610000610351598</c:v>
                </c:pt>
                <c:pt idx="33">
                  <c:v>-33.430000305175803</c:v>
                </c:pt>
                <c:pt idx="34">
                  <c:v>-28.2399997711182</c:v>
                </c:pt>
                <c:pt idx="35">
                  <c:v>-21.420000076293899</c:v>
                </c:pt>
                <c:pt idx="36">
                  <c:v>-18.079999923706101</c:v>
                </c:pt>
                <c:pt idx="37">
                  <c:v>-16.129999160766602</c:v>
                </c:pt>
                <c:pt idx="38">
                  <c:v>-14.3800001144409</c:v>
                </c:pt>
                <c:pt idx="39">
                  <c:v>-4.1399998664856001</c:v>
                </c:pt>
                <c:pt idx="40">
                  <c:v>-1.9800000190734901</c:v>
                </c:pt>
                <c:pt idx="41">
                  <c:v>-0.20999999344348899</c:v>
                </c:pt>
                <c:pt idx="42">
                  <c:v>1.8999999761581401</c:v>
                </c:pt>
                <c:pt idx="43">
                  <c:v>10.430000305175801</c:v>
                </c:pt>
                <c:pt idx="44">
                  <c:v>10.5200004577637</c:v>
                </c:pt>
                <c:pt idx="45">
                  <c:v>13.3800001144409</c:v>
                </c:pt>
                <c:pt idx="46">
                  <c:v>13.939999580383301</c:v>
                </c:pt>
                <c:pt idx="47">
                  <c:v>17.540000915527301</c:v>
                </c:pt>
                <c:pt idx="48">
                  <c:v>19.25</c:v>
                </c:pt>
                <c:pt idx="49">
                  <c:v>20.120000839233398</c:v>
                </c:pt>
                <c:pt idx="50">
                  <c:v>22.7600002288818</c:v>
                </c:pt>
                <c:pt idx="51">
                  <c:v>22.780000686645501</c:v>
                </c:pt>
                <c:pt idx="52">
                  <c:v>24.530000686645501</c:v>
                </c:pt>
                <c:pt idx="53">
                  <c:v>24.559999465942401</c:v>
                </c:pt>
                <c:pt idx="54">
                  <c:v>24.569999694824201</c:v>
                </c:pt>
                <c:pt idx="55">
                  <c:v>24.680000305175799</c:v>
                </c:pt>
                <c:pt idx="56">
                  <c:v>26.319999694824201</c:v>
                </c:pt>
                <c:pt idx="57">
                  <c:v>26.309999465942401</c:v>
                </c:pt>
                <c:pt idx="58">
                  <c:v>30.950000762939499</c:v>
                </c:pt>
                <c:pt idx="59">
                  <c:v>31.629999160766602</c:v>
                </c:pt>
                <c:pt idx="60">
                  <c:v>33.5200004577637</c:v>
                </c:pt>
                <c:pt idx="61">
                  <c:v>33.450000762939503</c:v>
                </c:pt>
                <c:pt idx="62">
                  <c:v>36.950000762939503</c:v>
                </c:pt>
                <c:pt idx="63">
                  <c:v>42.610000610351598</c:v>
                </c:pt>
                <c:pt idx="64">
                  <c:v>44.599998474121101</c:v>
                </c:pt>
                <c:pt idx="65">
                  <c:v>47.380001068115199</c:v>
                </c:pt>
                <c:pt idx="66">
                  <c:v>51.060001373291001</c:v>
                </c:pt>
                <c:pt idx="67">
                  <c:v>54.599998474121101</c:v>
                </c:pt>
                <c:pt idx="68">
                  <c:v>55.200000762939503</c:v>
                </c:pt>
                <c:pt idx="69">
                  <c:v>58.099998474121101</c:v>
                </c:pt>
                <c:pt idx="70">
                  <c:v>59.400001525878899</c:v>
                </c:pt>
                <c:pt idx="71">
                  <c:v>61.599998474121101</c:v>
                </c:pt>
                <c:pt idx="72">
                  <c:v>63.400001525878899</c:v>
                </c:pt>
                <c:pt idx="73">
                  <c:v>67.099998474121094</c:v>
                </c:pt>
                <c:pt idx="74">
                  <c:v>67.699996948242202</c:v>
                </c:pt>
                <c:pt idx="75">
                  <c:v>68</c:v>
                </c:pt>
                <c:pt idx="76">
                  <c:v>68.699996948242202</c:v>
                </c:pt>
                <c:pt idx="77">
                  <c:v>72.199996948242202</c:v>
                </c:pt>
                <c:pt idx="78">
                  <c:v>75.699996948242202</c:v>
                </c:pt>
                <c:pt idx="79">
                  <c:v>75.800003051757798</c:v>
                </c:pt>
                <c:pt idx="80">
                  <c:v>76.199996948242202</c:v>
                </c:pt>
                <c:pt idx="81">
                  <c:v>78.599998474121094</c:v>
                </c:pt>
                <c:pt idx="82">
                  <c:v>79.199996948242202</c:v>
                </c:pt>
                <c:pt idx="83">
                  <c:v>80.5</c:v>
                </c:pt>
                <c:pt idx="84">
                  <c:v>81</c:v>
                </c:pt>
                <c:pt idx="85">
                  <c:v>81</c:v>
                </c:pt>
                <c:pt idx="86">
                  <c:v>81</c:v>
                </c:pt>
                <c:pt idx="87">
                  <c:v>81</c:v>
                </c:pt>
                <c:pt idx="88">
                  <c:v>81</c:v>
                </c:pt>
                <c:pt idx="89">
                  <c:v>81.800003051757798</c:v>
                </c:pt>
                <c:pt idx="90">
                  <c:v>83.400001525878906</c:v>
                </c:pt>
                <c:pt idx="91">
                  <c:v>83.400001525878906</c:v>
                </c:pt>
                <c:pt idx="92">
                  <c:v>83.5</c:v>
                </c:pt>
                <c:pt idx="93">
                  <c:v>84.699996948242202</c:v>
                </c:pt>
                <c:pt idx="94">
                  <c:v>86.300003051757798</c:v>
                </c:pt>
                <c:pt idx="95">
                  <c:v>86.300003051757798</c:v>
                </c:pt>
                <c:pt idx="96">
                  <c:v>86.300003051757798</c:v>
                </c:pt>
                <c:pt idx="97">
                  <c:v>86.300003051757798</c:v>
                </c:pt>
                <c:pt idx="98">
                  <c:v>86.300003051757798</c:v>
                </c:pt>
                <c:pt idx="99">
                  <c:v>88</c:v>
                </c:pt>
                <c:pt idx="100">
                  <c:v>88.099998474121094</c:v>
                </c:pt>
                <c:pt idx="101">
                  <c:v>88</c:v>
                </c:pt>
                <c:pt idx="102">
                  <c:v>88</c:v>
                </c:pt>
                <c:pt idx="103">
                  <c:v>88</c:v>
                </c:pt>
                <c:pt idx="104">
                  <c:v>88</c:v>
                </c:pt>
                <c:pt idx="105">
                  <c:v>88.099998474121094</c:v>
                </c:pt>
                <c:pt idx="106">
                  <c:v>88.300003051757798</c:v>
                </c:pt>
                <c:pt idx="107">
                  <c:v>89.800003051757798</c:v>
                </c:pt>
                <c:pt idx="108">
                  <c:v>91.599998474121094</c:v>
                </c:pt>
                <c:pt idx="109">
                  <c:v>93.900001525878906</c:v>
                </c:pt>
                <c:pt idx="110">
                  <c:v>94.300003051757798</c:v>
                </c:pt>
                <c:pt idx="111">
                  <c:v>95.099998474121094</c:v>
                </c:pt>
                <c:pt idx="112">
                  <c:v>95.099998474121094</c:v>
                </c:pt>
                <c:pt idx="113">
                  <c:v>95.199996948242202</c:v>
                </c:pt>
                <c:pt idx="114">
                  <c:v>95.599998474121094</c:v>
                </c:pt>
                <c:pt idx="115">
                  <c:v>95.5</c:v>
                </c:pt>
                <c:pt idx="116">
                  <c:v>95.199996948242202</c:v>
                </c:pt>
                <c:pt idx="117">
                  <c:v>95.699996948242202</c:v>
                </c:pt>
                <c:pt idx="118">
                  <c:v>96.300003051757798</c:v>
                </c:pt>
                <c:pt idx="119">
                  <c:v>96.900001525878906</c:v>
                </c:pt>
                <c:pt idx="120">
                  <c:v>96.900001525878906</c:v>
                </c:pt>
                <c:pt idx="121">
                  <c:v>96.900001525878906</c:v>
                </c:pt>
                <c:pt idx="122">
                  <c:v>98.599998474121094</c:v>
                </c:pt>
                <c:pt idx="123">
                  <c:v>100.40000152587901</c:v>
                </c:pt>
                <c:pt idx="124">
                  <c:v>102.699996948242</c:v>
                </c:pt>
                <c:pt idx="125">
                  <c:v>102.199996948242</c:v>
                </c:pt>
                <c:pt idx="126">
                  <c:v>102.199996948242</c:v>
                </c:pt>
                <c:pt idx="127">
                  <c:v>102.199996948242</c:v>
                </c:pt>
                <c:pt idx="128">
                  <c:v>106.199996948242</c:v>
                </c:pt>
                <c:pt idx="129">
                  <c:v>107.40000152587901</c:v>
                </c:pt>
                <c:pt idx="130">
                  <c:v>107.699996948242</c:v>
                </c:pt>
                <c:pt idx="131">
                  <c:v>111</c:v>
                </c:pt>
                <c:pt idx="132">
                  <c:v>112.59999847412099</c:v>
                </c:pt>
                <c:pt idx="133">
                  <c:v>112.59999847412099</c:v>
                </c:pt>
                <c:pt idx="134">
                  <c:v>112.59999847412099</c:v>
                </c:pt>
                <c:pt idx="135">
                  <c:v>112.59999847412099</c:v>
                </c:pt>
                <c:pt idx="136">
                  <c:v>112.699996948242</c:v>
                </c:pt>
                <c:pt idx="137">
                  <c:v>112.699996948242</c:v>
                </c:pt>
                <c:pt idx="138">
                  <c:v>112.699996948242</c:v>
                </c:pt>
                <c:pt idx="139">
                  <c:v>112.699996948242</c:v>
                </c:pt>
                <c:pt idx="140">
                  <c:v>112.699996948242</c:v>
                </c:pt>
                <c:pt idx="141">
                  <c:v>112.699996948242</c:v>
                </c:pt>
                <c:pt idx="142">
                  <c:v>114.40000152587901</c:v>
                </c:pt>
                <c:pt idx="143">
                  <c:v>114.40000152587901</c:v>
                </c:pt>
                <c:pt idx="144">
                  <c:v>114.40000152587901</c:v>
                </c:pt>
                <c:pt idx="145">
                  <c:v>114.40000152587901</c:v>
                </c:pt>
                <c:pt idx="146">
                  <c:v>114.40000152587901</c:v>
                </c:pt>
                <c:pt idx="147">
                  <c:v>114.40000152587901</c:v>
                </c:pt>
                <c:pt idx="148">
                  <c:v>114.40000152587901</c:v>
                </c:pt>
                <c:pt idx="149">
                  <c:v>114.40000152587901</c:v>
                </c:pt>
                <c:pt idx="150">
                  <c:v>114.40000152587901</c:v>
                </c:pt>
                <c:pt idx="151">
                  <c:v>114.40000152587901</c:v>
                </c:pt>
                <c:pt idx="152">
                  <c:v>114.40000152587901</c:v>
                </c:pt>
                <c:pt idx="153">
                  <c:v>114.300003051758</c:v>
                </c:pt>
                <c:pt idx="154">
                  <c:v>114.300003051758</c:v>
                </c:pt>
                <c:pt idx="155">
                  <c:v>114.40000152587901</c:v>
                </c:pt>
                <c:pt idx="156">
                  <c:v>113.300003051758</c:v>
                </c:pt>
                <c:pt idx="157">
                  <c:v>116.59999847412099</c:v>
                </c:pt>
                <c:pt idx="158">
                  <c:v>119.59999847412099</c:v>
                </c:pt>
                <c:pt idx="159">
                  <c:v>121.09999847412099</c:v>
                </c:pt>
                <c:pt idx="160">
                  <c:v>121.40000152587901</c:v>
                </c:pt>
                <c:pt idx="161">
                  <c:v>121.40000152587901</c:v>
                </c:pt>
                <c:pt idx="162">
                  <c:v>121.40000152587901</c:v>
                </c:pt>
                <c:pt idx="163">
                  <c:v>121.5</c:v>
                </c:pt>
                <c:pt idx="164">
                  <c:v>121.5</c:v>
                </c:pt>
                <c:pt idx="165">
                  <c:v>121.5</c:v>
                </c:pt>
                <c:pt idx="166">
                  <c:v>121.5</c:v>
                </c:pt>
                <c:pt idx="167">
                  <c:v>121.5</c:v>
                </c:pt>
                <c:pt idx="168">
                  <c:v>121.5</c:v>
                </c:pt>
                <c:pt idx="169">
                  <c:v>121.5</c:v>
                </c:pt>
                <c:pt idx="170">
                  <c:v>123.199996948242</c:v>
                </c:pt>
                <c:pt idx="171">
                  <c:v>124.699996948242</c:v>
                </c:pt>
                <c:pt idx="172">
                  <c:v>125</c:v>
                </c:pt>
                <c:pt idx="173">
                  <c:v>125</c:v>
                </c:pt>
                <c:pt idx="174">
                  <c:v>125</c:v>
                </c:pt>
                <c:pt idx="175">
                  <c:v>125</c:v>
                </c:pt>
                <c:pt idx="176">
                  <c:v>125.300003051758</c:v>
                </c:pt>
                <c:pt idx="177">
                  <c:v>126.5</c:v>
                </c:pt>
                <c:pt idx="178">
                  <c:v>126.699996948242</c:v>
                </c:pt>
                <c:pt idx="179">
                  <c:v>126.699996948242</c:v>
                </c:pt>
                <c:pt idx="180">
                  <c:v>126.699996948242</c:v>
                </c:pt>
                <c:pt idx="181">
                  <c:v>126.699996948242</c:v>
                </c:pt>
                <c:pt idx="182">
                  <c:v>126.699996948242</c:v>
                </c:pt>
                <c:pt idx="183">
                  <c:v>126.699996948242</c:v>
                </c:pt>
                <c:pt idx="184">
                  <c:v>126.699996948242</c:v>
                </c:pt>
                <c:pt idx="185">
                  <c:v>126.699996948242</c:v>
                </c:pt>
                <c:pt idx="186">
                  <c:v>127.5</c:v>
                </c:pt>
                <c:pt idx="187">
                  <c:v>127.40000152587901</c:v>
                </c:pt>
                <c:pt idx="188">
                  <c:v>128.5</c:v>
                </c:pt>
                <c:pt idx="189">
                  <c:v>128.5</c:v>
                </c:pt>
                <c:pt idx="190">
                  <c:v>130.19999694824199</c:v>
                </c:pt>
                <c:pt idx="191">
                  <c:v>130.30000305175801</c:v>
                </c:pt>
                <c:pt idx="192">
                  <c:v>130.30000305175801</c:v>
                </c:pt>
                <c:pt idx="193">
                  <c:v>132</c:v>
                </c:pt>
                <c:pt idx="194">
                  <c:v>133.19999694824199</c:v>
                </c:pt>
                <c:pt idx="195">
                  <c:v>134.10000610351599</c:v>
                </c:pt>
                <c:pt idx="196">
                  <c:v>135.5</c:v>
                </c:pt>
                <c:pt idx="197">
                  <c:v>136.39999389648401</c:v>
                </c:pt>
                <c:pt idx="198">
                  <c:v>137.30000305175801</c:v>
                </c:pt>
                <c:pt idx="199">
                  <c:v>139.10000610351599</c:v>
                </c:pt>
                <c:pt idx="200">
                  <c:v>139.69999694824199</c:v>
                </c:pt>
                <c:pt idx="201">
                  <c:v>140.39999389648401</c:v>
                </c:pt>
                <c:pt idx="202">
                  <c:v>140.80000305175801</c:v>
                </c:pt>
                <c:pt idx="203">
                  <c:v>141.30000305175801</c:v>
                </c:pt>
                <c:pt idx="204">
                  <c:v>142.60000610351599</c:v>
                </c:pt>
                <c:pt idx="205">
                  <c:v>142.80000305175801</c:v>
                </c:pt>
                <c:pt idx="206">
                  <c:v>144.39999389648401</c:v>
                </c:pt>
                <c:pt idx="207">
                  <c:v>144.30000305175801</c:v>
                </c:pt>
                <c:pt idx="208">
                  <c:v>146.10000610351599</c:v>
                </c:pt>
                <c:pt idx="209">
                  <c:v>146.10000610351599</c:v>
                </c:pt>
                <c:pt idx="210">
                  <c:v>150</c:v>
                </c:pt>
                <c:pt idx="211">
                  <c:v>151.39999389648401</c:v>
                </c:pt>
                <c:pt idx="212">
                  <c:v>155.10000610351599</c:v>
                </c:pt>
                <c:pt idx="213">
                  <c:v>160.69999694824199</c:v>
                </c:pt>
                <c:pt idx="214">
                  <c:v>161.80000305175801</c:v>
                </c:pt>
                <c:pt idx="215">
                  <c:v>163.60000610351599</c:v>
                </c:pt>
                <c:pt idx="216">
                  <c:v>165.19999694824199</c:v>
                </c:pt>
                <c:pt idx="217">
                  <c:v>167.19999694824199</c:v>
                </c:pt>
                <c:pt idx="218">
                  <c:v>168.19999694824199</c:v>
                </c:pt>
                <c:pt idx="219">
                  <c:v>170.69999694824199</c:v>
                </c:pt>
                <c:pt idx="220">
                  <c:v>170.69999694824199</c:v>
                </c:pt>
                <c:pt idx="221">
                  <c:v>172.39999389648401</c:v>
                </c:pt>
                <c:pt idx="222">
                  <c:v>174</c:v>
                </c:pt>
                <c:pt idx="223">
                  <c:v>174.19999694824199</c:v>
                </c:pt>
                <c:pt idx="224">
                  <c:v>175.89999389648401</c:v>
                </c:pt>
                <c:pt idx="225">
                  <c:v>177.69999694824199</c:v>
                </c:pt>
                <c:pt idx="226">
                  <c:v>177.69999694824199</c:v>
                </c:pt>
                <c:pt idx="227">
                  <c:v>180</c:v>
                </c:pt>
                <c:pt idx="228">
                  <c:v>182.69999694824199</c:v>
                </c:pt>
                <c:pt idx="229">
                  <c:v>188.19999694824199</c:v>
                </c:pt>
                <c:pt idx="230">
                  <c:v>188.39999389648401</c:v>
                </c:pt>
                <c:pt idx="231">
                  <c:v>188.5</c:v>
                </c:pt>
                <c:pt idx="232">
                  <c:v>189.80000305175801</c:v>
                </c:pt>
                <c:pt idx="233">
                  <c:v>194.60000610351599</c:v>
                </c:pt>
                <c:pt idx="234">
                  <c:v>194.80000305175801</c:v>
                </c:pt>
                <c:pt idx="235">
                  <c:v>192.60000610351599</c:v>
                </c:pt>
                <c:pt idx="236">
                  <c:v>191.89999389648401</c:v>
                </c:pt>
                <c:pt idx="237">
                  <c:v>191.89999389648401</c:v>
                </c:pt>
                <c:pt idx="238">
                  <c:v>192.5</c:v>
                </c:pt>
                <c:pt idx="239">
                  <c:v>193.60000610351599</c:v>
                </c:pt>
                <c:pt idx="240">
                  <c:v>194.80000305175801</c:v>
                </c:pt>
                <c:pt idx="241">
                  <c:v>195.39999389648401</c:v>
                </c:pt>
                <c:pt idx="242">
                  <c:v>196.39999389648401</c:v>
                </c:pt>
                <c:pt idx="243">
                  <c:v>196.5</c:v>
                </c:pt>
                <c:pt idx="244">
                  <c:v>197.30000305175801</c:v>
                </c:pt>
                <c:pt idx="245">
                  <c:v>197.10000610351599</c:v>
                </c:pt>
                <c:pt idx="246">
                  <c:v>197.10000610351599</c:v>
                </c:pt>
                <c:pt idx="247">
                  <c:v>197.10000610351599</c:v>
                </c:pt>
                <c:pt idx="248">
                  <c:v>197.10000610351599</c:v>
                </c:pt>
                <c:pt idx="249">
                  <c:v>197.10000610351599</c:v>
                </c:pt>
                <c:pt idx="250">
                  <c:v>197.10000610351599</c:v>
                </c:pt>
                <c:pt idx="251">
                  <c:v>197.10000610351599</c:v>
                </c:pt>
                <c:pt idx="252">
                  <c:v>197.10000610351599</c:v>
                </c:pt>
                <c:pt idx="253">
                  <c:v>197.19999694824199</c:v>
                </c:pt>
                <c:pt idx="254">
                  <c:v>197.39999389648401</c:v>
                </c:pt>
                <c:pt idx="255">
                  <c:v>198</c:v>
                </c:pt>
                <c:pt idx="256">
                  <c:v>198.5</c:v>
                </c:pt>
                <c:pt idx="257">
                  <c:v>198.89999389648401</c:v>
                </c:pt>
                <c:pt idx="258">
                  <c:v>199</c:v>
                </c:pt>
                <c:pt idx="259">
                  <c:v>200.69999694824199</c:v>
                </c:pt>
                <c:pt idx="260">
                  <c:v>200.69999694824199</c:v>
                </c:pt>
                <c:pt idx="261">
                  <c:v>200.39999389648401</c:v>
                </c:pt>
                <c:pt idx="262">
                  <c:v>200.60000610351599</c:v>
                </c:pt>
                <c:pt idx="263">
                  <c:v>200</c:v>
                </c:pt>
                <c:pt idx="264">
                  <c:v>200.60000610351599</c:v>
                </c:pt>
                <c:pt idx="265">
                  <c:v>201.69999694824199</c:v>
                </c:pt>
                <c:pt idx="266">
                  <c:v>202.39999389648401</c:v>
                </c:pt>
                <c:pt idx="267">
                  <c:v>209.19999694824199</c:v>
                </c:pt>
                <c:pt idx="268">
                  <c:v>209.30000305175801</c:v>
                </c:pt>
                <c:pt idx="269">
                  <c:v>211</c:v>
                </c:pt>
                <c:pt idx="270">
                  <c:v>212.80000305175801</c:v>
                </c:pt>
                <c:pt idx="271">
                  <c:v>214.60000610351599</c:v>
                </c:pt>
                <c:pt idx="272">
                  <c:v>216.30000305175801</c:v>
                </c:pt>
                <c:pt idx="273">
                  <c:v>220.19999694824199</c:v>
                </c:pt>
                <c:pt idx="274">
                  <c:v>223.10000610351599</c:v>
                </c:pt>
                <c:pt idx="275">
                  <c:v>225.10000610351599</c:v>
                </c:pt>
                <c:pt idx="276">
                  <c:v>225.80000305175801</c:v>
                </c:pt>
                <c:pt idx="277">
                  <c:v>225.5</c:v>
                </c:pt>
                <c:pt idx="278">
                  <c:v>225.80000305175801</c:v>
                </c:pt>
                <c:pt idx="279">
                  <c:v>225.19999694824199</c:v>
                </c:pt>
                <c:pt idx="280">
                  <c:v>225.60000610351599</c:v>
                </c:pt>
                <c:pt idx="281">
                  <c:v>226.39999389648401</c:v>
                </c:pt>
                <c:pt idx="282">
                  <c:v>227</c:v>
                </c:pt>
                <c:pt idx="283">
                  <c:v>228.5</c:v>
                </c:pt>
                <c:pt idx="284">
                  <c:v>228.5</c:v>
                </c:pt>
                <c:pt idx="285">
                  <c:v>230.19999694824199</c:v>
                </c:pt>
                <c:pt idx="286">
                  <c:v>233.69999694824199</c:v>
                </c:pt>
                <c:pt idx="287">
                  <c:v>235.39999389648401</c:v>
                </c:pt>
                <c:pt idx="288">
                  <c:v>235.80000305175801</c:v>
                </c:pt>
                <c:pt idx="289">
                  <c:v>235.5</c:v>
                </c:pt>
                <c:pt idx="290">
                  <c:v>238.5</c:v>
                </c:pt>
                <c:pt idx="291">
                  <c:v>244.60000610351599</c:v>
                </c:pt>
                <c:pt idx="292">
                  <c:v>250</c:v>
                </c:pt>
                <c:pt idx="293">
                  <c:v>256.39999389648398</c:v>
                </c:pt>
                <c:pt idx="294">
                  <c:v>261.29998779296898</c:v>
                </c:pt>
                <c:pt idx="295">
                  <c:v>262.10000610351602</c:v>
                </c:pt>
                <c:pt idx="296">
                  <c:v>267.10000610351602</c:v>
                </c:pt>
                <c:pt idx="297">
                  <c:v>269.70001220703102</c:v>
                </c:pt>
                <c:pt idx="298">
                  <c:v>273.20001220703102</c:v>
                </c:pt>
                <c:pt idx="299">
                  <c:v>275.60000610351602</c:v>
                </c:pt>
                <c:pt idx="300">
                  <c:v>276.70001220703102</c:v>
                </c:pt>
                <c:pt idx="301">
                  <c:v>278.29998779296898</c:v>
                </c:pt>
                <c:pt idx="302">
                  <c:v>278.29998779296898</c:v>
                </c:pt>
                <c:pt idx="303">
                  <c:v>278.60000610351602</c:v>
                </c:pt>
                <c:pt idx="304">
                  <c:v>279.89999389648398</c:v>
                </c:pt>
                <c:pt idx="305">
                  <c:v>280.10000610351602</c:v>
                </c:pt>
                <c:pt idx="306">
                  <c:v>281.70001220703102</c:v>
                </c:pt>
                <c:pt idx="307">
                  <c:v>283.70001220703102</c:v>
                </c:pt>
                <c:pt idx="308">
                  <c:v>285.10000610351602</c:v>
                </c:pt>
                <c:pt idx="309">
                  <c:v>285.10000610351602</c:v>
                </c:pt>
                <c:pt idx="310">
                  <c:v>286.10000610351602</c:v>
                </c:pt>
                <c:pt idx="311">
                  <c:v>288.5</c:v>
                </c:pt>
                <c:pt idx="312">
                  <c:v>288.60000610351602</c:v>
                </c:pt>
                <c:pt idx="313">
                  <c:v>290.20001220703102</c:v>
                </c:pt>
                <c:pt idx="314">
                  <c:v>290.20001220703102</c:v>
                </c:pt>
                <c:pt idx="315">
                  <c:v>290.5</c:v>
                </c:pt>
                <c:pt idx="316">
                  <c:v>290.29998779296898</c:v>
                </c:pt>
                <c:pt idx="317">
                  <c:v>290.20001220703102</c:v>
                </c:pt>
                <c:pt idx="318">
                  <c:v>290.5</c:v>
                </c:pt>
                <c:pt idx="319">
                  <c:v>290.79998779296898</c:v>
                </c:pt>
                <c:pt idx="320">
                  <c:v>290.89999389648398</c:v>
                </c:pt>
                <c:pt idx="321">
                  <c:v>291.39999389648398</c:v>
                </c:pt>
                <c:pt idx="322">
                  <c:v>291.70001220703102</c:v>
                </c:pt>
                <c:pt idx="323">
                  <c:v>291.89999389648398</c:v>
                </c:pt>
                <c:pt idx="324">
                  <c:v>291.89999389648398</c:v>
                </c:pt>
                <c:pt idx="325">
                  <c:v>291.89999389648398</c:v>
                </c:pt>
                <c:pt idx="326">
                  <c:v>291.89999389648398</c:v>
                </c:pt>
                <c:pt idx="327">
                  <c:v>292.10000610351602</c:v>
                </c:pt>
                <c:pt idx="328">
                  <c:v>293.29998779296898</c:v>
                </c:pt>
                <c:pt idx="329">
                  <c:v>294.79998779296898</c:v>
                </c:pt>
                <c:pt idx="330">
                  <c:v>295.20001220703102</c:v>
                </c:pt>
                <c:pt idx="331">
                  <c:v>293.70001220703102</c:v>
                </c:pt>
                <c:pt idx="332">
                  <c:v>293.60000610351602</c:v>
                </c:pt>
                <c:pt idx="333">
                  <c:v>293.60000610351602</c:v>
                </c:pt>
                <c:pt idx="334">
                  <c:v>293.60000610351602</c:v>
                </c:pt>
                <c:pt idx="335">
                  <c:v>293.89999389648398</c:v>
                </c:pt>
                <c:pt idx="336">
                  <c:v>293.89999389648398</c:v>
                </c:pt>
                <c:pt idx="337">
                  <c:v>293.70001220703102</c:v>
                </c:pt>
                <c:pt idx="338">
                  <c:v>294.5</c:v>
                </c:pt>
                <c:pt idx="339">
                  <c:v>295.29998779296898</c:v>
                </c:pt>
                <c:pt idx="340">
                  <c:v>295.29998779296898</c:v>
                </c:pt>
                <c:pt idx="341">
                  <c:v>296.89999389648398</c:v>
                </c:pt>
                <c:pt idx="342">
                  <c:v>296.79998779296898</c:v>
                </c:pt>
                <c:pt idx="343">
                  <c:v>298.79998779296898</c:v>
                </c:pt>
                <c:pt idx="344">
                  <c:v>300.29998779296898</c:v>
                </c:pt>
                <c:pt idx="345">
                  <c:v>302.39999389648398</c:v>
                </c:pt>
                <c:pt idx="346">
                  <c:v>304.89999389648398</c:v>
                </c:pt>
                <c:pt idx="347">
                  <c:v>315</c:v>
                </c:pt>
                <c:pt idx="348">
                  <c:v>319.60000610351602</c:v>
                </c:pt>
                <c:pt idx="349">
                  <c:v>320.10000610351602</c:v>
                </c:pt>
                <c:pt idx="350">
                  <c:v>323.29998779296898</c:v>
                </c:pt>
                <c:pt idx="351">
                  <c:v>323.60000610351602</c:v>
                </c:pt>
                <c:pt idx="352">
                  <c:v>325.89999389648398</c:v>
                </c:pt>
                <c:pt idx="353">
                  <c:v>328.89999389648398</c:v>
                </c:pt>
                <c:pt idx="354">
                  <c:v>338.89999389648398</c:v>
                </c:pt>
                <c:pt idx="355">
                  <c:v>348.60000610351602</c:v>
                </c:pt>
                <c:pt idx="356">
                  <c:v>349</c:v>
                </c:pt>
                <c:pt idx="357">
                  <c:v>353.79998779296898</c:v>
                </c:pt>
                <c:pt idx="358">
                  <c:v>357.10000610351602</c:v>
                </c:pt>
                <c:pt idx="359">
                  <c:v>358.60000610351602</c:v>
                </c:pt>
                <c:pt idx="360">
                  <c:v>360.39999389648398</c:v>
                </c:pt>
                <c:pt idx="361">
                  <c:v>361.60000610351602</c:v>
                </c:pt>
                <c:pt idx="362">
                  <c:v>366.20001220703102</c:v>
                </c:pt>
                <c:pt idx="363">
                  <c:v>368.70001220703102</c:v>
                </c:pt>
                <c:pt idx="364">
                  <c:v>371.20001220703102</c:v>
                </c:pt>
                <c:pt idx="365">
                  <c:v>371.20001220703102</c:v>
                </c:pt>
                <c:pt idx="366">
                  <c:v>372.20001220703102</c:v>
                </c:pt>
                <c:pt idx="367">
                  <c:v>371.89999389648398</c:v>
                </c:pt>
                <c:pt idx="368">
                  <c:v>372.39999389648398</c:v>
                </c:pt>
                <c:pt idx="369">
                  <c:v>374.89999389648398</c:v>
                </c:pt>
                <c:pt idx="370">
                  <c:v>376.60000610351602</c:v>
                </c:pt>
                <c:pt idx="371">
                  <c:v>384.79998779296898</c:v>
                </c:pt>
                <c:pt idx="372">
                  <c:v>388.10000610351602</c:v>
                </c:pt>
                <c:pt idx="373">
                  <c:v>389.79998779296898</c:v>
                </c:pt>
                <c:pt idx="374">
                  <c:v>391.10000610351602</c:v>
                </c:pt>
                <c:pt idx="375">
                  <c:v>392.79998779296898</c:v>
                </c:pt>
                <c:pt idx="376">
                  <c:v>394.10000610351602</c:v>
                </c:pt>
                <c:pt idx="377">
                  <c:v>395.60000610351602</c:v>
                </c:pt>
                <c:pt idx="378">
                  <c:v>399</c:v>
                </c:pt>
                <c:pt idx="379">
                  <c:v>399.89999389648398</c:v>
                </c:pt>
                <c:pt idx="380">
                  <c:v>399.79998779296898</c:v>
                </c:pt>
                <c:pt idx="381">
                  <c:v>399.89999389648398</c:v>
                </c:pt>
                <c:pt idx="382">
                  <c:v>400.5</c:v>
                </c:pt>
                <c:pt idx="383">
                  <c:v>401.39999389648398</c:v>
                </c:pt>
                <c:pt idx="384">
                  <c:v>401.29998779296898</c:v>
                </c:pt>
                <c:pt idx="385">
                  <c:v>402.70001220703102</c:v>
                </c:pt>
                <c:pt idx="386">
                  <c:v>402.60000610351602</c:v>
                </c:pt>
                <c:pt idx="387">
                  <c:v>402.60000610351602</c:v>
                </c:pt>
                <c:pt idx="388">
                  <c:v>403.60000610351602</c:v>
                </c:pt>
                <c:pt idx="389">
                  <c:v>404.10000610351602</c:v>
                </c:pt>
                <c:pt idx="390">
                  <c:v>406.10000610351602</c:v>
                </c:pt>
                <c:pt idx="391">
                  <c:v>408.10000610351602</c:v>
                </c:pt>
                <c:pt idx="392">
                  <c:v>409.10000610351602</c:v>
                </c:pt>
                <c:pt idx="393">
                  <c:v>410.5</c:v>
                </c:pt>
                <c:pt idx="394">
                  <c:v>410.89999389648398</c:v>
                </c:pt>
                <c:pt idx="395">
                  <c:v>410.89999389648398</c:v>
                </c:pt>
                <c:pt idx="396">
                  <c:v>412.5</c:v>
                </c:pt>
                <c:pt idx="397">
                  <c:v>412.20001220703102</c:v>
                </c:pt>
                <c:pt idx="398">
                  <c:v>412.20001220703102</c:v>
                </c:pt>
                <c:pt idx="399">
                  <c:v>413.60000610351602</c:v>
                </c:pt>
                <c:pt idx="400">
                  <c:v>415.79998779296898</c:v>
                </c:pt>
                <c:pt idx="401">
                  <c:v>417.70001220703102</c:v>
                </c:pt>
                <c:pt idx="402">
                  <c:v>417.60000610351602</c:v>
                </c:pt>
                <c:pt idx="403">
                  <c:v>419</c:v>
                </c:pt>
                <c:pt idx="404">
                  <c:v>421.70001220703102</c:v>
                </c:pt>
                <c:pt idx="405">
                  <c:v>424.5</c:v>
                </c:pt>
                <c:pt idx="406">
                  <c:v>430.79998779296898</c:v>
                </c:pt>
                <c:pt idx="407">
                  <c:v>437</c:v>
                </c:pt>
                <c:pt idx="408">
                  <c:v>443.29998779296898</c:v>
                </c:pt>
                <c:pt idx="409">
                  <c:v>447</c:v>
                </c:pt>
                <c:pt idx="410">
                  <c:v>448</c:v>
                </c:pt>
                <c:pt idx="411">
                  <c:v>450</c:v>
                </c:pt>
                <c:pt idx="412">
                  <c:v>452.10000610351602</c:v>
                </c:pt>
                <c:pt idx="413">
                  <c:v>455.20001220703102</c:v>
                </c:pt>
                <c:pt idx="414">
                  <c:v>458.29998779296898</c:v>
                </c:pt>
                <c:pt idx="415">
                  <c:v>461.5</c:v>
                </c:pt>
                <c:pt idx="416">
                  <c:v>466.60000610351602</c:v>
                </c:pt>
                <c:pt idx="417">
                  <c:v>467.70001220703102</c:v>
                </c:pt>
                <c:pt idx="418">
                  <c:v>472.39999389648398</c:v>
                </c:pt>
                <c:pt idx="419">
                  <c:v>472.29998779296898</c:v>
                </c:pt>
                <c:pt idx="420">
                  <c:v>475.20001220703102</c:v>
                </c:pt>
                <c:pt idx="421">
                  <c:v>479.5</c:v>
                </c:pt>
                <c:pt idx="422">
                  <c:v>480.5</c:v>
                </c:pt>
                <c:pt idx="423">
                  <c:v>481.79998779296898</c:v>
                </c:pt>
                <c:pt idx="424">
                  <c:v>482.39999389648398</c:v>
                </c:pt>
                <c:pt idx="425">
                  <c:v>487.89999389648398</c:v>
                </c:pt>
                <c:pt idx="426">
                  <c:v>488.89999389648398</c:v>
                </c:pt>
                <c:pt idx="427">
                  <c:v>490.29998779296898</c:v>
                </c:pt>
                <c:pt idx="428">
                  <c:v>490.29998779296898</c:v>
                </c:pt>
                <c:pt idx="429">
                  <c:v>491</c:v>
                </c:pt>
                <c:pt idx="430">
                  <c:v>492.10000610351602</c:v>
                </c:pt>
                <c:pt idx="431">
                  <c:v>493.29998779296898</c:v>
                </c:pt>
                <c:pt idx="432">
                  <c:v>496.10000610351602</c:v>
                </c:pt>
                <c:pt idx="433">
                  <c:v>497.20001220703102</c:v>
                </c:pt>
                <c:pt idx="434">
                  <c:v>499.10000610351602</c:v>
                </c:pt>
                <c:pt idx="435">
                  <c:v>500.70001220703102</c:v>
                </c:pt>
                <c:pt idx="436">
                  <c:v>501.70001220703102</c:v>
                </c:pt>
                <c:pt idx="437">
                  <c:v>504.20001220703102</c:v>
                </c:pt>
                <c:pt idx="438">
                  <c:v>506.10000610351602</c:v>
                </c:pt>
                <c:pt idx="439">
                  <c:v>507.20001220703102</c:v>
                </c:pt>
                <c:pt idx="440">
                  <c:v>508.10000610351602</c:v>
                </c:pt>
                <c:pt idx="441">
                  <c:v>508.20001220703102</c:v>
                </c:pt>
                <c:pt idx="442">
                  <c:v>508.89999389648398</c:v>
                </c:pt>
              </c:numCache>
            </c:numRef>
          </c:xVal>
          <c:yVal>
            <c:numRef>
              <c:f>'2'!$H$34:$H$476</c:f>
              <c:numCache>
                <c:formatCode>General</c:formatCode>
                <c:ptCount val="443"/>
                <c:pt idx="0">
                  <c:v>-0.352319985628128</c:v>
                </c:pt>
                <c:pt idx="1">
                  <c:v>-0.35231000185012801</c:v>
                </c:pt>
                <c:pt idx="2">
                  <c:v>-0.35231000185012801</c:v>
                </c:pt>
                <c:pt idx="3">
                  <c:v>-0.35229998826980602</c:v>
                </c:pt>
                <c:pt idx="4">
                  <c:v>-0.35229998826980602</c:v>
                </c:pt>
                <c:pt idx="5">
                  <c:v>-0.35229998826980602</c:v>
                </c:pt>
                <c:pt idx="6">
                  <c:v>-0.35231000185012801</c:v>
                </c:pt>
                <c:pt idx="7">
                  <c:v>-0.35229000449180597</c:v>
                </c:pt>
                <c:pt idx="8">
                  <c:v>-0.35229000449180597</c:v>
                </c:pt>
                <c:pt idx="9">
                  <c:v>-0.35227999091148399</c:v>
                </c:pt>
                <c:pt idx="10">
                  <c:v>-0.35229000449180597</c:v>
                </c:pt>
                <c:pt idx="11">
                  <c:v>-0.35229998826980602</c:v>
                </c:pt>
                <c:pt idx="12">
                  <c:v>-0.35229998826980602</c:v>
                </c:pt>
                <c:pt idx="13">
                  <c:v>-0.35229000449180597</c:v>
                </c:pt>
                <c:pt idx="14">
                  <c:v>-0.35229000449180597</c:v>
                </c:pt>
                <c:pt idx="15">
                  <c:v>-0.35227999091148399</c:v>
                </c:pt>
                <c:pt idx="16">
                  <c:v>-0.35227999091148399</c:v>
                </c:pt>
                <c:pt idx="17">
                  <c:v>-0.35227999091148399</c:v>
                </c:pt>
                <c:pt idx="18">
                  <c:v>-0.35227999091148399</c:v>
                </c:pt>
                <c:pt idx="19">
                  <c:v>-0.35227999091148399</c:v>
                </c:pt>
                <c:pt idx="20">
                  <c:v>-0.35227999091148399</c:v>
                </c:pt>
                <c:pt idx="21">
                  <c:v>-0.35227999091148399</c:v>
                </c:pt>
                <c:pt idx="22">
                  <c:v>-0.35229000449180597</c:v>
                </c:pt>
                <c:pt idx="23">
                  <c:v>-0.35229000449180597</c:v>
                </c:pt>
                <c:pt idx="24">
                  <c:v>-0.35227999091148399</c:v>
                </c:pt>
                <c:pt idx="25">
                  <c:v>-0.35229000449180597</c:v>
                </c:pt>
                <c:pt idx="26">
                  <c:v>-0.35229000449180597</c:v>
                </c:pt>
                <c:pt idx="27">
                  <c:v>-0.35229000449180597</c:v>
                </c:pt>
                <c:pt idx="28">
                  <c:v>-0.35229000449180597</c:v>
                </c:pt>
                <c:pt idx="29">
                  <c:v>-0.35229000449180597</c:v>
                </c:pt>
                <c:pt idx="30">
                  <c:v>-0.35229000449180597</c:v>
                </c:pt>
                <c:pt idx="31">
                  <c:v>-0.35229000449180597</c:v>
                </c:pt>
                <c:pt idx="32">
                  <c:v>-0.35229000449180597</c:v>
                </c:pt>
                <c:pt idx="33">
                  <c:v>-0.35227999091148399</c:v>
                </c:pt>
                <c:pt idx="34">
                  <c:v>-0.35227999091148399</c:v>
                </c:pt>
                <c:pt idx="35">
                  <c:v>-0.352270007133484</c:v>
                </c:pt>
                <c:pt idx="36">
                  <c:v>-0.35225999355316201</c:v>
                </c:pt>
                <c:pt idx="37">
                  <c:v>-0.35223999619483898</c:v>
                </c:pt>
                <c:pt idx="38">
                  <c:v>-0.352219998836517</c:v>
                </c:pt>
                <c:pt idx="39">
                  <c:v>-0.35220998525619501</c:v>
                </c:pt>
                <c:pt idx="40">
                  <c:v>-0.35220998525619501</c:v>
                </c:pt>
                <c:pt idx="41">
                  <c:v>-0.35220000147819502</c:v>
                </c:pt>
                <c:pt idx="42">
                  <c:v>-0.35218998789787298</c:v>
                </c:pt>
                <c:pt idx="43">
                  <c:v>-0.352169990539551</c:v>
                </c:pt>
                <c:pt idx="44">
                  <c:v>-0.352169990539551</c:v>
                </c:pt>
                <c:pt idx="45">
                  <c:v>-0.35216000676155101</c:v>
                </c:pt>
                <c:pt idx="46">
                  <c:v>-0.35214999318122903</c:v>
                </c:pt>
                <c:pt idx="47">
                  <c:v>-0.35214000940322898</c:v>
                </c:pt>
                <c:pt idx="48">
                  <c:v>-0.35214000940322898</c:v>
                </c:pt>
                <c:pt idx="49">
                  <c:v>-0.35214000940322898</c:v>
                </c:pt>
                <c:pt idx="50">
                  <c:v>-0.35212999582290599</c:v>
                </c:pt>
                <c:pt idx="51">
                  <c:v>-0.35212999582290599</c:v>
                </c:pt>
                <c:pt idx="52">
                  <c:v>-0.352120012044907</c:v>
                </c:pt>
                <c:pt idx="53">
                  <c:v>-0.352120012044907</c:v>
                </c:pt>
                <c:pt idx="54">
                  <c:v>-0.352120012044907</c:v>
                </c:pt>
                <c:pt idx="55">
                  <c:v>-0.352120012044907</c:v>
                </c:pt>
                <c:pt idx="56">
                  <c:v>-0.35210999846458402</c:v>
                </c:pt>
                <c:pt idx="57">
                  <c:v>-0.35210999846458402</c:v>
                </c:pt>
                <c:pt idx="58">
                  <c:v>-0.35210001468658397</c:v>
                </c:pt>
                <c:pt idx="59">
                  <c:v>-0.35210001468658397</c:v>
                </c:pt>
                <c:pt idx="60">
                  <c:v>-0.35209000110626198</c:v>
                </c:pt>
                <c:pt idx="61">
                  <c:v>-0.35207998752594</c:v>
                </c:pt>
                <c:pt idx="62">
                  <c:v>-0.35207000374794001</c:v>
                </c:pt>
                <c:pt idx="63">
                  <c:v>-0.35205999016761802</c:v>
                </c:pt>
                <c:pt idx="64">
                  <c:v>-0.35205999016761802</c:v>
                </c:pt>
                <c:pt idx="65">
                  <c:v>-0.35203999280929599</c:v>
                </c:pt>
                <c:pt idx="66">
                  <c:v>-0.35201999545097401</c:v>
                </c:pt>
                <c:pt idx="67">
                  <c:v>-0.35199999809265098</c:v>
                </c:pt>
                <c:pt idx="68">
                  <c:v>-0.351980000734329</c:v>
                </c:pt>
                <c:pt idx="69">
                  <c:v>-0.35196000337600702</c:v>
                </c:pt>
                <c:pt idx="70">
                  <c:v>-0.35194998979568498</c:v>
                </c:pt>
                <c:pt idx="71">
                  <c:v>-0.35194000601768499</c:v>
                </c:pt>
                <c:pt idx="72">
                  <c:v>-0.351929992437363</c:v>
                </c:pt>
                <c:pt idx="73">
                  <c:v>-0.35190001130104098</c:v>
                </c:pt>
                <c:pt idx="74">
                  <c:v>-0.351889997720718</c:v>
                </c:pt>
                <c:pt idx="75">
                  <c:v>-0.35188001394271901</c:v>
                </c:pt>
                <c:pt idx="76">
                  <c:v>-0.35187000036239602</c:v>
                </c:pt>
                <c:pt idx="77">
                  <c:v>-0.35187000036239602</c:v>
                </c:pt>
                <c:pt idx="78">
                  <c:v>-0.35185000300407399</c:v>
                </c:pt>
                <c:pt idx="79">
                  <c:v>-0.35183000564575201</c:v>
                </c:pt>
                <c:pt idx="80">
                  <c:v>-0.35181999206543002</c:v>
                </c:pt>
                <c:pt idx="81">
                  <c:v>-0.35181999206543002</c:v>
                </c:pt>
                <c:pt idx="82">
                  <c:v>-0.35179999470710799</c:v>
                </c:pt>
                <c:pt idx="83">
                  <c:v>-0.351790010929108</c:v>
                </c:pt>
                <c:pt idx="84">
                  <c:v>-0.351790010929108</c:v>
                </c:pt>
                <c:pt idx="85">
                  <c:v>-0.351790010929108</c:v>
                </c:pt>
                <c:pt idx="86">
                  <c:v>-0.351790010929108</c:v>
                </c:pt>
                <c:pt idx="87">
                  <c:v>-0.35177999734878501</c:v>
                </c:pt>
                <c:pt idx="88">
                  <c:v>-0.351790010929108</c:v>
                </c:pt>
                <c:pt idx="89">
                  <c:v>-0.35177999734878501</c:v>
                </c:pt>
                <c:pt idx="90">
                  <c:v>-0.35177999734878501</c:v>
                </c:pt>
                <c:pt idx="91">
                  <c:v>-0.35177001357078602</c:v>
                </c:pt>
                <c:pt idx="92">
                  <c:v>-0.35177001357078602</c:v>
                </c:pt>
                <c:pt idx="93">
                  <c:v>-0.35175999999046298</c:v>
                </c:pt>
                <c:pt idx="94">
                  <c:v>-0.35172998905181901</c:v>
                </c:pt>
                <c:pt idx="95">
                  <c:v>-0.351740002632141</c:v>
                </c:pt>
                <c:pt idx="96">
                  <c:v>-0.351740002632141</c:v>
                </c:pt>
                <c:pt idx="97">
                  <c:v>-0.351740002632141</c:v>
                </c:pt>
                <c:pt idx="98">
                  <c:v>-0.351740002632141</c:v>
                </c:pt>
                <c:pt idx="99">
                  <c:v>-0.35172998905181901</c:v>
                </c:pt>
                <c:pt idx="100">
                  <c:v>-0.35172998905181901</c:v>
                </c:pt>
                <c:pt idx="101">
                  <c:v>-0.35172000527381903</c:v>
                </c:pt>
                <c:pt idx="102">
                  <c:v>-0.35170999169349698</c:v>
                </c:pt>
                <c:pt idx="103">
                  <c:v>-0.35170999169349698</c:v>
                </c:pt>
                <c:pt idx="104">
                  <c:v>-0.35170999169349698</c:v>
                </c:pt>
                <c:pt idx="105">
                  <c:v>-0.35172000527381903</c:v>
                </c:pt>
                <c:pt idx="106">
                  <c:v>-0.35170999169349698</c:v>
                </c:pt>
                <c:pt idx="107">
                  <c:v>-0.35170999169349698</c:v>
                </c:pt>
                <c:pt idx="108">
                  <c:v>-0.35170000791549699</c:v>
                </c:pt>
                <c:pt idx="109">
                  <c:v>-0.35166999697685197</c:v>
                </c:pt>
                <c:pt idx="110">
                  <c:v>-0.35166001319885298</c:v>
                </c:pt>
                <c:pt idx="111">
                  <c:v>-0.35163998603820801</c:v>
                </c:pt>
                <c:pt idx="112">
                  <c:v>-0.35163000226020802</c:v>
                </c:pt>
                <c:pt idx="113">
                  <c:v>-0.35163000226020802</c:v>
                </c:pt>
                <c:pt idx="114">
                  <c:v>-0.35163998603820801</c:v>
                </c:pt>
                <c:pt idx="115">
                  <c:v>-0.35163000226020802</c:v>
                </c:pt>
                <c:pt idx="116">
                  <c:v>-0.35163000226020802</c:v>
                </c:pt>
                <c:pt idx="117">
                  <c:v>-0.35163998603820801</c:v>
                </c:pt>
                <c:pt idx="118">
                  <c:v>-0.35163998603820801</c:v>
                </c:pt>
                <c:pt idx="119">
                  <c:v>-0.35163998603820801</c:v>
                </c:pt>
                <c:pt idx="120">
                  <c:v>-0.35163998603820801</c:v>
                </c:pt>
                <c:pt idx="121">
                  <c:v>-0.35163998603820801</c:v>
                </c:pt>
                <c:pt idx="122">
                  <c:v>-0.35163000226020802</c:v>
                </c:pt>
                <c:pt idx="123">
                  <c:v>-0.35161998867988598</c:v>
                </c:pt>
                <c:pt idx="124">
                  <c:v>-0.351599991321564</c:v>
                </c:pt>
                <c:pt idx="125">
                  <c:v>-0.35157999396324202</c:v>
                </c:pt>
                <c:pt idx="126">
                  <c:v>-0.35157001018524198</c:v>
                </c:pt>
                <c:pt idx="127">
                  <c:v>-0.35157001018524198</c:v>
                </c:pt>
                <c:pt idx="128">
                  <c:v>-0.35155001282692</c:v>
                </c:pt>
                <c:pt idx="129">
                  <c:v>-0.35152998566627502</c:v>
                </c:pt>
                <c:pt idx="130">
                  <c:v>-0.35152000188827498</c:v>
                </c:pt>
                <c:pt idx="131">
                  <c:v>-0.35148000717163103</c:v>
                </c:pt>
                <c:pt idx="132">
                  <c:v>-0.351410001516342</c:v>
                </c:pt>
                <c:pt idx="133">
                  <c:v>-0.351410001516342</c:v>
                </c:pt>
                <c:pt idx="134">
                  <c:v>-0.35141998529434199</c:v>
                </c:pt>
                <c:pt idx="135">
                  <c:v>-0.35141998529434199</c:v>
                </c:pt>
                <c:pt idx="136">
                  <c:v>-0.35139998793602001</c:v>
                </c:pt>
                <c:pt idx="137">
                  <c:v>-0.35139998793602001</c:v>
                </c:pt>
                <c:pt idx="138">
                  <c:v>-0.35139998793602001</c:v>
                </c:pt>
                <c:pt idx="139">
                  <c:v>-0.35139998793602001</c:v>
                </c:pt>
                <c:pt idx="140">
                  <c:v>-0.35139998793602001</c:v>
                </c:pt>
                <c:pt idx="141">
                  <c:v>-0.351410001516342</c:v>
                </c:pt>
                <c:pt idx="142">
                  <c:v>-0.35139998793602001</c:v>
                </c:pt>
                <c:pt idx="143">
                  <c:v>-0.35139998793602001</c:v>
                </c:pt>
                <c:pt idx="144">
                  <c:v>-0.35137999057769798</c:v>
                </c:pt>
                <c:pt idx="145">
                  <c:v>-0.35137000679969799</c:v>
                </c:pt>
                <c:pt idx="146">
                  <c:v>-0.35137000679969799</c:v>
                </c:pt>
                <c:pt idx="147">
                  <c:v>-0.35137000679969799</c:v>
                </c:pt>
                <c:pt idx="148">
                  <c:v>-0.35137000679969799</c:v>
                </c:pt>
                <c:pt idx="149">
                  <c:v>-0.351359993219376</c:v>
                </c:pt>
                <c:pt idx="150">
                  <c:v>-0.35137000679969799</c:v>
                </c:pt>
                <c:pt idx="151">
                  <c:v>-0.35137000679969799</c:v>
                </c:pt>
                <c:pt idx="152">
                  <c:v>-0.35137000679969799</c:v>
                </c:pt>
                <c:pt idx="153">
                  <c:v>-0.351359993219376</c:v>
                </c:pt>
                <c:pt idx="154">
                  <c:v>-0.35137000679969799</c:v>
                </c:pt>
                <c:pt idx="155">
                  <c:v>-0.35137999057769798</c:v>
                </c:pt>
                <c:pt idx="156">
                  <c:v>-0.35137999057769798</c:v>
                </c:pt>
                <c:pt idx="157">
                  <c:v>-0.35137000679969799</c:v>
                </c:pt>
                <c:pt idx="158">
                  <c:v>-0.35133999586105302</c:v>
                </c:pt>
                <c:pt idx="159">
                  <c:v>-0.35130000114440901</c:v>
                </c:pt>
                <c:pt idx="160">
                  <c:v>-0.35126999020576499</c:v>
                </c:pt>
                <c:pt idx="161">
                  <c:v>-0.351260006427765</c:v>
                </c:pt>
                <c:pt idx="162">
                  <c:v>-0.35124999284744302</c:v>
                </c:pt>
                <c:pt idx="163">
                  <c:v>-0.35124999284744302</c:v>
                </c:pt>
                <c:pt idx="164">
                  <c:v>-0.35124999284744302</c:v>
                </c:pt>
                <c:pt idx="165">
                  <c:v>-0.35124999284744302</c:v>
                </c:pt>
                <c:pt idx="166">
                  <c:v>-0.351260006427765</c:v>
                </c:pt>
                <c:pt idx="167">
                  <c:v>-0.35126999020576499</c:v>
                </c:pt>
                <c:pt idx="168">
                  <c:v>-0.35126999020576499</c:v>
                </c:pt>
                <c:pt idx="169">
                  <c:v>-0.351260006427765</c:v>
                </c:pt>
                <c:pt idx="170">
                  <c:v>-0.35124999284744302</c:v>
                </c:pt>
                <c:pt idx="171">
                  <c:v>-0.35122999548911998</c:v>
                </c:pt>
                <c:pt idx="172">
                  <c:v>-0.35120001435279802</c:v>
                </c:pt>
                <c:pt idx="173">
                  <c:v>-0.35119000077247597</c:v>
                </c:pt>
                <c:pt idx="174">
                  <c:v>-0.351170003414154</c:v>
                </c:pt>
                <c:pt idx="175">
                  <c:v>-0.35117998719215399</c:v>
                </c:pt>
                <c:pt idx="176">
                  <c:v>-0.35117998719215399</c:v>
                </c:pt>
                <c:pt idx="177">
                  <c:v>-0.351170003414154</c:v>
                </c:pt>
                <c:pt idx="178">
                  <c:v>-0.35115000605583202</c:v>
                </c:pt>
                <c:pt idx="179">
                  <c:v>-0.35113999247550998</c:v>
                </c:pt>
                <c:pt idx="180">
                  <c:v>-0.35113000869750999</c:v>
                </c:pt>
                <c:pt idx="181">
                  <c:v>-0.35113999247550998</c:v>
                </c:pt>
                <c:pt idx="182">
                  <c:v>-0.35113999247550998</c:v>
                </c:pt>
                <c:pt idx="183">
                  <c:v>-0.35115000605583202</c:v>
                </c:pt>
                <c:pt idx="184">
                  <c:v>-0.35115000605583202</c:v>
                </c:pt>
                <c:pt idx="185">
                  <c:v>-0.35113999247550998</c:v>
                </c:pt>
                <c:pt idx="186">
                  <c:v>-0.35113000869750999</c:v>
                </c:pt>
                <c:pt idx="187">
                  <c:v>-0.351119995117188</c:v>
                </c:pt>
                <c:pt idx="188">
                  <c:v>-0.35111001133918801</c:v>
                </c:pt>
                <c:pt idx="189">
                  <c:v>-0.35111001133918801</c:v>
                </c:pt>
                <c:pt idx="190">
                  <c:v>-0.35109999775886502</c:v>
                </c:pt>
                <c:pt idx="191">
                  <c:v>-0.35108000040054299</c:v>
                </c:pt>
                <c:pt idx="192">
                  <c:v>-0.351069986820221</c:v>
                </c:pt>
                <c:pt idx="193">
                  <c:v>-0.35104998946189903</c:v>
                </c:pt>
                <c:pt idx="194">
                  <c:v>-0.351020008325577</c:v>
                </c:pt>
                <c:pt idx="195">
                  <c:v>-0.35100001096725503</c:v>
                </c:pt>
                <c:pt idx="196">
                  <c:v>-0.35097000002861001</c:v>
                </c:pt>
                <c:pt idx="197">
                  <c:v>-0.35095000267028797</c:v>
                </c:pt>
                <c:pt idx="198">
                  <c:v>-0.35091999173164401</c:v>
                </c:pt>
                <c:pt idx="199">
                  <c:v>-0.35085999965667702</c:v>
                </c:pt>
                <c:pt idx="200">
                  <c:v>-0.35084998607635498</c:v>
                </c:pt>
                <c:pt idx="201">
                  <c:v>-0.350829988718033</c:v>
                </c:pt>
                <c:pt idx="202">
                  <c:v>-0.35080999135971103</c:v>
                </c:pt>
                <c:pt idx="203">
                  <c:v>-0.35080000758171098</c:v>
                </c:pt>
                <c:pt idx="204">
                  <c:v>-0.35078999400138899</c:v>
                </c:pt>
                <c:pt idx="205">
                  <c:v>-0.35076999664306602</c:v>
                </c:pt>
                <c:pt idx="206">
                  <c:v>-0.35073000192642201</c:v>
                </c:pt>
                <c:pt idx="207">
                  <c:v>-0.35071000456809998</c:v>
                </c:pt>
                <c:pt idx="208">
                  <c:v>-0.350690007209778</c:v>
                </c:pt>
                <c:pt idx="209">
                  <c:v>-0.35067000985145602</c:v>
                </c:pt>
                <c:pt idx="210">
                  <c:v>-0.350589990615845</c:v>
                </c:pt>
                <c:pt idx="211">
                  <c:v>-0.35054001212120101</c:v>
                </c:pt>
                <c:pt idx="212">
                  <c:v>-0.35047999024391202</c:v>
                </c:pt>
                <c:pt idx="213">
                  <c:v>-0.35021999478340099</c:v>
                </c:pt>
                <c:pt idx="214">
                  <c:v>-0.35019001364707902</c:v>
                </c:pt>
                <c:pt idx="215">
                  <c:v>-0.35012999176979098</c:v>
                </c:pt>
                <c:pt idx="216">
                  <c:v>-0.35005998611450201</c:v>
                </c:pt>
                <c:pt idx="217">
                  <c:v>-0.34999999403953602</c:v>
                </c:pt>
                <c:pt idx="218">
                  <c:v>-0.34994998574256903</c:v>
                </c:pt>
                <c:pt idx="219">
                  <c:v>-0.34986999630928001</c:v>
                </c:pt>
                <c:pt idx="220">
                  <c:v>-0.34981000423431402</c:v>
                </c:pt>
                <c:pt idx="221">
                  <c:v>-0.34975001215934798</c:v>
                </c:pt>
                <c:pt idx="222">
                  <c:v>-0.34968999028205899</c:v>
                </c:pt>
                <c:pt idx="223">
                  <c:v>-0.34964001178741499</c:v>
                </c:pt>
                <c:pt idx="224">
                  <c:v>-0.34957000613212602</c:v>
                </c:pt>
                <c:pt idx="225">
                  <c:v>-0.34953001141548201</c:v>
                </c:pt>
                <c:pt idx="226">
                  <c:v>-0.349489986896515</c:v>
                </c:pt>
                <c:pt idx="227">
                  <c:v>-0.34942999482154802</c:v>
                </c:pt>
                <c:pt idx="228">
                  <c:v>-0.349159985780716</c:v>
                </c:pt>
                <c:pt idx="229">
                  <c:v>-0.34891000390052801</c:v>
                </c:pt>
                <c:pt idx="230">
                  <c:v>-0.34889000654220598</c:v>
                </c:pt>
                <c:pt idx="231">
                  <c:v>-0.34887999296188399</c:v>
                </c:pt>
                <c:pt idx="232">
                  <c:v>-0.34883999824523898</c:v>
                </c:pt>
                <c:pt idx="233">
                  <c:v>-0.34850999712943997</c:v>
                </c:pt>
                <c:pt idx="234">
                  <c:v>-0.34847998619079601</c:v>
                </c:pt>
                <c:pt idx="235">
                  <c:v>-0.34865000844001798</c:v>
                </c:pt>
                <c:pt idx="236">
                  <c:v>-0.34863999485969499</c:v>
                </c:pt>
                <c:pt idx="237">
                  <c:v>-0.34863999485969499</c:v>
                </c:pt>
                <c:pt idx="238">
                  <c:v>-0.348630011081696</c:v>
                </c:pt>
                <c:pt idx="239">
                  <c:v>-0.34861001372337302</c:v>
                </c:pt>
                <c:pt idx="240">
                  <c:v>-0.34856998920440702</c:v>
                </c:pt>
                <c:pt idx="241">
                  <c:v>-0.34850999712943997</c:v>
                </c:pt>
                <c:pt idx="242">
                  <c:v>-0.34845000505447399</c:v>
                </c:pt>
                <c:pt idx="243">
                  <c:v>-0.34839999675750699</c:v>
                </c:pt>
                <c:pt idx="244">
                  <c:v>-0.34832000732421903</c:v>
                </c:pt>
                <c:pt idx="245">
                  <c:v>-0.348300009965897</c:v>
                </c:pt>
                <c:pt idx="246">
                  <c:v>-0.34830999374389598</c:v>
                </c:pt>
                <c:pt idx="247">
                  <c:v>-0.34830999374389598</c:v>
                </c:pt>
                <c:pt idx="248">
                  <c:v>-0.34832000732421903</c:v>
                </c:pt>
                <c:pt idx="249">
                  <c:v>-0.34832000732421903</c:v>
                </c:pt>
                <c:pt idx="250">
                  <c:v>-0.34832000732421903</c:v>
                </c:pt>
                <c:pt idx="251">
                  <c:v>-0.34832000732421903</c:v>
                </c:pt>
                <c:pt idx="252">
                  <c:v>-0.34832000732421903</c:v>
                </c:pt>
                <c:pt idx="253">
                  <c:v>-0.34832000732421903</c:v>
                </c:pt>
                <c:pt idx="254">
                  <c:v>-0.34830999374389598</c:v>
                </c:pt>
                <c:pt idx="255">
                  <c:v>-0.34828999638557401</c:v>
                </c:pt>
                <c:pt idx="256">
                  <c:v>-0.34826999902725198</c:v>
                </c:pt>
                <c:pt idx="257">
                  <c:v>-0.34823998808860801</c:v>
                </c:pt>
                <c:pt idx="258">
                  <c:v>-0.34821999073028598</c:v>
                </c:pt>
                <c:pt idx="259">
                  <c:v>-0.34817001223564098</c:v>
                </c:pt>
                <c:pt idx="260">
                  <c:v>-0.34812998771667503</c:v>
                </c:pt>
                <c:pt idx="261">
                  <c:v>-0.34808999300003102</c:v>
                </c:pt>
                <c:pt idx="262">
                  <c:v>-0.34808000922203097</c:v>
                </c:pt>
                <c:pt idx="263">
                  <c:v>-0.34808999300003102</c:v>
                </c:pt>
                <c:pt idx="264">
                  <c:v>-0.34808999300003102</c:v>
                </c:pt>
                <c:pt idx="265">
                  <c:v>-0.34808999300003102</c:v>
                </c:pt>
                <c:pt idx="266">
                  <c:v>-0.34804001450538602</c:v>
                </c:pt>
                <c:pt idx="267">
                  <c:v>-0.34760999679565402</c:v>
                </c:pt>
                <c:pt idx="268">
                  <c:v>-0.34753999114036599</c:v>
                </c:pt>
                <c:pt idx="269">
                  <c:v>-0.34731999039650002</c:v>
                </c:pt>
                <c:pt idx="270">
                  <c:v>-0.347290009260178</c:v>
                </c:pt>
                <c:pt idx="271">
                  <c:v>-0.34702000021934498</c:v>
                </c:pt>
                <c:pt idx="272">
                  <c:v>-0.346960008144379</c:v>
                </c:pt>
                <c:pt idx="273">
                  <c:v>-0.34663000702857999</c:v>
                </c:pt>
                <c:pt idx="274">
                  <c:v>-0.34621998667717002</c:v>
                </c:pt>
                <c:pt idx="275">
                  <c:v>-0.34593001008033802</c:v>
                </c:pt>
                <c:pt idx="276">
                  <c:v>-0.34595000743866</c:v>
                </c:pt>
                <c:pt idx="277">
                  <c:v>-0.34597998857498202</c:v>
                </c:pt>
                <c:pt idx="278">
                  <c:v>-0.34597998857498202</c:v>
                </c:pt>
                <c:pt idx="279">
                  <c:v>-0.34597000479698198</c:v>
                </c:pt>
                <c:pt idx="280">
                  <c:v>-0.34597998857498202</c:v>
                </c:pt>
                <c:pt idx="281">
                  <c:v>-0.34597000479698198</c:v>
                </c:pt>
                <c:pt idx="282">
                  <c:v>-0.34593999385833701</c:v>
                </c:pt>
                <c:pt idx="283">
                  <c:v>-0.34569001197814903</c:v>
                </c:pt>
                <c:pt idx="284">
                  <c:v>-0.34569001197814903</c:v>
                </c:pt>
                <c:pt idx="285">
                  <c:v>-0.34564998745918302</c:v>
                </c:pt>
                <c:pt idx="286">
                  <c:v>-0.34510999917983998</c:v>
                </c:pt>
                <c:pt idx="287">
                  <c:v>-0.34492000937461897</c:v>
                </c:pt>
                <c:pt idx="288">
                  <c:v>-0.34492000937461897</c:v>
                </c:pt>
                <c:pt idx="289">
                  <c:v>-0.344900012016296</c:v>
                </c:pt>
                <c:pt idx="290">
                  <c:v>-0.34455001354217502</c:v>
                </c:pt>
                <c:pt idx="291">
                  <c:v>-0.34373998641967801</c:v>
                </c:pt>
                <c:pt idx="292">
                  <c:v>-0.34297001361846902</c:v>
                </c:pt>
                <c:pt idx="293">
                  <c:v>-0.34209999442100503</c:v>
                </c:pt>
                <c:pt idx="294">
                  <c:v>-0.34114000201225297</c:v>
                </c:pt>
                <c:pt idx="295">
                  <c:v>-0.34108999371528598</c:v>
                </c:pt>
                <c:pt idx="296">
                  <c:v>-0.34003001451492298</c:v>
                </c:pt>
                <c:pt idx="297">
                  <c:v>-0.33950001001357999</c:v>
                </c:pt>
                <c:pt idx="298">
                  <c:v>-0.33889999985694902</c:v>
                </c:pt>
                <c:pt idx="299">
                  <c:v>-0.33831000328063998</c:v>
                </c:pt>
                <c:pt idx="300">
                  <c:v>-0.33805999159812899</c:v>
                </c:pt>
                <c:pt idx="301">
                  <c:v>-0.33774000406265298</c:v>
                </c:pt>
                <c:pt idx="302">
                  <c:v>-0.33768001198768599</c:v>
                </c:pt>
                <c:pt idx="303">
                  <c:v>-0.33761999011039701</c:v>
                </c:pt>
                <c:pt idx="304">
                  <c:v>-0.33735999464988697</c:v>
                </c:pt>
                <c:pt idx="305">
                  <c:v>-0.33715999126434298</c:v>
                </c:pt>
                <c:pt idx="306">
                  <c:v>-0.33682999014854398</c:v>
                </c:pt>
                <c:pt idx="307">
                  <c:v>-0.33640000224113498</c:v>
                </c:pt>
                <c:pt idx="308">
                  <c:v>-0.33603999018669101</c:v>
                </c:pt>
                <c:pt idx="309">
                  <c:v>-0.33599001169204701</c:v>
                </c:pt>
                <c:pt idx="310">
                  <c:v>-0.335709989070892</c:v>
                </c:pt>
                <c:pt idx="311">
                  <c:v>-0.33502000570297202</c:v>
                </c:pt>
                <c:pt idx="312">
                  <c:v>-0.33478000760078402</c:v>
                </c:pt>
                <c:pt idx="313">
                  <c:v>-0.33452999591827398</c:v>
                </c:pt>
                <c:pt idx="314">
                  <c:v>-0.334509998559952</c:v>
                </c:pt>
                <c:pt idx="315">
                  <c:v>-0.334470003843307</c:v>
                </c:pt>
                <c:pt idx="316">
                  <c:v>-0.33443999290466297</c:v>
                </c:pt>
                <c:pt idx="317">
                  <c:v>-0.33443000912666299</c:v>
                </c:pt>
                <c:pt idx="318">
                  <c:v>-0.33443999290466297</c:v>
                </c:pt>
                <c:pt idx="319">
                  <c:v>-0.334419995546341</c:v>
                </c:pt>
                <c:pt idx="320">
                  <c:v>-0.33436000347137501</c:v>
                </c:pt>
                <c:pt idx="321">
                  <c:v>-0.334270000457764</c:v>
                </c:pt>
                <c:pt idx="322">
                  <c:v>-0.334039986133575</c:v>
                </c:pt>
                <c:pt idx="323">
                  <c:v>-0.33401998877525302</c:v>
                </c:pt>
                <c:pt idx="324">
                  <c:v>-0.33395001292228699</c:v>
                </c:pt>
                <c:pt idx="325">
                  <c:v>-0.33395001292228699</c:v>
                </c:pt>
                <c:pt idx="326">
                  <c:v>-0.33397001028060902</c:v>
                </c:pt>
                <c:pt idx="327">
                  <c:v>-0.33395001292228699</c:v>
                </c:pt>
                <c:pt idx="328">
                  <c:v>-0.33359000086784402</c:v>
                </c:pt>
                <c:pt idx="329">
                  <c:v>-0.33294001221656799</c:v>
                </c:pt>
                <c:pt idx="330">
                  <c:v>-0.33292999863624601</c:v>
                </c:pt>
                <c:pt idx="331">
                  <c:v>-0.33342999219894398</c:v>
                </c:pt>
                <c:pt idx="332">
                  <c:v>-0.33344000577926602</c:v>
                </c:pt>
                <c:pt idx="333">
                  <c:v>-0.33344998955726601</c:v>
                </c:pt>
                <c:pt idx="334">
                  <c:v>-0.333460003137589</c:v>
                </c:pt>
                <c:pt idx="335">
                  <c:v>-0.33344000577926602</c:v>
                </c:pt>
                <c:pt idx="336">
                  <c:v>-0.33338999748230003</c:v>
                </c:pt>
                <c:pt idx="337">
                  <c:v>-0.33335998654365501</c:v>
                </c:pt>
                <c:pt idx="338">
                  <c:v>-0.33335000276565602</c:v>
                </c:pt>
                <c:pt idx="339">
                  <c:v>-0.33294999599456798</c:v>
                </c:pt>
                <c:pt idx="340">
                  <c:v>-0.33292999863624601</c:v>
                </c:pt>
                <c:pt idx="341">
                  <c:v>-0.33237999677658098</c:v>
                </c:pt>
                <c:pt idx="342">
                  <c:v>-0.33239999413490301</c:v>
                </c:pt>
                <c:pt idx="343">
                  <c:v>-0.33180999755859403</c:v>
                </c:pt>
                <c:pt idx="344">
                  <c:v>-0.33129000663757302</c:v>
                </c:pt>
                <c:pt idx="345">
                  <c:v>-0.33065000176429699</c:v>
                </c:pt>
                <c:pt idx="346">
                  <c:v>-0.329679995775223</c:v>
                </c:pt>
                <c:pt idx="347">
                  <c:v>-0.325230002403259</c:v>
                </c:pt>
                <c:pt idx="348">
                  <c:v>-0.32352998852729797</c:v>
                </c:pt>
                <c:pt idx="349">
                  <c:v>-0.32328000664710999</c:v>
                </c:pt>
                <c:pt idx="350">
                  <c:v>-0.32168000936508201</c:v>
                </c:pt>
                <c:pt idx="351">
                  <c:v>-0.32164999842643699</c:v>
                </c:pt>
                <c:pt idx="352">
                  <c:v>-0.31977999210357699</c:v>
                </c:pt>
                <c:pt idx="353">
                  <c:v>-0.31777000427246099</c:v>
                </c:pt>
                <c:pt idx="354">
                  <c:v>-0.31286999583244302</c:v>
                </c:pt>
                <c:pt idx="355">
                  <c:v>-0.30627000331878701</c:v>
                </c:pt>
                <c:pt idx="356">
                  <c:v>-0.3057000041008</c:v>
                </c:pt>
                <c:pt idx="357">
                  <c:v>-0.30199998617172202</c:v>
                </c:pt>
                <c:pt idx="358">
                  <c:v>-0.29859000444412198</c:v>
                </c:pt>
                <c:pt idx="359">
                  <c:v>-0.29787001013755798</c:v>
                </c:pt>
                <c:pt idx="360">
                  <c:v>-0.29644998908042902</c:v>
                </c:pt>
                <c:pt idx="361">
                  <c:v>-0.29515999555587802</c:v>
                </c:pt>
                <c:pt idx="362">
                  <c:v>-0.290729999542236</c:v>
                </c:pt>
                <c:pt idx="363">
                  <c:v>-0.28830000758171098</c:v>
                </c:pt>
                <c:pt idx="364">
                  <c:v>-0.28573998808860801</c:v>
                </c:pt>
                <c:pt idx="365">
                  <c:v>-0.28573000431060802</c:v>
                </c:pt>
                <c:pt idx="366">
                  <c:v>-0.28453999757766701</c:v>
                </c:pt>
                <c:pt idx="367">
                  <c:v>-0.28396001458168002</c:v>
                </c:pt>
                <c:pt idx="368">
                  <c:v>-0.28420999646186801</c:v>
                </c:pt>
                <c:pt idx="369">
                  <c:v>-0.28134000301361101</c:v>
                </c:pt>
                <c:pt idx="370">
                  <c:v>-0.27959001064300498</c:v>
                </c:pt>
                <c:pt idx="371">
                  <c:v>-0.269430011510849</c:v>
                </c:pt>
                <c:pt idx="372">
                  <c:v>-0.26475998759269698</c:v>
                </c:pt>
                <c:pt idx="373">
                  <c:v>-0.262490004301071</c:v>
                </c:pt>
                <c:pt idx="374">
                  <c:v>-0.26036000251769997</c:v>
                </c:pt>
                <c:pt idx="375">
                  <c:v>-0.25821998715400701</c:v>
                </c:pt>
                <c:pt idx="376">
                  <c:v>-0.25630998611450201</c:v>
                </c:pt>
                <c:pt idx="377">
                  <c:v>-0.25424998998642001</c:v>
                </c:pt>
                <c:pt idx="378">
                  <c:v>-0.24899999797344199</c:v>
                </c:pt>
                <c:pt idx="379">
                  <c:v>-0.24769000709056899</c:v>
                </c:pt>
                <c:pt idx="380">
                  <c:v>-0.24763999879360199</c:v>
                </c:pt>
                <c:pt idx="381">
                  <c:v>-0.24779999256134</c:v>
                </c:pt>
                <c:pt idx="382">
                  <c:v>-0.24604000151157401</c:v>
                </c:pt>
                <c:pt idx="383">
                  <c:v>-0.24499000608921101</c:v>
                </c:pt>
                <c:pt idx="384">
                  <c:v>-0.24526999890804299</c:v>
                </c:pt>
                <c:pt idx="385">
                  <c:v>-0.24300000071525599</c:v>
                </c:pt>
                <c:pt idx="386">
                  <c:v>-0.2430399954319</c:v>
                </c:pt>
                <c:pt idx="387">
                  <c:v>-0.24307000637054399</c:v>
                </c:pt>
                <c:pt idx="388">
                  <c:v>-0.24156999588012701</c:v>
                </c:pt>
                <c:pt idx="389">
                  <c:v>-0.240669995546341</c:v>
                </c:pt>
                <c:pt idx="390">
                  <c:v>-0.23589999973774001</c:v>
                </c:pt>
                <c:pt idx="391">
                  <c:v>-0.23357999324798601</c:v>
                </c:pt>
                <c:pt idx="392">
                  <c:v>-0.23210999369621299</c:v>
                </c:pt>
                <c:pt idx="393">
                  <c:v>-0.229420006275177</c:v>
                </c:pt>
                <c:pt idx="394">
                  <c:v>-0.228679999709129</c:v>
                </c:pt>
                <c:pt idx="395">
                  <c:v>-0.228660002350807</c:v>
                </c:pt>
                <c:pt idx="396">
                  <c:v>-0.22592000663280501</c:v>
                </c:pt>
                <c:pt idx="397">
                  <c:v>-0.22612999379634899</c:v>
                </c:pt>
                <c:pt idx="398">
                  <c:v>-0.226140007376671</c:v>
                </c:pt>
                <c:pt idx="399">
                  <c:v>-0.22363999485969499</c:v>
                </c:pt>
                <c:pt idx="400">
                  <c:v>-0.21950000524520899</c:v>
                </c:pt>
                <c:pt idx="401">
                  <c:v>-0.215759992599487</c:v>
                </c:pt>
                <c:pt idx="402">
                  <c:v>-0.21573999524116499</c:v>
                </c:pt>
                <c:pt idx="403">
                  <c:v>-0.21304999291896801</c:v>
                </c:pt>
                <c:pt idx="404">
                  <c:v>-0.20703999698162101</c:v>
                </c:pt>
                <c:pt idx="405">
                  <c:v>-0.201949998736382</c:v>
                </c:pt>
                <c:pt idx="406">
                  <c:v>-0.18765999376773801</c:v>
                </c:pt>
                <c:pt idx="407">
                  <c:v>-0.17263999581337</c:v>
                </c:pt>
                <c:pt idx="408">
                  <c:v>-0.154479995369911</c:v>
                </c:pt>
                <c:pt idx="409">
                  <c:v>-0.14640000462531999</c:v>
                </c:pt>
                <c:pt idx="410">
                  <c:v>-0.143810003995895</c:v>
                </c:pt>
                <c:pt idx="411">
                  <c:v>-0.13808000087738001</c:v>
                </c:pt>
                <c:pt idx="412">
                  <c:v>-0.131319999694824</c:v>
                </c:pt>
                <c:pt idx="413">
                  <c:v>-0.118919998407364</c:v>
                </c:pt>
                <c:pt idx="414">
                  <c:v>-0.110550001263618</c:v>
                </c:pt>
                <c:pt idx="415">
                  <c:v>-0.10102999955415699</c:v>
                </c:pt>
                <c:pt idx="416">
                  <c:v>-8.6269997060298906E-2</c:v>
                </c:pt>
                <c:pt idx="417">
                  <c:v>-8.3070002496242495E-2</c:v>
                </c:pt>
                <c:pt idx="418">
                  <c:v>-6.7429997026920305E-2</c:v>
                </c:pt>
                <c:pt idx="419">
                  <c:v>-6.5470002591609996E-2</c:v>
                </c:pt>
                <c:pt idx="420">
                  <c:v>-5.6419998407363899E-2</c:v>
                </c:pt>
                <c:pt idx="421">
                  <c:v>-4.32399995625019E-2</c:v>
                </c:pt>
                <c:pt idx="422">
                  <c:v>-3.95600013434887E-2</c:v>
                </c:pt>
                <c:pt idx="423">
                  <c:v>-3.4570001065731E-2</c:v>
                </c:pt>
                <c:pt idx="424">
                  <c:v>-3.2049998641014099E-2</c:v>
                </c:pt>
                <c:pt idx="425">
                  <c:v>-9.9799996241927095E-3</c:v>
                </c:pt>
                <c:pt idx="426">
                  <c:v>-7.7599999494850601E-3</c:v>
                </c:pt>
                <c:pt idx="427">
                  <c:v>-2.4099999573081701E-3</c:v>
                </c:pt>
                <c:pt idx="428">
                  <c:v>-2.4099999573081701E-3</c:v>
                </c:pt>
                <c:pt idx="429">
                  <c:v>5.0000002374872598E-4</c:v>
                </c:pt>
                <c:pt idx="430">
                  <c:v>6.2799998559057704E-3</c:v>
                </c:pt>
                <c:pt idx="431">
                  <c:v>1.1140000075101899E-2</c:v>
                </c:pt>
                <c:pt idx="432">
                  <c:v>2.0749999210238498E-2</c:v>
                </c:pt>
                <c:pt idx="433">
                  <c:v>2.5119999423623099E-2</c:v>
                </c:pt>
                <c:pt idx="434">
                  <c:v>3.2760001718997997E-2</c:v>
                </c:pt>
                <c:pt idx="435">
                  <c:v>3.95400002598763E-2</c:v>
                </c:pt>
                <c:pt idx="436">
                  <c:v>4.7129999846220003E-2</c:v>
                </c:pt>
                <c:pt idx="437">
                  <c:v>5.5410001426935203E-2</c:v>
                </c:pt>
                <c:pt idx="438">
                  <c:v>6.4410001039505005E-2</c:v>
                </c:pt>
                <c:pt idx="439">
                  <c:v>6.8439997732639299E-2</c:v>
                </c:pt>
                <c:pt idx="440">
                  <c:v>7.2779998183250399E-2</c:v>
                </c:pt>
                <c:pt idx="441">
                  <c:v>7.3200002312660203E-2</c:v>
                </c:pt>
                <c:pt idx="442">
                  <c:v>7.7179998159408597E-2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B2-4B73-892A-D428728E043A}"/>
            </c:ext>
          </c:extLst>
        </c:ser>
        <c:ser>
          <c:idx val="2"/>
          <c:order val="2"/>
          <c:tx>
            <c:v>Pomiar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'2'!$L$34:$L$380</c:f>
                <c:numCache>
                  <c:formatCode>General</c:formatCode>
                  <c:ptCount val="347"/>
                  <c:pt idx="0">
                    <c:v>-8.0299999999999996E-2</c:v>
                  </c:pt>
                  <c:pt idx="1">
                    <c:v>-7.8E-2</c:v>
                  </c:pt>
                  <c:pt idx="2">
                    <c:v>-7.8E-2</c:v>
                  </c:pt>
                  <c:pt idx="3">
                    <c:v>-7.8E-2</c:v>
                  </c:pt>
                  <c:pt idx="4">
                    <c:v>-7.8E-2</c:v>
                  </c:pt>
                  <c:pt idx="5">
                    <c:v>-7.7200000000000005E-2</c:v>
                  </c:pt>
                  <c:pt idx="6">
                    <c:v>-7.7300000000000008E-2</c:v>
                  </c:pt>
                  <c:pt idx="7">
                    <c:v>-7.5200000000000003E-2</c:v>
                  </c:pt>
                  <c:pt idx="8">
                    <c:v>-7.2400000000000006E-2</c:v>
                  </c:pt>
                  <c:pt idx="9">
                    <c:v>-7.2400000000000006E-2</c:v>
                  </c:pt>
                  <c:pt idx="10">
                    <c:v>-7.2400000000000006E-2</c:v>
                  </c:pt>
                  <c:pt idx="11">
                    <c:v>-7.1599999999999997E-2</c:v>
                  </c:pt>
                  <c:pt idx="12">
                    <c:v>-7.0900000000000005E-2</c:v>
                  </c:pt>
                  <c:pt idx="13">
                    <c:v>-7.010000000000001E-2</c:v>
                  </c:pt>
                  <c:pt idx="14">
                    <c:v>-6.9800000000000001E-2</c:v>
                  </c:pt>
                  <c:pt idx="15">
                    <c:v>-6.7900000000000002E-2</c:v>
                  </c:pt>
                  <c:pt idx="16">
                    <c:v>-6.6700000000000009E-2</c:v>
                  </c:pt>
                  <c:pt idx="17">
                    <c:v>-6.6700000000000009E-2</c:v>
                  </c:pt>
                  <c:pt idx="18">
                    <c:v>-6.5200000000000008E-2</c:v>
                  </c:pt>
                  <c:pt idx="19">
                    <c:v>-6.5100000000000005E-2</c:v>
                  </c:pt>
                  <c:pt idx="20">
                    <c:v>-6.2400000000000004E-2</c:v>
                  </c:pt>
                  <c:pt idx="21">
                    <c:v>-5.96E-2</c:v>
                  </c:pt>
                  <c:pt idx="22">
                    <c:v>-5.9400000000000001E-2</c:v>
                  </c:pt>
                  <c:pt idx="23">
                    <c:v>-5.8800000000000005E-2</c:v>
                  </c:pt>
                  <c:pt idx="24">
                    <c:v>-5.4000000000000006E-2</c:v>
                  </c:pt>
                  <c:pt idx="25">
                    <c:v>-5.2500000000000005E-2</c:v>
                  </c:pt>
                  <c:pt idx="26">
                    <c:v>-5.1200000000000002E-2</c:v>
                  </c:pt>
                  <c:pt idx="27">
                    <c:v>-5.1200000000000002E-2</c:v>
                  </c:pt>
                  <c:pt idx="28">
                    <c:v>-4.7300000000000002E-2</c:v>
                  </c:pt>
                  <c:pt idx="29">
                    <c:v>-4.5900000000000003E-2</c:v>
                  </c:pt>
                  <c:pt idx="30">
                    <c:v>-4.5500000000000006E-2</c:v>
                  </c:pt>
                  <c:pt idx="31">
                    <c:v>-4.4700000000000004E-2</c:v>
                  </c:pt>
                  <c:pt idx="32">
                    <c:v>-4.3800000000000006E-2</c:v>
                  </c:pt>
                  <c:pt idx="33">
                    <c:v>-4.2600000000000006E-2</c:v>
                  </c:pt>
                  <c:pt idx="34">
                    <c:v>-4.2600000000000006E-2</c:v>
                  </c:pt>
                  <c:pt idx="35">
                    <c:v>-4.1200000000000001E-2</c:v>
                  </c:pt>
                  <c:pt idx="36">
                    <c:v>-0.04</c:v>
                  </c:pt>
                  <c:pt idx="37">
                    <c:v>-3.9800000000000002E-2</c:v>
                  </c:pt>
                  <c:pt idx="38">
                    <c:v>-3.8400000000000004E-2</c:v>
                  </c:pt>
                  <c:pt idx="39">
                    <c:v>6.0000000000000006E-4</c:v>
                  </c:pt>
                  <c:pt idx="40">
                    <c:v>-3.39E-2</c:v>
                  </c:pt>
                  <c:pt idx="41">
                    <c:v>-3.3600000000000005E-2</c:v>
                  </c:pt>
                  <c:pt idx="42">
                    <c:v>-3.2800000000000003E-2</c:v>
                  </c:pt>
                  <c:pt idx="43">
                    <c:v>-3.1199999999999999E-2</c:v>
                  </c:pt>
                  <c:pt idx="44">
                    <c:v>-0.03</c:v>
                  </c:pt>
                  <c:pt idx="45">
                    <c:v>-2.93E-2</c:v>
                  </c:pt>
                  <c:pt idx="46">
                    <c:v>-2.8500000000000001E-2</c:v>
                  </c:pt>
                  <c:pt idx="47">
                    <c:v>-2.8500000000000001E-2</c:v>
                  </c:pt>
                  <c:pt idx="48">
                    <c:v>-2.7400000000000001E-2</c:v>
                  </c:pt>
                  <c:pt idx="49">
                    <c:v>-2.7099999999999999E-2</c:v>
                  </c:pt>
                  <c:pt idx="50">
                    <c:v>-2.5700000000000001E-2</c:v>
                  </c:pt>
                  <c:pt idx="51">
                    <c:v>-2.4299999999999999E-2</c:v>
                  </c:pt>
                  <c:pt idx="52">
                    <c:v>-2.3699999999999999E-2</c:v>
                  </c:pt>
                  <c:pt idx="53">
                    <c:v>-2.2599999999999999E-2</c:v>
                  </c:pt>
                  <c:pt idx="54">
                    <c:v>-2.07E-2</c:v>
                  </c:pt>
                  <c:pt idx="55">
                    <c:v>-1.8599999999999998E-2</c:v>
                  </c:pt>
                  <c:pt idx="56">
                    <c:v>-1.5599999999999999E-2</c:v>
                  </c:pt>
                  <c:pt idx="57">
                    <c:v>-1.3299999999999999E-2</c:v>
                  </c:pt>
                  <c:pt idx="58">
                    <c:v>-1.06E-2</c:v>
                  </c:pt>
                  <c:pt idx="59">
                    <c:v>-8.7999999999999988E-3</c:v>
                  </c:pt>
                  <c:pt idx="60">
                    <c:v>-1.8E-3</c:v>
                  </c:pt>
                  <c:pt idx="61">
                    <c:v>2.0000000000000001E-4</c:v>
                  </c:pt>
                  <c:pt idx="62">
                    <c:v>1.1000000000000001E-3</c:v>
                  </c:pt>
                  <c:pt idx="63">
                    <c:v>1.2000000000000001E-3</c:v>
                  </c:pt>
                  <c:pt idx="64">
                    <c:v>4.0000000000000001E-3</c:v>
                  </c:pt>
                  <c:pt idx="65">
                    <c:v>4.1000000000000003E-3</c:v>
                  </c:pt>
                  <c:pt idx="66">
                    <c:v>5.4000000000000003E-3</c:v>
                  </c:pt>
                  <c:pt idx="67">
                    <c:v>6.0000000000000001E-3</c:v>
                  </c:pt>
                  <c:pt idx="68">
                    <c:v>6.8000000000000005E-3</c:v>
                  </c:pt>
                  <c:pt idx="69">
                    <c:v>7.4000000000000003E-3</c:v>
                  </c:pt>
                  <c:pt idx="70">
                    <c:v>8.199999999999999E-3</c:v>
                  </c:pt>
                  <c:pt idx="71">
                    <c:v>8.199999999999999E-3</c:v>
                  </c:pt>
                  <c:pt idx="72">
                    <c:v>8.3000000000000001E-3</c:v>
                  </c:pt>
                  <c:pt idx="73">
                    <c:v>8.9999999999999993E-3</c:v>
                  </c:pt>
                  <c:pt idx="74">
                    <c:v>9.5999999999999992E-3</c:v>
                  </c:pt>
                  <c:pt idx="75">
                    <c:v>1.06E-2</c:v>
                  </c:pt>
                  <c:pt idx="76">
                    <c:v>1.1099999999999999E-2</c:v>
                  </c:pt>
                  <c:pt idx="77">
                    <c:v>1.1099999999999999E-2</c:v>
                  </c:pt>
                  <c:pt idx="78">
                    <c:v>1.1099999999999999E-2</c:v>
                  </c:pt>
                  <c:pt idx="79">
                    <c:v>1.1099999999999999E-2</c:v>
                  </c:pt>
                  <c:pt idx="80">
                    <c:v>1.1299999999999999E-2</c:v>
                  </c:pt>
                  <c:pt idx="81">
                    <c:v>1.2499999999999999E-2</c:v>
                  </c:pt>
                  <c:pt idx="82">
                    <c:v>1.2499999999999999E-2</c:v>
                  </c:pt>
                  <c:pt idx="83">
                    <c:v>1.3899999999999999E-2</c:v>
                  </c:pt>
                  <c:pt idx="84">
                    <c:v>1.44E-2</c:v>
                  </c:pt>
                  <c:pt idx="85">
                    <c:v>1.4799999999999999E-2</c:v>
                  </c:pt>
                  <c:pt idx="86">
                    <c:v>1.5299999999999999E-2</c:v>
                  </c:pt>
                  <c:pt idx="87">
                    <c:v>1.5299999999999999E-2</c:v>
                  </c:pt>
                  <c:pt idx="88">
                    <c:v>1.5699999999999999E-2</c:v>
                  </c:pt>
                  <c:pt idx="89">
                    <c:v>2.0999999999999998E-2</c:v>
                  </c:pt>
                  <c:pt idx="90">
                    <c:v>2.76E-2</c:v>
                  </c:pt>
                  <c:pt idx="91">
                    <c:v>3.0800000000000001E-2</c:v>
                  </c:pt>
                  <c:pt idx="92">
                    <c:v>3.3600000000000005E-2</c:v>
                  </c:pt>
                  <c:pt idx="93">
                    <c:v>3.4100000000000005E-2</c:v>
                  </c:pt>
                  <c:pt idx="94">
                    <c:v>3.5000000000000003E-2</c:v>
                  </c:pt>
                  <c:pt idx="95">
                    <c:v>3.6400000000000002E-2</c:v>
                  </c:pt>
                  <c:pt idx="96">
                    <c:v>3.78E-2</c:v>
                  </c:pt>
                  <c:pt idx="97">
                    <c:v>3.85E-2</c:v>
                  </c:pt>
                  <c:pt idx="98">
                    <c:v>4.3400000000000001E-2</c:v>
                  </c:pt>
                  <c:pt idx="99">
                    <c:v>3.9300000000000002E-2</c:v>
                  </c:pt>
                  <c:pt idx="100">
                    <c:v>3.9300000000000002E-2</c:v>
                  </c:pt>
                  <c:pt idx="101">
                    <c:v>4.0900000000000006E-2</c:v>
                  </c:pt>
                  <c:pt idx="102">
                    <c:v>4.48E-2</c:v>
                  </c:pt>
                  <c:pt idx="103">
                    <c:v>4.4900000000000002E-2</c:v>
                  </c:pt>
                  <c:pt idx="104">
                    <c:v>4.4900000000000002E-2</c:v>
                  </c:pt>
                  <c:pt idx="105">
                    <c:v>4.53E-2</c:v>
                  </c:pt>
                  <c:pt idx="106">
                    <c:v>4.7E-2</c:v>
                  </c:pt>
                  <c:pt idx="107">
                    <c:v>4.8300000000000003E-2</c:v>
                  </c:pt>
                  <c:pt idx="108">
                    <c:v>5.11E-2</c:v>
                  </c:pt>
                  <c:pt idx="109">
                    <c:v>5.1900000000000002E-2</c:v>
                  </c:pt>
                  <c:pt idx="110">
                    <c:v>5.21E-2</c:v>
                  </c:pt>
                  <c:pt idx="111">
                    <c:v>5.33E-2</c:v>
                  </c:pt>
                  <c:pt idx="112">
                    <c:v>5.67E-2</c:v>
                  </c:pt>
                  <c:pt idx="113">
                    <c:v>5.9700000000000003E-2</c:v>
                  </c:pt>
                  <c:pt idx="114">
                    <c:v>6.1600000000000002E-2</c:v>
                  </c:pt>
                  <c:pt idx="115">
                    <c:v>6.2899999999999998E-2</c:v>
                  </c:pt>
                  <c:pt idx="116">
                    <c:v>6.4500000000000002E-2</c:v>
                  </c:pt>
                  <c:pt idx="117">
                    <c:v>6.8100000000000008E-2</c:v>
                  </c:pt>
                  <c:pt idx="118">
                    <c:v>7.010000000000001E-2</c:v>
                  </c:pt>
                  <c:pt idx="119">
                    <c:v>7.1800000000000003E-2</c:v>
                  </c:pt>
                  <c:pt idx="120">
                    <c:v>7.7200000000000005E-2</c:v>
                  </c:pt>
                  <c:pt idx="121">
                    <c:v>7.8800000000000009E-2</c:v>
                  </c:pt>
                  <c:pt idx="122">
                    <c:v>8.1299999999999997E-2</c:v>
                  </c:pt>
                  <c:pt idx="123">
                    <c:v>8.1500000000000003E-2</c:v>
                  </c:pt>
                  <c:pt idx="124">
                    <c:v>8.1299999999999997E-2</c:v>
                  </c:pt>
                  <c:pt idx="125">
                    <c:v>8.3400000000000002E-2</c:v>
                  </c:pt>
                  <c:pt idx="126">
                    <c:v>8.5000000000000006E-2</c:v>
                  </c:pt>
                  <c:pt idx="127">
                    <c:v>8.7000000000000008E-2</c:v>
                  </c:pt>
                  <c:pt idx="128">
                    <c:v>8.9300000000000004E-2</c:v>
                  </c:pt>
                  <c:pt idx="129">
                    <c:v>8.9800000000000005E-2</c:v>
                  </c:pt>
                  <c:pt idx="130">
                    <c:v>8.9800000000000005E-2</c:v>
                  </c:pt>
                  <c:pt idx="131">
                    <c:v>9.0900000000000009E-2</c:v>
                  </c:pt>
                  <c:pt idx="132">
                    <c:v>9.1200000000000003E-2</c:v>
                  </c:pt>
                  <c:pt idx="133">
                    <c:v>9.2600000000000002E-2</c:v>
                  </c:pt>
                  <c:pt idx="134">
                    <c:v>9.3300000000000008E-2</c:v>
                  </c:pt>
                  <c:pt idx="135">
                    <c:v>9.820000000000001E-2</c:v>
                  </c:pt>
                  <c:pt idx="136">
                    <c:v>0.1003</c:v>
                  </c:pt>
                  <c:pt idx="137">
                    <c:v>0.1038</c:v>
                  </c:pt>
                  <c:pt idx="138">
                    <c:v>0.1085</c:v>
                  </c:pt>
                  <c:pt idx="139">
                    <c:v>0.1119</c:v>
                  </c:pt>
                  <c:pt idx="140">
                    <c:v>0.11560000000000001</c:v>
                  </c:pt>
                  <c:pt idx="141">
                    <c:v>0.1179</c:v>
                  </c:pt>
                  <c:pt idx="142">
                    <c:v>0.11990000000000001</c:v>
                  </c:pt>
                  <c:pt idx="143">
                    <c:v>0.12190000000000001</c:v>
                  </c:pt>
                  <c:pt idx="144">
                    <c:v>0.1236</c:v>
                  </c:pt>
                  <c:pt idx="145">
                    <c:v>0.12669999999999998</c:v>
                  </c:pt>
                  <c:pt idx="146">
                    <c:v>0.1381</c:v>
                  </c:pt>
                  <c:pt idx="147">
                    <c:v>0.14209999999999998</c:v>
                  </c:pt>
                  <c:pt idx="148">
                    <c:v>0.14249999999999999</c:v>
                  </c:pt>
                  <c:pt idx="149">
                    <c:v>0.14329999999999998</c:v>
                  </c:pt>
                  <c:pt idx="150">
                    <c:v>0.15089999999999998</c:v>
                  </c:pt>
                  <c:pt idx="151">
                    <c:v>0.15179999999999999</c:v>
                  </c:pt>
                  <c:pt idx="152">
                    <c:v>0.1525</c:v>
                  </c:pt>
                  <c:pt idx="153">
                    <c:v>0.15509999999999999</c:v>
                  </c:pt>
                  <c:pt idx="154">
                    <c:v>0.1565</c:v>
                  </c:pt>
                  <c:pt idx="155">
                    <c:v>0.15659999999999999</c:v>
                  </c:pt>
                  <c:pt idx="156">
                    <c:v>0.15789999999999998</c:v>
                  </c:pt>
                  <c:pt idx="157">
                    <c:v>0.1593</c:v>
                  </c:pt>
                  <c:pt idx="158">
                    <c:v>0.16209999999999999</c:v>
                  </c:pt>
                  <c:pt idx="159">
                    <c:v>0.1653</c:v>
                  </c:pt>
                  <c:pt idx="160">
                    <c:v>0.1681</c:v>
                  </c:pt>
                  <c:pt idx="161">
                    <c:v>0.1711</c:v>
                  </c:pt>
                  <c:pt idx="162">
                    <c:v>0.17459999999999998</c:v>
                  </c:pt>
                  <c:pt idx="163">
                    <c:v>0.17609999999999998</c:v>
                  </c:pt>
                  <c:pt idx="164">
                    <c:v>0.17829999999999999</c:v>
                  </c:pt>
                  <c:pt idx="165">
                    <c:v>0.18029999999999999</c:v>
                  </c:pt>
                  <c:pt idx="166">
                    <c:v>0.1817</c:v>
                  </c:pt>
                  <c:pt idx="167">
                    <c:v>0.19239999999999999</c:v>
                  </c:pt>
                  <c:pt idx="168">
                    <c:v>0.1948</c:v>
                  </c:pt>
                  <c:pt idx="169">
                    <c:v>0.19939999999999999</c:v>
                  </c:pt>
                  <c:pt idx="170">
                    <c:v>0.19649999999999998</c:v>
                  </c:pt>
                  <c:pt idx="171">
                    <c:v>0.19899999999999998</c:v>
                  </c:pt>
                  <c:pt idx="172">
                    <c:v>0.20019999999999999</c:v>
                  </c:pt>
                  <c:pt idx="173">
                    <c:v>0.20279999999999998</c:v>
                  </c:pt>
                  <c:pt idx="174">
                    <c:v>0.20449999999999999</c:v>
                  </c:pt>
                  <c:pt idx="175">
                    <c:v>0.20609999999999998</c:v>
                  </c:pt>
                  <c:pt idx="176">
                    <c:v>0.20709999999999998</c:v>
                  </c:pt>
                  <c:pt idx="177">
                    <c:v>0.20829999999999999</c:v>
                  </c:pt>
                  <c:pt idx="178">
                    <c:v>0.20909999999999998</c:v>
                  </c:pt>
                  <c:pt idx="179">
                    <c:v>0.21149999999999999</c:v>
                  </c:pt>
                  <c:pt idx="180">
                    <c:v>0.21459999999999999</c:v>
                  </c:pt>
                  <c:pt idx="181">
                    <c:v>0.21759999999999999</c:v>
                  </c:pt>
                  <c:pt idx="182">
                    <c:v>0.21969999999999998</c:v>
                  </c:pt>
                  <c:pt idx="183">
                    <c:v>0.2213</c:v>
                  </c:pt>
                  <c:pt idx="184">
                    <c:v>0.22559999999999999</c:v>
                  </c:pt>
                  <c:pt idx="185">
                    <c:v>0.2278</c:v>
                  </c:pt>
                  <c:pt idx="186">
                    <c:v>0.22879999999999998</c:v>
                  </c:pt>
                  <c:pt idx="187">
                    <c:v>0.2329</c:v>
                  </c:pt>
                  <c:pt idx="188">
                    <c:v>0.2349</c:v>
                  </c:pt>
                  <c:pt idx="189">
                    <c:v>0.23629999999999998</c:v>
                  </c:pt>
                  <c:pt idx="190">
                    <c:v>0.2384</c:v>
                  </c:pt>
                  <c:pt idx="191">
                    <c:v>0.2397</c:v>
                  </c:pt>
                  <c:pt idx="192">
                    <c:v>0.25190000000000001</c:v>
                  </c:pt>
                  <c:pt idx="193">
                    <c:v>0.254</c:v>
                  </c:pt>
                  <c:pt idx="194">
                    <c:v>0.2581</c:v>
                  </c:pt>
                  <c:pt idx="195">
                    <c:v>0.2601</c:v>
                  </c:pt>
                  <c:pt idx="196">
                    <c:v>0.26139999999999997</c:v>
                  </c:pt>
                  <c:pt idx="197">
                    <c:v>0.26429999999999998</c:v>
                  </c:pt>
                  <c:pt idx="198">
                    <c:v>0.26550000000000001</c:v>
                  </c:pt>
                  <c:pt idx="199">
                    <c:v>0.26589999999999997</c:v>
                  </c:pt>
                  <c:pt idx="200">
                    <c:v>0.2661</c:v>
                  </c:pt>
                  <c:pt idx="201">
                    <c:v>0.2661</c:v>
                  </c:pt>
                  <c:pt idx="202">
                    <c:v>0.26569999999999999</c:v>
                  </c:pt>
                  <c:pt idx="203">
                    <c:v>0.26949999999999996</c:v>
                  </c:pt>
                  <c:pt idx="204">
                    <c:v>0.2707</c:v>
                  </c:pt>
                  <c:pt idx="205">
                    <c:v>0.2707</c:v>
                  </c:pt>
                  <c:pt idx="206">
                    <c:v>0.2707</c:v>
                  </c:pt>
                  <c:pt idx="207">
                    <c:v>0.27160000000000001</c:v>
                  </c:pt>
                  <c:pt idx="208">
                    <c:v>0.27329999999999999</c:v>
                  </c:pt>
                  <c:pt idx="209">
                    <c:v>0.2737</c:v>
                  </c:pt>
                  <c:pt idx="210">
                    <c:v>0.27449999999999997</c:v>
                  </c:pt>
                  <c:pt idx="211">
                    <c:v>0.27449999999999997</c:v>
                  </c:pt>
                  <c:pt idx="212">
                    <c:v>0.27579999999999999</c:v>
                  </c:pt>
                  <c:pt idx="213">
                    <c:v>0.27699999999999997</c:v>
                  </c:pt>
                  <c:pt idx="214">
                    <c:v>0.27839999999999998</c:v>
                  </c:pt>
                  <c:pt idx="215">
                    <c:v>0.27860000000000001</c:v>
                  </c:pt>
                  <c:pt idx="216">
                    <c:v>0.27960000000000002</c:v>
                  </c:pt>
                  <c:pt idx="217">
                    <c:v>0.28089999999999998</c:v>
                  </c:pt>
                  <c:pt idx="218">
                    <c:v>0.2823</c:v>
                  </c:pt>
                  <c:pt idx="219">
                    <c:v>0.28349999999999997</c:v>
                  </c:pt>
                  <c:pt idx="220">
                    <c:v>0.2848</c:v>
                  </c:pt>
                  <c:pt idx="221">
                    <c:v>0.28570000000000001</c:v>
                  </c:pt>
                  <c:pt idx="222">
                    <c:v>0.28609999999999997</c:v>
                  </c:pt>
                  <c:pt idx="223">
                    <c:v>0.28770000000000001</c:v>
                  </c:pt>
                  <c:pt idx="224">
                    <c:v>0.28909999999999997</c:v>
                  </c:pt>
                  <c:pt idx="225">
                    <c:v>0.29109999999999997</c:v>
                  </c:pt>
                  <c:pt idx="226">
                    <c:v>0.29609999999999997</c:v>
                  </c:pt>
                  <c:pt idx="227">
                    <c:v>0.29730000000000001</c:v>
                  </c:pt>
                  <c:pt idx="228">
                    <c:v>0.2979</c:v>
                  </c:pt>
                  <c:pt idx="229">
                    <c:v>0.2984</c:v>
                  </c:pt>
                  <c:pt idx="230">
                    <c:v>0.30049999999999999</c:v>
                  </c:pt>
                  <c:pt idx="231">
                    <c:v>0.30119999999999997</c:v>
                  </c:pt>
                  <c:pt idx="232">
                    <c:v>0.30299999999999999</c:v>
                  </c:pt>
                  <c:pt idx="233">
                    <c:v>0.30319999999999997</c:v>
                  </c:pt>
                  <c:pt idx="234">
                    <c:v>0.30309999999999998</c:v>
                  </c:pt>
                  <c:pt idx="235">
                    <c:v>0.30449999999999999</c:v>
                  </c:pt>
                  <c:pt idx="236">
                    <c:v>0.3054</c:v>
                  </c:pt>
                  <c:pt idx="237">
                    <c:v>0.30569999999999997</c:v>
                  </c:pt>
                  <c:pt idx="238">
                    <c:v>0.30740000000000001</c:v>
                  </c:pt>
                  <c:pt idx="239">
                    <c:v>0.30769999999999997</c:v>
                  </c:pt>
                  <c:pt idx="240">
                    <c:v>0.3085</c:v>
                  </c:pt>
                  <c:pt idx="241">
                    <c:v>0.30890000000000001</c:v>
                  </c:pt>
                  <c:pt idx="242">
                    <c:v>0.31029999999999996</c:v>
                  </c:pt>
                  <c:pt idx="243">
                    <c:v>0.31019999999999998</c:v>
                  </c:pt>
                  <c:pt idx="244">
                    <c:v>0.31129999999999997</c:v>
                  </c:pt>
                  <c:pt idx="245">
                    <c:v>0.31129999999999997</c:v>
                  </c:pt>
                  <c:pt idx="246">
                    <c:v>0.31219999999999998</c:v>
                  </c:pt>
                  <c:pt idx="247">
                    <c:v>0.31229999999999997</c:v>
                  </c:pt>
                  <c:pt idx="248">
                    <c:v>0.31359999999999999</c:v>
                  </c:pt>
                  <c:pt idx="249">
                    <c:v>0.316</c:v>
                  </c:pt>
                  <c:pt idx="250">
                    <c:v>0.31609999999999999</c:v>
                  </c:pt>
                  <c:pt idx="251">
                    <c:v>0.31609999999999999</c:v>
                  </c:pt>
                  <c:pt idx="252">
                    <c:v>0.317</c:v>
                  </c:pt>
                  <c:pt idx="253">
                    <c:v>0.31850000000000001</c:v>
                  </c:pt>
                  <c:pt idx="254">
                    <c:v>0.32050000000000001</c:v>
                  </c:pt>
                  <c:pt idx="255">
                    <c:v>0.32169999999999999</c:v>
                  </c:pt>
                  <c:pt idx="256">
                    <c:v>0.32289999999999996</c:v>
                  </c:pt>
                  <c:pt idx="257">
                    <c:v>0.32269999999999999</c:v>
                  </c:pt>
                  <c:pt idx="258">
                    <c:v>0.32289999999999996</c:v>
                  </c:pt>
                  <c:pt idx="259">
                    <c:v>0.3241</c:v>
                  </c:pt>
                  <c:pt idx="260">
                    <c:v>0.3296</c:v>
                  </c:pt>
                  <c:pt idx="261">
                    <c:v>0.3301</c:v>
                  </c:pt>
                  <c:pt idx="262">
                    <c:v>0.33089999999999997</c:v>
                  </c:pt>
                  <c:pt idx="263">
                    <c:v>0.33089999999999997</c:v>
                  </c:pt>
                  <c:pt idx="264">
                    <c:v>0.33399999999999996</c:v>
                  </c:pt>
                  <c:pt idx="265">
                    <c:v>0.33510000000000001</c:v>
                  </c:pt>
                  <c:pt idx="266">
                    <c:v>0.3352</c:v>
                  </c:pt>
                  <c:pt idx="267">
                    <c:v>0.3352</c:v>
                  </c:pt>
                  <c:pt idx="268">
                    <c:v>0.3357</c:v>
                  </c:pt>
                  <c:pt idx="269">
                    <c:v>0.33799999999999997</c:v>
                  </c:pt>
                  <c:pt idx="270">
                    <c:v>0.34049999999999997</c:v>
                  </c:pt>
                  <c:pt idx="271">
                    <c:v>0.3417</c:v>
                  </c:pt>
                  <c:pt idx="272">
                    <c:v>0.34320000000000001</c:v>
                  </c:pt>
                  <c:pt idx="273">
                    <c:v>0.34449999999999997</c:v>
                  </c:pt>
                  <c:pt idx="274">
                    <c:v>0.34489999999999998</c:v>
                  </c:pt>
                  <c:pt idx="275">
                    <c:v>0.34670000000000001</c:v>
                  </c:pt>
                  <c:pt idx="276">
                    <c:v>0.34759999999999996</c:v>
                  </c:pt>
                  <c:pt idx="277">
                    <c:v>0.34720000000000001</c:v>
                  </c:pt>
                  <c:pt idx="278">
                    <c:v>0.34820000000000001</c:v>
                  </c:pt>
                  <c:pt idx="279">
                    <c:v>0.34889999999999999</c:v>
                  </c:pt>
                  <c:pt idx="280">
                    <c:v>0.34970000000000001</c:v>
                  </c:pt>
                  <c:pt idx="281">
                    <c:v>0.35070000000000001</c:v>
                  </c:pt>
                  <c:pt idx="282">
                    <c:v>0.35070000000000001</c:v>
                  </c:pt>
                  <c:pt idx="283">
                    <c:v>0.35170000000000001</c:v>
                  </c:pt>
                  <c:pt idx="284">
                    <c:v>0.35409999999999997</c:v>
                  </c:pt>
                  <c:pt idx="285">
                    <c:v>0.35459999999999997</c:v>
                  </c:pt>
                  <c:pt idx="286">
                    <c:v>0.35570000000000002</c:v>
                  </c:pt>
                  <c:pt idx="287">
                    <c:v>0.35669999999999996</c:v>
                  </c:pt>
                  <c:pt idx="288">
                    <c:v>0.35680000000000001</c:v>
                  </c:pt>
                  <c:pt idx="289">
                    <c:v>0.35769999999999996</c:v>
                  </c:pt>
                  <c:pt idx="290">
                    <c:v>0.35799999999999998</c:v>
                  </c:pt>
                  <c:pt idx="291">
                    <c:v>0.35880000000000001</c:v>
                  </c:pt>
                  <c:pt idx="292">
                    <c:v>0.35869999999999996</c:v>
                  </c:pt>
                  <c:pt idx="293">
                    <c:v>0.35880000000000001</c:v>
                  </c:pt>
                  <c:pt idx="294">
                    <c:v>0.35949999999999999</c:v>
                  </c:pt>
                  <c:pt idx="295">
                    <c:v>0.36009999999999998</c:v>
                  </c:pt>
                  <c:pt idx="296">
                    <c:v>0.3609</c:v>
                  </c:pt>
                  <c:pt idx="297">
                    <c:v>0.36169999999999997</c:v>
                  </c:pt>
                  <c:pt idx="298">
                    <c:v>0.36259999999999998</c:v>
                  </c:pt>
                  <c:pt idx="299">
                    <c:v>0.3629</c:v>
                  </c:pt>
                  <c:pt idx="300">
                    <c:v>0.3634</c:v>
                  </c:pt>
                  <c:pt idx="301">
                    <c:v>0.36369999999999997</c:v>
                  </c:pt>
                  <c:pt idx="302">
                    <c:v>0.3644</c:v>
                  </c:pt>
                  <c:pt idx="303">
                    <c:v>0.3649</c:v>
                  </c:pt>
                  <c:pt idx="304">
                    <c:v>0.36699999999999999</c:v>
                  </c:pt>
                  <c:pt idx="305">
                    <c:v>0.36819999999999997</c:v>
                  </c:pt>
                  <c:pt idx="306">
                    <c:v>0.3679</c:v>
                  </c:pt>
                  <c:pt idx="307">
                    <c:v>0.36959999999999998</c:v>
                  </c:pt>
                  <c:pt idx="308">
                    <c:v>0.37040000000000001</c:v>
                  </c:pt>
                  <c:pt idx="309">
                    <c:v>0.37079999999999996</c:v>
                  </c:pt>
                  <c:pt idx="310">
                    <c:v>0.37159999999999999</c:v>
                  </c:pt>
                  <c:pt idx="311">
                    <c:v>0.372</c:v>
                  </c:pt>
                  <c:pt idx="312">
                    <c:v>0.37309999999999999</c:v>
                  </c:pt>
                  <c:pt idx="313">
                    <c:v>0.37409999999999999</c:v>
                  </c:pt>
                  <c:pt idx="314">
                    <c:v>0.37479999999999997</c:v>
                  </c:pt>
                  <c:pt idx="315">
                    <c:v>0.37579999999999997</c:v>
                  </c:pt>
                  <c:pt idx="316">
                    <c:v>0.37590000000000001</c:v>
                  </c:pt>
                  <c:pt idx="317">
                    <c:v>0.376</c:v>
                  </c:pt>
                  <c:pt idx="318">
                    <c:v>0.37659999999999999</c:v>
                  </c:pt>
                  <c:pt idx="319">
                    <c:v>0.37659999999999999</c:v>
                  </c:pt>
                  <c:pt idx="320">
                    <c:v>0.3775</c:v>
                  </c:pt>
                  <c:pt idx="321">
                    <c:v>0.37740000000000001</c:v>
                  </c:pt>
                  <c:pt idx="322">
                    <c:v>0.37990000000000002</c:v>
                  </c:pt>
                  <c:pt idx="323">
                    <c:v>0.38129999999999997</c:v>
                  </c:pt>
                  <c:pt idx="324">
                    <c:v>0.3821</c:v>
                  </c:pt>
                  <c:pt idx="325">
                    <c:v>0.3836</c:v>
                  </c:pt>
                  <c:pt idx="326">
                    <c:v>0.3841</c:v>
                  </c:pt>
                  <c:pt idx="327">
                    <c:v>0.3841</c:v>
                  </c:pt>
                  <c:pt idx="328">
                    <c:v>0.38489999999999996</c:v>
                  </c:pt>
                  <c:pt idx="329">
                    <c:v>0.38569999999999999</c:v>
                  </c:pt>
                  <c:pt idx="330">
                    <c:v>0.3866</c:v>
                  </c:pt>
                  <c:pt idx="331">
                    <c:v>0.38750000000000001</c:v>
                  </c:pt>
                  <c:pt idx="332">
                    <c:v>0.38839999999999997</c:v>
                  </c:pt>
                  <c:pt idx="333">
                    <c:v>0.3891</c:v>
                  </c:pt>
                  <c:pt idx="334">
                    <c:v>0.3896</c:v>
                  </c:pt>
                  <c:pt idx="335">
                    <c:v>0.3901</c:v>
                  </c:pt>
                  <c:pt idx="336">
                    <c:v>0.39019999999999999</c:v>
                  </c:pt>
                  <c:pt idx="337">
                    <c:v>0.39189999999999997</c:v>
                  </c:pt>
                  <c:pt idx="338">
                    <c:v>0.39279999999999998</c:v>
                  </c:pt>
                  <c:pt idx="339">
                    <c:v>0.39289999999999997</c:v>
                  </c:pt>
                  <c:pt idx="340">
                    <c:v>0.39289999999999997</c:v>
                  </c:pt>
                  <c:pt idx="341">
                    <c:v>0.39399999999999996</c:v>
                  </c:pt>
                  <c:pt idx="342">
                    <c:v>0.39449999999999996</c:v>
                  </c:pt>
                  <c:pt idx="343">
                    <c:v>0.39799999999999996</c:v>
                  </c:pt>
                  <c:pt idx="344">
                    <c:v>0.4007</c:v>
                  </c:pt>
                  <c:pt idx="345">
                    <c:v>0.4007</c:v>
                  </c:pt>
                  <c:pt idx="346">
                    <c:v>0.4007</c:v>
                  </c:pt>
                </c:numCache>
              </c:numRef>
            </c:plus>
            <c:minus>
              <c:numRef>
                <c:f>'2'!$L$34:$L$380</c:f>
                <c:numCache>
                  <c:formatCode>General</c:formatCode>
                  <c:ptCount val="347"/>
                  <c:pt idx="0">
                    <c:v>-8.0299999999999996E-2</c:v>
                  </c:pt>
                  <c:pt idx="1">
                    <c:v>-7.8E-2</c:v>
                  </c:pt>
                  <c:pt idx="2">
                    <c:v>-7.8E-2</c:v>
                  </c:pt>
                  <c:pt idx="3">
                    <c:v>-7.8E-2</c:v>
                  </c:pt>
                  <c:pt idx="4">
                    <c:v>-7.8E-2</c:v>
                  </c:pt>
                  <c:pt idx="5">
                    <c:v>-7.7200000000000005E-2</c:v>
                  </c:pt>
                  <c:pt idx="6">
                    <c:v>-7.7300000000000008E-2</c:v>
                  </c:pt>
                  <c:pt idx="7">
                    <c:v>-7.5200000000000003E-2</c:v>
                  </c:pt>
                  <c:pt idx="8">
                    <c:v>-7.2400000000000006E-2</c:v>
                  </c:pt>
                  <c:pt idx="9">
                    <c:v>-7.2400000000000006E-2</c:v>
                  </c:pt>
                  <c:pt idx="10">
                    <c:v>-7.2400000000000006E-2</c:v>
                  </c:pt>
                  <c:pt idx="11">
                    <c:v>-7.1599999999999997E-2</c:v>
                  </c:pt>
                  <c:pt idx="12">
                    <c:v>-7.0900000000000005E-2</c:v>
                  </c:pt>
                  <c:pt idx="13">
                    <c:v>-7.010000000000001E-2</c:v>
                  </c:pt>
                  <c:pt idx="14">
                    <c:v>-6.9800000000000001E-2</c:v>
                  </c:pt>
                  <c:pt idx="15">
                    <c:v>-6.7900000000000002E-2</c:v>
                  </c:pt>
                  <c:pt idx="16">
                    <c:v>-6.6700000000000009E-2</c:v>
                  </c:pt>
                  <c:pt idx="17">
                    <c:v>-6.6700000000000009E-2</c:v>
                  </c:pt>
                  <c:pt idx="18">
                    <c:v>-6.5200000000000008E-2</c:v>
                  </c:pt>
                  <c:pt idx="19">
                    <c:v>-6.5100000000000005E-2</c:v>
                  </c:pt>
                  <c:pt idx="20">
                    <c:v>-6.2400000000000004E-2</c:v>
                  </c:pt>
                  <c:pt idx="21">
                    <c:v>-5.96E-2</c:v>
                  </c:pt>
                  <c:pt idx="22">
                    <c:v>-5.9400000000000001E-2</c:v>
                  </c:pt>
                  <c:pt idx="23">
                    <c:v>-5.8800000000000005E-2</c:v>
                  </c:pt>
                  <c:pt idx="24">
                    <c:v>-5.4000000000000006E-2</c:v>
                  </c:pt>
                  <c:pt idx="25">
                    <c:v>-5.2500000000000005E-2</c:v>
                  </c:pt>
                  <c:pt idx="26">
                    <c:v>-5.1200000000000002E-2</c:v>
                  </c:pt>
                  <c:pt idx="27">
                    <c:v>-5.1200000000000002E-2</c:v>
                  </c:pt>
                  <c:pt idx="28">
                    <c:v>-4.7300000000000002E-2</c:v>
                  </c:pt>
                  <c:pt idx="29">
                    <c:v>-4.5900000000000003E-2</c:v>
                  </c:pt>
                  <c:pt idx="30">
                    <c:v>-4.5500000000000006E-2</c:v>
                  </c:pt>
                  <c:pt idx="31">
                    <c:v>-4.4700000000000004E-2</c:v>
                  </c:pt>
                  <c:pt idx="32">
                    <c:v>-4.3800000000000006E-2</c:v>
                  </c:pt>
                  <c:pt idx="33">
                    <c:v>-4.2600000000000006E-2</c:v>
                  </c:pt>
                  <c:pt idx="34">
                    <c:v>-4.2600000000000006E-2</c:v>
                  </c:pt>
                  <c:pt idx="35">
                    <c:v>-4.1200000000000001E-2</c:v>
                  </c:pt>
                  <c:pt idx="36">
                    <c:v>-0.04</c:v>
                  </c:pt>
                  <c:pt idx="37">
                    <c:v>-3.9800000000000002E-2</c:v>
                  </c:pt>
                  <c:pt idx="38">
                    <c:v>-3.8400000000000004E-2</c:v>
                  </c:pt>
                  <c:pt idx="39">
                    <c:v>6.0000000000000006E-4</c:v>
                  </c:pt>
                  <c:pt idx="40">
                    <c:v>-3.39E-2</c:v>
                  </c:pt>
                  <c:pt idx="41">
                    <c:v>-3.3600000000000005E-2</c:v>
                  </c:pt>
                  <c:pt idx="42">
                    <c:v>-3.2800000000000003E-2</c:v>
                  </c:pt>
                  <c:pt idx="43">
                    <c:v>-3.1199999999999999E-2</c:v>
                  </c:pt>
                  <c:pt idx="44">
                    <c:v>-0.03</c:v>
                  </c:pt>
                  <c:pt idx="45">
                    <c:v>-2.93E-2</c:v>
                  </c:pt>
                  <c:pt idx="46">
                    <c:v>-2.8500000000000001E-2</c:v>
                  </c:pt>
                  <c:pt idx="47">
                    <c:v>-2.8500000000000001E-2</c:v>
                  </c:pt>
                  <c:pt idx="48">
                    <c:v>-2.7400000000000001E-2</c:v>
                  </c:pt>
                  <c:pt idx="49">
                    <c:v>-2.7099999999999999E-2</c:v>
                  </c:pt>
                  <c:pt idx="50">
                    <c:v>-2.5700000000000001E-2</c:v>
                  </c:pt>
                  <c:pt idx="51">
                    <c:v>-2.4299999999999999E-2</c:v>
                  </c:pt>
                  <c:pt idx="52">
                    <c:v>-2.3699999999999999E-2</c:v>
                  </c:pt>
                  <c:pt idx="53">
                    <c:v>-2.2599999999999999E-2</c:v>
                  </c:pt>
                  <c:pt idx="54">
                    <c:v>-2.07E-2</c:v>
                  </c:pt>
                  <c:pt idx="55">
                    <c:v>-1.8599999999999998E-2</c:v>
                  </c:pt>
                  <c:pt idx="56">
                    <c:v>-1.5599999999999999E-2</c:v>
                  </c:pt>
                  <c:pt idx="57">
                    <c:v>-1.3299999999999999E-2</c:v>
                  </c:pt>
                  <c:pt idx="58">
                    <c:v>-1.06E-2</c:v>
                  </c:pt>
                  <c:pt idx="59">
                    <c:v>-8.7999999999999988E-3</c:v>
                  </c:pt>
                  <c:pt idx="60">
                    <c:v>-1.8E-3</c:v>
                  </c:pt>
                  <c:pt idx="61">
                    <c:v>2.0000000000000001E-4</c:v>
                  </c:pt>
                  <c:pt idx="62">
                    <c:v>1.1000000000000001E-3</c:v>
                  </c:pt>
                  <c:pt idx="63">
                    <c:v>1.2000000000000001E-3</c:v>
                  </c:pt>
                  <c:pt idx="64">
                    <c:v>4.0000000000000001E-3</c:v>
                  </c:pt>
                  <c:pt idx="65">
                    <c:v>4.1000000000000003E-3</c:v>
                  </c:pt>
                  <c:pt idx="66">
                    <c:v>5.4000000000000003E-3</c:v>
                  </c:pt>
                  <c:pt idx="67">
                    <c:v>6.0000000000000001E-3</c:v>
                  </c:pt>
                  <c:pt idx="68">
                    <c:v>6.8000000000000005E-3</c:v>
                  </c:pt>
                  <c:pt idx="69">
                    <c:v>7.4000000000000003E-3</c:v>
                  </c:pt>
                  <c:pt idx="70">
                    <c:v>8.199999999999999E-3</c:v>
                  </c:pt>
                  <c:pt idx="71">
                    <c:v>8.199999999999999E-3</c:v>
                  </c:pt>
                  <c:pt idx="72">
                    <c:v>8.3000000000000001E-3</c:v>
                  </c:pt>
                  <c:pt idx="73">
                    <c:v>8.9999999999999993E-3</c:v>
                  </c:pt>
                  <c:pt idx="74">
                    <c:v>9.5999999999999992E-3</c:v>
                  </c:pt>
                  <c:pt idx="75">
                    <c:v>1.06E-2</c:v>
                  </c:pt>
                  <c:pt idx="76">
                    <c:v>1.1099999999999999E-2</c:v>
                  </c:pt>
                  <c:pt idx="77">
                    <c:v>1.1099999999999999E-2</c:v>
                  </c:pt>
                  <c:pt idx="78">
                    <c:v>1.1099999999999999E-2</c:v>
                  </c:pt>
                  <c:pt idx="79">
                    <c:v>1.1099999999999999E-2</c:v>
                  </c:pt>
                  <c:pt idx="80">
                    <c:v>1.1299999999999999E-2</c:v>
                  </c:pt>
                  <c:pt idx="81">
                    <c:v>1.2499999999999999E-2</c:v>
                  </c:pt>
                  <c:pt idx="82">
                    <c:v>1.2499999999999999E-2</c:v>
                  </c:pt>
                  <c:pt idx="83">
                    <c:v>1.3899999999999999E-2</c:v>
                  </c:pt>
                  <c:pt idx="84">
                    <c:v>1.44E-2</c:v>
                  </c:pt>
                  <c:pt idx="85">
                    <c:v>1.4799999999999999E-2</c:v>
                  </c:pt>
                  <c:pt idx="86">
                    <c:v>1.5299999999999999E-2</c:v>
                  </c:pt>
                  <c:pt idx="87">
                    <c:v>1.5299999999999999E-2</c:v>
                  </c:pt>
                  <c:pt idx="88">
                    <c:v>1.5699999999999999E-2</c:v>
                  </c:pt>
                  <c:pt idx="89">
                    <c:v>2.0999999999999998E-2</c:v>
                  </c:pt>
                  <c:pt idx="90">
                    <c:v>2.76E-2</c:v>
                  </c:pt>
                  <c:pt idx="91">
                    <c:v>3.0800000000000001E-2</c:v>
                  </c:pt>
                  <c:pt idx="92">
                    <c:v>3.3600000000000005E-2</c:v>
                  </c:pt>
                  <c:pt idx="93">
                    <c:v>3.4100000000000005E-2</c:v>
                  </c:pt>
                  <c:pt idx="94">
                    <c:v>3.5000000000000003E-2</c:v>
                  </c:pt>
                  <c:pt idx="95">
                    <c:v>3.6400000000000002E-2</c:v>
                  </c:pt>
                  <c:pt idx="96">
                    <c:v>3.78E-2</c:v>
                  </c:pt>
                  <c:pt idx="97">
                    <c:v>3.85E-2</c:v>
                  </c:pt>
                  <c:pt idx="98">
                    <c:v>4.3400000000000001E-2</c:v>
                  </c:pt>
                  <c:pt idx="99">
                    <c:v>3.9300000000000002E-2</c:v>
                  </c:pt>
                  <c:pt idx="100">
                    <c:v>3.9300000000000002E-2</c:v>
                  </c:pt>
                  <c:pt idx="101">
                    <c:v>4.0900000000000006E-2</c:v>
                  </c:pt>
                  <c:pt idx="102">
                    <c:v>4.48E-2</c:v>
                  </c:pt>
                  <c:pt idx="103">
                    <c:v>4.4900000000000002E-2</c:v>
                  </c:pt>
                  <c:pt idx="104">
                    <c:v>4.4900000000000002E-2</c:v>
                  </c:pt>
                  <c:pt idx="105">
                    <c:v>4.53E-2</c:v>
                  </c:pt>
                  <c:pt idx="106">
                    <c:v>4.7E-2</c:v>
                  </c:pt>
                  <c:pt idx="107">
                    <c:v>4.8300000000000003E-2</c:v>
                  </c:pt>
                  <c:pt idx="108">
                    <c:v>5.11E-2</c:v>
                  </c:pt>
                  <c:pt idx="109">
                    <c:v>5.1900000000000002E-2</c:v>
                  </c:pt>
                  <c:pt idx="110">
                    <c:v>5.21E-2</c:v>
                  </c:pt>
                  <c:pt idx="111">
                    <c:v>5.33E-2</c:v>
                  </c:pt>
                  <c:pt idx="112">
                    <c:v>5.67E-2</c:v>
                  </c:pt>
                  <c:pt idx="113">
                    <c:v>5.9700000000000003E-2</c:v>
                  </c:pt>
                  <c:pt idx="114">
                    <c:v>6.1600000000000002E-2</c:v>
                  </c:pt>
                  <c:pt idx="115">
                    <c:v>6.2899999999999998E-2</c:v>
                  </c:pt>
                  <c:pt idx="116">
                    <c:v>6.4500000000000002E-2</c:v>
                  </c:pt>
                  <c:pt idx="117">
                    <c:v>6.8100000000000008E-2</c:v>
                  </c:pt>
                  <c:pt idx="118">
                    <c:v>7.010000000000001E-2</c:v>
                  </c:pt>
                  <c:pt idx="119">
                    <c:v>7.1800000000000003E-2</c:v>
                  </c:pt>
                  <c:pt idx="120">
                    <c:v>7.7200000000000005E-2</c:v>
                  </c:pt>
                  <c:pt idx="121">
                    <c:v>7.8800000000000009E-2</c:v>
                  </c:pt>
                  <c:pt idx="122">
                    <c:v>8.1299999999999997E-2</c:v>
                  </c:pt>
                  <c:pt idx="123">
                    <c:v>8.1500000000000003E-2</c:v>
                  </c:pt>
                  <c:pt idx="124">
                    <c:v>8.1299999999999997E-2</c:v>
                  </c:pt>
                  <c:pt idx="125">
                    <c:v>8.3400000000000002E-2</c:v>
                  </c:pt>
                  <c:pt idx="126">
                    <c:v>8.5000000000000006E-2</c:v>
                  </c:pt>
                  <c:pt idx="127">
                    <c:v>8.7000000000000008E-2</c:v>
                  </c:pt>
                  <c:pt idx="128">
                    <c:v>8.9300000000000004E-2</c:v>
                  </c:pt>
                  <c:pt idx="129">
                    <c:v>8.9800000000000005E-2</c:v>
                  </c:pt>
                  <c:pt idx="130">
                    <c:v>8.9800000000000005E-2</c:v>
                  </c:pt>
                  <c:pt idx="131">
                    <c:v>9.0900000000000009E-2</c:v>
                  </c:pt>
                  <c:pt idx="132">
                    <c:v>9.1200000000000003E-2</c:v>
                  </c:pt>
                  <c:pt idx="133">
                    <c:v>9.2600000000000002E-2</c:v>
                  </c:pt>
                  <c:pt idx="134">
                    <c:v>9.3300000000000008E-2</c:v>
                  </c:pt>
                  <c:pt idx="135">
                    <c:v>9.820000000000001E-2</c:v>
                  </c:pt>
                  <c:pt idx="136">
                    <c:v>0.1003</c:v>
                  </c:pt>
                  <c:pt idx="137">
                    <c:v>0.1038</c:v>
                  </c:pt>
                  <c:pt idx="138">
                    <c:v>0.1085</c:v>
                  </c:pt>
                  <c:pt idx="139">
                    <c:v>0.1119</c:v>
                  </c:pt>
                  <c:pt idx="140">
                    <c:v>0.11560000000000001</c:v>
                  </c:pt>
                  <c:pt idx="141">
                    <c:v>0.1179</c:v>
                  </c:pt>
                  <c:pt idx="142">
                    <c:v>0.11990000000000001</c:v>
                  </c:pt>
                  <c:pt idx="143">
                    <c:v>0.12190000000000001</c:v>
                  </c:pt>
                  <c:pt idx="144">
                    <c:v>0.1236</c:v>
                  </c:pt>
                  <c:pt idx="145">
                    <c:v>0.12669999999999998</c:v>
                  </c:pt>
                  <c:pt idx="146">
                    <c:v>0.1381</c:v>
                  </c:pt>
                  <c:pt idx="147">
                    <c:v>0.14209999999999998</c:v>
                  </c:pt>
                  <c:pt idx="148">
                    <c:v>0.14249999999999999</c:v>
                  </c:pt>
                  <c:pt idx="149">
                    <c:v>0.14329999999999998</c:v>
                  </c:pt>
                  <c:pt idx="150">
                    <c:v>0.15089999999999998</c:v>
                  </c:pt>
                  <c:pt idx="151">
                    <c:v>0.15179999999999999</c:v>
                  </c:pt>
                  <c:pt idx="152">
                    <c:v>0.1525</c:v>
                  </c:pt>
                  <c:pt idx="153">
                    <c:v>0.15509999999999999</c:v>
                  </c:pt>
                  <c:pt idx="154">
                    <c:v>0.1565</c:v>
                  </c:pt>
                  <c:pt idx="155">
                    <c:v>0.15659999999999999</c:v>
                  </c:pt>
                  <c:pt idx="156">
                    <c:v>0.15789999999999998</c:v>
                  </c:pt>
                  <c:pt idx="157">
                    <c:v>0.1593</c:v>
                  </c:pt>
                  <c:pt idx="158">
                    <c:v>0.16209999999999999</c:v>
                  </c:pt>
                  <c:pt idx="159">
                    <c:v>0.1653</c:v>
                  </c:pt>
                  <c:pt idx="160">
                    <c:v>0.1681</c:v>
                  </c:pt>
                  <c:pt idx="161">
                    <c:v>0.1711</c:v>
                  </c:pt>
                  <c:pt idx="162">
                    <c:v>0.17459999999999998</c:v>
                  </c:pt>
                  <c:pt idx="163">
                    <c:v>0.17609999999999998</c:v>
                  </c:pt>
                  <c:pt idx="164">
                    <c:v>0.17829999999999999</c:v>
                  </c:pt>
                  <c:pt idx="165">
                    <c:v>0.18029999999999999</c:v>
                  </c:pt>
                  <c:pt idx="166">
                    <c:v>0.1817</c:v>
                  </c:pt>
                  <c:pt idx="167">
                    <c:v>0.19239999999999999</c:v>
                  </c:pt>
                  <c:pt idx="168">
                    <c:v>0.1948</c:v>
                  </c:pt>
                  <c:pt idx="169">
                    <c:v>0.19939999999999999</c:v>
                  </c:pt>
                  <c:pt idx="170">
                    <c:v>0.19649999999999998</c:v>
                  </c:pt>
                  <c:pt idx="171">
                    <c:v>0.19899999999999998</c:v>
                  </c:pt>
                  <c:pt idx="172">
                    <c:v>0.20019999999999999</c:v>
                  </c:pt>
                  <c:pt idx="173">
                    <c:v>0.20279999999999998</c:v>
                  </c:pt>
                  <c:pt idx="174">
                    <c:v>0.20449999999999999</c:v>
                  </c:pt>
                  <c:pt idx="175">
                    <c:v>0.20609999999999998</c:v>
                  </c:pt>
                  <c:pt idx="176">
                    <c:v>0.20709999999999998</c:v>
                  </c:pt>
                  <c:pt idx="177">
                    <c:v>0.20829999999999999</c:v>
                  </c:pt>
                  <c:pt idx="178">
                    <c:v>0.20909999999999998</c:v>
                  </c:pt>
                  <c:pt idx="179">
                    <c:v>0.21149999999999999</c:v>
                  </c:pt>
                  <c:pt idx="180">
                    <c:v>0.21459999999999999</c:v>
                  </c:pt>
                  <c:pt idx="181">
                    <c:v>0.21759999999999999</c:v>
                  </c:pt>
                  <c:pt idx="182">
                    <c:v>0.21969999999999998</c:v>
                  </c:pt>
                  <c:pt idx="183">
                    <c:v>0.2213</c:v>
                  </c:pt>
                  <c:pt idx="184">
                    <c:v>0.22559999999999999</c:v>
                  </c:pt>
                  <c:pt idx="185">
                    <c:v>0.2278</c:v>
                  </c:pt>
                  <c:pt idx="186">
                    <c:v>0.22879999999999998</c:v>
                  </c:pt>
                  <c:pt idx="187">
                    <c:v>0.2329</c:v>
                  </c:pt>
                  <c:pt idx="188">
                    <c:v>0.2349</c:v>
                  </c:pt>
                  <c:pt idx="189">
                    <c:v>0.23629999999999998</c:v>
                  </c:pt>
                  <c:pt idx="190">
                    <c:v>0.2384</c:v>
                  </c:pt>
                  <c:pt idx="191">
                    <c:v>0.2397</c:v>
                  </c:pt>
                  <c:pt idx="192">
                    <c:v>0.25190000000000001</c:v>
                  </c:pt>
                  <c:pt idx="193">
                    <c:v>0.254</c:v>
                  </c:pt>
                  <c:pt idx="194">
                    <c:v>0.2581</c:v>
                  </c:pt>
                  <c:pt idx="195">
                    <c:v>0.2601</c:v>
                  </c:pt>
                  <c:pt idx="196">
                    <c:v>0.26139999999999997</c:v>
                  </c:pt>
                  <c:pt idx="197">
                    <c:v>0.26429999999999998</c:v>
                  </c:pt>
                  <c:pt idx="198">
                    <c:v>0.26550000000000001</c:v>
                  </c:pt>
                  <c:pt idx="199">
                    <c:v>0.26589999999999997</c:v>
                  </c:pt>
                  <c:pt idx="200">
                    <c:v>0.2661</c:v>
                  </c:pt>
                  <c:pt idx="201">
                    <c:v>0.2661</c:v>
                  </c:pt>
                  <c:pt idx="202">
                    <c:v>0.26569999999999999</c:v>
                  </c:pt>
                  <c:pt idx="203">
                    <c:v>0.26949999999999996</c:v>
                  </c:pt>
                  <c:pt idx="204">
                    <c:v>0.2707</c:v>
                  </c:pt>
                  <c:pt idx="205">
                    <c:v>0.2707</c:v>
                  </c:pt>
                  <c:pt idx="206">
                    <c:v>0.2707</c:v>
                  </c:pt>
                  <c:pt idx="207">
                    <c:v>0.27160000000000001</c:v>
                  </c:pt>
                  <c:pt idx="208">
                    <c:v>0.27329999999999999</c:v>
                  </c:pt>
                  <c:pt idx="209">
                    <c:v>0.2737</c:v>
                  </c:pt>
                  <c:pt idx="210">
                    <c:v>0.27449999999999997</c:v>
                  </c:pt>
                  <c:pt idx="211">
                    <c:v>0.27449999999999997</c:v>
                  </c:pt>
                  <c:pt idx="212">
                    <c:v>0.27579999999999999</c:v>
                  </c:pt>
                  <c:pt idx="213">
                    <c:v>0.27699999999999997</c:v>
                  </c:pt>
                  <c:pt idx="214">
                    <c:v>0.27839999999999998</c:v>
                  </c:pt>
                  <c:pt idx="215">
                    <c:v>0.27860000000000001</c:v>
                  </c:pt>
                  <c:pt idx="216">
                    <c:v>0.27960000000000002</c:v>
                  </c:pt>
                  <c:pt idx="217">
                    <c:v>0.28089999999999998</c:v>
                  </c:pt>
                  <c:pt idx="218">
                    <c:v>0.2823</c:v>
                  </c:pt>
                  <c:pt idx="219">
                    <c:v>0.28349999999999997</c:v>
                  </c:pt>
                  <c:pt idx="220">
                    <c:v>0.2848</c:v>
                  </c:pt>
                  <c:pt idx="221">
                    <c:v>0.28570000000000001</c:v>
                  </c:pt>
                  <c:pt idx="222">
                    <c:v>0.28609999999999997</c:v>
                  </c:pt>
                  <c:pt idx="223">
                    <c:v>0.28770000000000001</c:v>
                  </c:pt>
                  <c:pt idx="224">
                    <c:v>0.28909999999999997</c:v>
                  </c:pt>
                  <c:pt idx="225">
                    <c:v>0.29109999999999997</c:v>
                  </c:pt>
                  <c:pt idx="226">
                    <c:v>0.29609999999999997</c:v>
                  </c:pt>
                  <c:pt idx="227">
                    <c:v>0.29730000000000001</c:v>
                  </c:pt>
                  <c:pt idx="228">
                    <c:v>0.2979</c:v>
                  </c:pt>
                  <c:pt idx="229">
                    <c:v>0.2984</c:v>
                  </c:pt>
                  <c:pt idx="230">
                    <c:v>0.30049999999999999</c:v>
                  </c:pt>
                  <c:pt idx="231">
                    <c:v>0.30119999999999997</c:v>
                  </c:pt>
                  <c:pt idx="232">
                    <c:v>0.30299999999999999</c:v>
                  </c:pt>
                  <c:pt idx="233">
                    <c:v>0.30319999999999997</c:v>
                  </c:pt>
                  <c:pt idx="234">
                    <c:v>0.30309999999999998</c:v>
                  </c:pt>
                  <c:pt idx="235">
                    <c:v>0.30449999999999999</c:v>
                  </c:pt>
                  <c:pt idx="236">
                    <c:v>0.3054</c:v>
                  </c:pt>
                  <c:pt idx="237">
                    <c:v>0.30569999999999997</c:v>
                  </c:pt>
                  <c:pt idx="238">
                    <c:v>0.30740000000000001</c:v>
                  </c:pt>
                  <c:pt idx="239">
                    <c:v>0.30769999999999997</c:v>
                  </c:pt>
                  <c:pt idx="240">
                    <c:v>0.3085</c:v>
                  </c:pt>
                  <c:pt idx="241">
                    <c:v>0.30890000000000001</c:v>
                  </c:pt>
                  <c:pt idx="242">
                    <c:v>0.31029999999999996</c:v>
                  </c:pt>
                  <c:pt idx="243">
                    <c:v>0.31019999999999998</c:v>
                  </c:pt>
                  <c:pt idx="244">
                    <c:v>0.31129999999999997</c:v>
                  </c:pt>
                  <c:pt idx="245">
                    <c:v>0.31129999999999997</c:v>
                  </c:pt>
                  <c:pt idx="246">
                    <c:v>0.31219999999999998</c:v>
                  </c:pt>
                  <c:pt idx="247">
                    <c:v>0.31229999999999997</c:v>
                  </c:pt>
                  <c:pt idx="248">
                    <c:v>0.31359999999999999</c:v>
                  </c:pt>
                  <c:pt idx="249">
                    <c:v>0.316</c:v>
                  </c:pt>
                  <c:pt idx="250">
                    <c:v>0.31609999999999999</c:v>
                  </c:pt>
                  <c:pt idx="251">
                    <c:v>0.31609999999999999</c:v>
                  </c:pt>
                  <c:pt idx="252">
                    <c:v>0.317</c:v>
                  </c:pt>
                  <c:pt idx="253">
                    <c:v>0.31850000000000001</c:v>
                  </c:pt>
                  <c:pt idx="254">
                    <c:v>0.32050000000000001</c:v>
                  </c:pt>
                  <c:pt idx="255">
                    <c:v>0.32169999999999999</c:v>
                  </c:pt>
                  <c:pt idx="256">
                    <c:v>0.32289999999999996</c:v>
                  </c:pt>
                  <c:pt idx="257">
                    <c:v>0.32269999999999999</c:v>
                  </c:pt>
                  <c:pt idx="258">
                    <c:v>0.32289999999999996</c:v>
                  </c:pt>
                  <c:pt idx="259">
                    <c:v>0.3241</c:v>
                  </c:pt>
                  <c:pt idx="260">
                    <c:v>0.3296</c:v>
                  </c:pt>
                  <c:pt idx="261">
                    <c:v>0.3301</c:v>
                  </c:pt>
                  <c:pt idx="262">
                    <c:v>0.33089999999999997</c:v>
                  </c:pt>
                  <c:pt idx="263">
                    <c:v>0.33089999999999997</c:v>
                  </c:pt>
                  <c:pt idx="264">
                    <c:v>0.33399999999999996</c:v>
                  </c:pt>
                  <c:pt idx="265">
                    <c:v>0.33510000000000001</c:v>
                  </c:pt>
                  <c:pt idx="266">
                    <c:v>0.3352</c:v>
                  </c:pt>
                  <c:pt idx="267">
                    <c:v>0.3352</c:v>
                  </c:pt>
                  <c:pt idx="268">
                    <c:v>0.3357</c:v>
                  </c:pt>
                  <c:pt idx="269">
                    <c:v>0.33799999999999997</c:v>
                  </c:pt>
                  <c:pt idx="270">
                    <c:v>0.34049999999999997</c:v>
                  </c:pt>
                  <c:pt idx="271">
                    <c:v>0.3417</c:v>
                  </c:pt>
                  <c:pt idx="272">
                    <c:v>0.34320000000000001</c:v>
                  </c:pt>
                  <c:pt idx="273">
                    <c:v>0.34449999999999997</c:v>
                  </c:pt>
                  <c:pt idx="274">
                    <c:v>0.34489999999999998</c:v>
                  </c:pt>
                  <c:pt idx="275">
                    <c:v>0.34670000000000001</c:v>
                  </c:pt>
                  <c:pt idx="276">
                    <c:v>0.34759999999999996</c:v>
                  </c:pt>
                  <c:pt idx="277">
                    <c:v>0.34720000000000001</c:v>
                  </c:pt>
                  <c:pt idx="278">
                    <c:v>0.34820000000000001</c:v>
                  </c:pt>
                  <c:pt idx="279">
                    <c:v>0.34889999999999999</c:v>
                  </c:pt>
                  <c:pt idx="280">
                    <c:v>0.34970000000000001</c:v>
                  </c:pt>
                  <c:pt idx="281">
                    <c:v>0.35070000000000001</c:v>
                  </c:pt>
                  <c:pt idx="282">
                    <c:v>0.35070000000000001</c:v>
                  </c:pt>
                  <c:pt idx="283">
                    <c:v>0.35170000000000001</c:v>
                  </c:pt>
                  <c:pt idx="284">
                    <c:v>0.35409999999999997</c:v>
                  </c:pt>
                  <c:pt idx="285">
                    <c:v>0.35459999999999997</c:v>
                  </c:pt>
                  <c:pt idx="286">
                    <c:v>0.35570000000000002</c:v>
                  </c:pt>
                  <c:pt idx="287">
                    <c:v>0.35669999999999996</c:v>
                  </c:pt>
                  <c:pt idx="288">
                    <c:v>0.35680000000000001</c:v>
                  </c:pt>
                  <c:pt idx="289">
                    <c:v>0.35769999999999996</c:v>
                  </c:pt>
                  <c:pt idx="290">
                    <c:v>0.35799999999999998</c:v>
                  </c:pt>
                  <c:pt idx="291">
                    <c:v>0.35880000000000001</c:v>
                  </c:pt>
                  <c:pt idx="292">
                    <c:v>0.35869999999999996</c:v>
                  </c:pt>
                  <c:pt idx="293">
                    <c:v>0.35880000000000001</c:v>
                  </c:pt>
                  <c:pt idx="294">
                    <c:v>0.35949999999999999</c:v>
                  </c:pt>
                  <c:pt idx="295">
                    <c:v>0.36009999999999998</c:v>
                  </c:pt>
                  <c:pt idx="296">
                    <c:v>0.3609</c:v>
                  </c:pt>
                  <c:pt idx="297">
                    <c:v>0.36169999999999997</c:v>
                  </c:pt>
                  <c:pt idx="298">
                    <c:v>0.36259999999999998</c:v>
                  </c:pt>
                  <c:pt idx="299">
                    <c:v>0.3629</c:v>
                  </c:pt>
                  <c:pt idx="300">
                    <c:v>0.3634</c:v>
                  </c:pt>
                  <c:pt idx="301">
                    <c:v>0.36369999999999997</c:v>
                  </c:pt>
                  <c:pt idx="302">
                    <c:v>0.3644</c:v>
                  </c:pt>
                  <c:pt idx="303">
                    <c:v>0.3649</c:v>
                  </c:pt>
                  <c:pt idx="304">
                    <c:v>0.36699999999999999</c:v>
                  </c:pt>
                  <c:pt idx="305">
                    <c:v>0.36819999999999997</c:v>
                  </c:pt>
                  <c:pt idx="306">
                    <c:v>0.3679</c:v>
                  </c:pt>
                  <c:pt idx="307">
                    <c:v>0.36959999999999998</c:v>
                  </c:pt>
                  <c:pt idx="308">
                    <c:v>0.37040000000000001</c:v>
                  </c:pt>
                  <c:pt idx="309">
                    <c:v>0.37079999999999996</c:v>
                  </c:pt>
                  <c:pt idx="310">
                    <c:v>0.37159999999999999</c:v>
                  </c:pt>
                  <c:pt idx="311">
                    <c:v>0.372</c:v>
                  </c:pt>
                  <c:pt idx="312">
                    <c:v>0.37309999999999999</c:v>
                  </c:pt>
                  <c:pt idx="313">
                    <c:v>0.37409999999999999</c:v>
                  </c:pt>
                  <c:pt idx="314">
                    <c:v>0.37479999999999997</c:v>
                  </c:pt>
                  <c:pt idx="315">
                    <c:v>0.37579999999999997</c:v>
                  </c:pt>
                  <c:pt idx="316">
                    <c:v>0.37590000000000001</c:v>
                  </c:pt>
                  <c:pt idx="317">
                    <c:v>0.376</c:v>
                  </c:pt>
                  <c:pt idx="318">
                    <c:v>0.37659999999999999</c:v>
                  </c:pt>
                  <c:pt idx="319">
                    <c:v>0.37659999999999999</c:v>
                  </c:pt>
                  <c:pt idx="320">
                    <c:v>0.3775</c:v>
                  </c:pt>
                  <c:pt idx="321">
                    <c:v>0.37740000000000001</c:v>
                  </c:pt>
                  <c:pt idx="322">
                    <c:v>0.37990000000000002</c:v>
                  </c:pt>
                  <c:pt idx="323">
                    <c:v>0.38129999999999997</c:v>
                  </c:pt>
                  <c:pt idx="324">
                    <c:v>0.3821</c:v>
                  </c:pt>
                  <c:pt idx="325">
                    <c:v>0.3836</c:v>
                  </c:pt>
                  <c:pt idx="326">
                    <c:v>0.3841</c:v>
                  </c:pt>
                  <c:pt idx="327">
                    <c:v>0.3841</c:v>
                  </c:pt>
                  <c:pt idx="328">
                    <c:v>0.38489999999999996</c:v>
                  </c:pt>
                  <c:pt idx="329">
                    <c:v>0.38569999999999999</c:v>
                  </c:pt>
                  <c:pt idx="330">
                    <c:v>0.3866</c:v>
                  </c:pt>
                  <c:pt idx="331">
                    <c:v>0.38750000000000001</c:v>
                  </c:pt>
                  <c:pt idx="332">
                    <c:v>0.38839999999999997</c:v>
                  </c:pt>
                  <c:pt idx="333">
                    <c:v>0.3891</c:v>
                  </c:pt>
                  <c:pt idx="334">
                    <c:v>0.3896</c:v>
                  </c:pt>
                  <c:pt idx="335">
                    <c:v>0.3901</c:v>
                  </c:pt>
                  <c:pt idx="336">
                    <c:v>0.39019999999999999</c:v>
                  </c:pt>
                  <c:pt idx="337">
                    <c:v>0.39189999999999997</c:v>
                  </c:pt>
                  <c:pt idx="338">
                    <c:v>0.39279999999999998</c:v>
                  </c:pt>
                  <c:pt idx="339">
                    <c:v>0.39289999999999997</c:v>
                  </c:pt>
                  <c:pt idx="340">
                    <c:v>0.39289999999999997</c:v>
                  </c:pt>
                  <c:pt idx="341">
                    <c:v>0.39399999999999996</c:v>
                  </c:pt>
                  <c:pt idx="342">
                    <c:v>0.39449999999999996</c:v>
                  </c:pt>
                  <c:pt idx="343">
                    <c:v>0.39799999999999996</c:v>
                  </c:pt>
                  <c:pt idx="344">
                    <c:v>0.4007</c:v>
                  </c:pt>
                  <c:pt idx="345">
                    <c:v>0.4007</c:v>
                  </c:pt>
                  <c:pt idx="346">
                    <c:v>0.4007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'2'!$N$34:$N$380</c:f>
                <c:numCache>
                  <c:formatCode>General</c:formatCode>
                  <c:ptCount val="347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  <c:pt idx="195">
                    <c:v>5.8000000000000005E-3</c:v>
                  </c:pt>
                  <c:pt idx="196">
                    <c:v>5.8000000000000005E-3</c:v>
                  </c:pt>
                  <c:pt idx="197">
                    <c:v>5.8000000000000005E-3</c:v>
                  </c:pt>
                  <c:pt idx="198">
                    <c:v>5.8000000000000005E-3</c:v>
                  </c:pt>
                  <c:pt idx="199">
                    <c:v>5.8000000000000005E-3</c:v>
                  </c:pt>
                  <c:pt idx="200">
                    <c:v>5.8000000000000005E-3</c:v>
                  </c:pt>
                  <c:pt idx="201">
                    <c:v>5.8000000000000005E-3</c:v>
                  </c:pt>
                  <c:pt idx="202">
                    <c:v>5.8000000000000005E-3</c:v>
                  </c:pt>
                  <c:pt idx="203">
                    <c:v>5.8000000000000005E-3</c:v>
                  </c:pt>
                  <c:pt idx="204">
                    <c:v>5.8000000000000005E-3</c:v>
                  </c:pt>
                  <c:pt idx="205">
                    <c:v>5.8000000000000005E-3</c:v>
                  </c:pt>
                  <c:pt idx="206">
                    <c:v>5.8000000000000005E-3</c:v>
                  </c:pt>
                  <c:pt idx="207">
                    <c:v>5.8000000000000005E-3</c:v>
                  </c:pt>
                  <c:pt idx="208">
                    <c:v>5.8000000000000005E-3</c:v>
                  </c:pt>
                  <c:pt idx="209">
                    <c:v>5.8000000000000005E-3</c:v>
                  </c:pt>
                  <c:pt idx="210">
                    <c:v>5.8000000000000005E-3</c:v>
                  </c:pt>
                  <c:pt idx="211">
                    <c:v>5.8000000000000005E-3</c:v>
                  </c:pt>
                  <c:pt idx="212">
                    <c:v>5.8000000000000005E-3</c:v>
                  </c:pt>
                  <c:pt idx="213">
                    <c:v>5.8000000000000005E-3</c:v>
                  </c:pt>
                  <c:pt idx="214">
                    <c:v>5.8000000000000005E-3</c:v>
                  </c:pt>
                  <c:pt idx="215">
                    <c:v>5.8000000000000005E-3</c:v>
                  </c:pt>
                  <c:pt idx="216">
                    <c:v>5.8000000000000005E-3</c:v>
                  </c:pt>
                  <c:pt idx="217">
                    <c:v>5.8000000000000005E-3</c:v>
                  </c:pt>
                  <c:pt idx="218">
                    <c:v>5.8000000000000005E-3</c:v>
                  </c:pt>
                  <c:pt idx="219">
                    <c:v>5.8000000000000005E-3</c:v>
                  </c:pt>
                  <c:pt idx="220">
                    <c:v>5.8000000000000005E-3</c:v>
                  </c:pt>
                  <c:pt idx="221">
                    <c:v>5.8000000000000005E-3</c:v>
                  </c:pt>
                  <c:pt idx="222">
                    <c:v>5.8000000000000005E-3</c:v>
                  </c:pt>
                  <c:pt idx="223">
                    <c:v>5.8000000000000005E-3</c:v>
                  </c:pt>
                  <c:pt idx="224">
                    <c:v>5.8000000000000005E-3</c:v>
                  </c:pt>
                  <c:pt idx="225">
                    <c:v>5.8000000000000005E-3</c:v>
                  </c:pt>
                  <c:pt idx="226">
                    <c:v>5.8000000000000005E-3</c:v>
                  </c:pt>
                  <c:pt idx="227">
                    <c:v>5.8000000000000005E-3</c:v>
                  </c:pt>
                  <c:pt idx="228">
                    <c:v>5.8000000000000005E-3</c:v>
                  </c:pt>
                  <c:pt idx="229">
                    <c:v>5.8000000000000005E-3</c:v>
                  </c:pt>
                  <c:pt idx="230">
                    <c:v>5.8000000000000005E-3</c:v>
                  </c:pt>
                  <c:pt idx="231">
                    <c:v>5.8000000000000005E-3</c:v>
                  </c:pt>
                  <c:pt idx="232">
                    <c:v>5.8000000000000005E-3</c:v>
                  </c:pt>
                  <c:pt idx="233">
                    <c:v>5.8000000000000005E-3</c:v>
                  </c:pt>
                  <c:pt idx="234">
                    <c:v>5.8000000000000005E-3</c:v>
                  </c:pt>
                  <c:pt idx="235">
                    <c:v>5.8000000000000005E-3</c:v>
                  </c:pt>
                  <c:pt idx="236">
                    <c:v>5.8000000000000005E-3</c:v>
                  </c:pt>
                  <c:pt idx="237">
                    <c:v>5.8000000000000005E-3</c:v>
                  </c:pt>
                  <c:pt idx="238">
                    <c:v>5.8000000000000005E-3</c:v>
                  </c:pt>
                  <c:pt idx="239">
                    <c:v>5.8000000000000005E-3</c:v>
                  </c:pt>
                  <c:pt idx="240">
                    <c:v>5.8000000000000005E-3</c:v>
                  </c:pt>
                  <c:pt idx="241">
                    <c:v>5.8000000000000005E-3</c:v>
                  </c:pt>
                  <c:pt idx="242">
                    <c:v>5.8000000000000005E-3</c:v>
                  </c:pt>
                  <c:pt idx="243">
                    <c:v>5.8000000000000005E-3</c:v>
                  </c:pt>
                  <c:pt idx="244">
                    <c:v>5.8000000000000005E-3</c:v>
                  </c:pt>
                  <c:pt idx="245">
                    <c:v>5.8000000000000005E-3</c:v>
                  </c:pt>
                  <c:pt idx="246">
                    <c:v>5.8000000000000005E-3</c:v>
                  </c:pt>
                  <c:pt idx="247">
                    <c:v>5.8000000000000005E-3</c:v>
                  </c:pt>
                  <c:pt idx="248">
                    <c:v>5.8000000000000005E-3</c:v>
                  </c:pt>
                  <c:pt idx="249">
                    <c:v>5.8000000000000005E-3</c:v>
                  </c:pt>
                  <c:pt idx="250">
                    <c:v>5.8000000000000005E-3</c:v>
                  </c:pt>
                  <c:pt idx="251">
                    <c:v>5.8000000000000005E-3</c:v>
                  </c:pt>
                  <c:pt idx="252">
                    <c:v>5.8000000000000005E-3</c:v>
                  </c:pt>
                  <c:pt idx="253">
                    <c:v>5.8000000000000005E-3</c:v>
                  </c:pt>
                  <c:pt idx="254">
                    <c:v>5.8000000000000005E-3</c:v>
                  </c:pt>
                  <c:pt idx="255">
                    <c:v>5.8000000000000005E-3</c:v>
                  </c:pt>
                  <c:pt idx="256">
                    <c:v>5.8000000000000005E-3</c:v>
                  </c:pt>
                  <c:pt idx="257">
                    <c:v>5.8000000000000005E-3</c:v>
                  </c:pt>
                  <c:pt idx="258">
                    <c:v>5.8000000000000005E-3</c:v>
                  </c:pt>
                  <c:pt idx="259">
                    <c:v>5.8000000000000005E-3</c:v>
                  </c:pt>
                  <c:pt idx="260">
                    <c:v>5.8000000000000005E-3</c:v>
                  </c:pt>
                  <c:pt idx="261">
                    <c:v>5.8000000000000005E-3</c:v>
                  </c:pt>
                  <c:pt idx="262">
                    <c:v>5.8000000000000005E-3</c:v>
                  </c:pt>
                  <c:pt idx="263">
                    <c:v>5.8000000000000005E-3</c:v>
                  </c:pt>
                  <c:pt idx="264">
                    <c:v>5.8000000000000005E-3</c:v>
                  </c:pt>
                  <c:pt idx="265">
                    <c:v>5.8000000000000005E-3</c:v>
                  </c:pt>
                  <c:pt idx="266">
                    <c:v>5.8000000000000005E-3</c:v>
                  </c:pt>
                  <c:pt idx="267">
                    <c:v>5.8000000000000005E-3</c:v>
                  </c:pt>
                  <c:pt idx="268">
                    <c:v>5.8000000000000005E-3</c:v>
                  </c:pt>
                  <c:pt idx="269">
                    <c:v>5.8000000000000005E-3</c:v>
                  </c:pt>
                  <c:pt idx="270">
                    <c:v>5.8000000000000005E-3</c:v>
                  </c:pt>
                  <c:pt idx="271">
                    <c:v>5.8000000000000005E-3</c:v>
                  </c:pt>
                  <c:pt idx="272">
                    <c:v>5.8000000000000005E-3</c:v>
                  </c:pt>
                  <c:pt idx="273">
                    <c:v>5.8000000000000005E-3</c:v>
                  </c:pt>
                  <c:pt idx="274">
                    <c:v>5.8000000000000005E-3</c:v>
                  </c:pt>
                  <c:pt idx="275">
                    <c:v>5.8000000000000005E-3</c:v>
                  </c:pt>
                  <c:pt idx="276">
                    <c:v>5.8000000000000005E-3</c:v>
                  </c:pt>
                  <c:pt idx="277">
                    <c:v>5.8000000000000005E-3</c:v>
                  </c:pt>
                  <c:pt idx="278">
                    <c:v>5.8000000000000005E-3</c:v>
                  </c:pt>
                  <c:pt idx="279">
                    <c:v>5.8000000000000005E-3</c:v>
                  </c:pt>
                  <c:pt idx="280">
                    <c:v>5.8000000000000005E-3</c:v>
                  </c:pt>
                  <c:pt idx="281">
                    <c:v>5.8000000000000005E-3</c:v>
                  </c:pt>
                  <c:pt idx="282">
                    <c:v>5.8000000000000005E-3</c:v>
                  </c:pt>
                  <c:pt idx="283">
                    <c:v>5.8000000000000005E-3</c:v>
                  </c:pt>
                  <c:pt idx="284">
                    <c:v>5.8000000000000005E-3</c:v>
                  </c:pt>
                  <c:pt idx="285">
                    <c:v>5.8000000000000005E-3</c:v>
                  </c:pt>
                  <c:pt idx="286">
                    <c:v>5.8000000000000005E-3</c:v>
                  </c:pt>
                  <c:pt idx="287">
                    <c:v>5.8000000000000005E-3</c:v>
                  </c:pt>
                  <c:pt idx="288">
                    <c:v>5.8000000000000005E-3</c:v>
                  </c:pt>
                  <c:pt idx="289">
                    <c:v>5.8000000000000005E-3</c:v>
                  </c:pt>
                  <c:pt idx="290">
                    <c:v>5.8000000000000005E-3</c:v>
                  </c:pt>
                  <c:pt idx="291">
                    <c:v>5.8000000000000005E-3</c:v>
                  </c:pt>
                  <c:pt idx="292">
                    <c:v>5.8000000000000005E-3</c:v>
                  </c:pt>
                  <c:pt idx="293">
                    <c:v>5.8000000000000005E-3</c:v>
                  </c:pt>
                  <c:pt idx="294">
                    <c:v>5.8000000000000005E-3</c:v>
                  </c:pt>
                  <c:pt idx="295">
                    <c:v>5.8000000000000005E-3</c:v>
                  </c:pt>
                  <c:pt idx="296">
                    <c:v>5.8000000000000005E-3</c:v>
                  </c:pt>
                  <c:pt idx="297">
                    <c:v>5.8000000000000005E-3</c:v>
                  </c:pt>
                  <c:pt idx="298">
                    <c:v>5.8000000000000005E-3</c:v>
                  </c:pt>
                  <c:pt idx="299">
                    <c:v>5.8000000000000005E-3</c:v>
                  </c:pt>
                  <c:pt idx="300">
                    <c:v>5.8000000000000005E-3</c:v>
                  </c:pt>
                  <c:pt idx="301">
                    <c:v>5.8000000000000005E-3</c:v>
                  </c:pt>
                  <c:pt idx="302">
                    <c:v>5.8000000000000005E-3</c:v>
                  </c:pt>
                  <c:pt idx="303">
                    <c:v>5.8000000000000005E-3</c:v>
                  </c:pt>
                  <c:pt idx="304">
                    <c:v>5.8000000000000005E-3</c:v>
                  </c:pt>
                  <c:pt idx="305">
                    <c:v>5.8000000000000005E-3</c:v>
                  </c:pt>
                  <c:pt idx="306">
                    <c:v>5.8000000000000005E-3</c:v>
                  </c:pt>
                  <c:pt idx="307">
                    <c:v>5.8000000000000005E-3</c:v>
                  </c:pt>
                  <c:pt idx="308">
                    <c:v>5.8000000000000005E-3</c:v>
                  </c:pt>
                  <c:pt idx="309">
                    <c:v>5.8000000000000005E-3</c:v>
                  </c:pt>
                  <c:pt idx="310">
                    <c:v>5.8000000000000005E-3</c:v>
                  </c:pt>
                  <c:pt idx="311">
                    <c:v>5.8000000000000005E-3</c:v>
                  </c:pt>
                  <c:pt idx="312">
                    <c:v>5.8000000000000005E-3</c:v>
                  </c:pt>
                  <c:pt idx="313">
                    <c:v>5.8000000000000005E-3</c:v>
                  </c:pt>
                  <c:pt idx="314">
                    <c:v>5.8000000000000005E-3</c:v>
                  </c:pt>
                  <c:pt idx="315">
                    <c:v>5.8000000000000005E-3</c:v>
                  </c:pt>
                  <c:pt idx="316">
                    <c:v>5.8000000000000005E-3</c:v>
                  </c:pt>
                  <c:pt idx="317">
                    <c:v>5.8000000000000005E-3</c:v>
                  </c:pt>
                  <c:pt idx="318">
                    <c:v>5.8000000000000005E-3</c:v>
                  </c:pt>
                  <c:pt idx="319">
                    <c:v>5.8000000000000005E-3</c:v>
                  </c:pt>
                  <c:pt idx="320">
                    <c:v>5.8000000000000005E-3</c:v>
                  </c:pt>
                  <c:pt idx="321">
                    <c:v>5.8000000000000005E-3</c:v>
                  </c:pt>
                  <c:pt idx="322">
                    <c:v>5.8000000000000005E-3</c:v>
                  </c:pt>
                  <c:pt idx="323">
                    <c:v>5.8000000000000005E-3</c:v>
                  </c:pt>
                  <c:pt idx="324">
                    <c:v>5.8000000000000005E-3</c:v>
                  </c:pt>
                  <c:pt idx="325">
                    <c:v>5.8000000000000005E-3</c:v>
                  </c:pt>
                  <c:pt idx="326">
                    <c:v>5.8000000000000005E-3</c:v>
                  </c:pt>
                  <c:pt idx="327">
                    <c:v>5.8000000000000005E-3</c:v>
                  </c:pt>
                  <c:pt idx="328">
                    <c:v>5.8000000000000005E-3</c:v>
                  </c:pt>
                  <c:pt idx="329">
                    <c:v>5.8000000000000005E-3</c:v>
                  </c:pt>
                  <c:pt idx="330">
                    <c:v>5.8000000000000005E-3</c:v>
                  </c:pt>
                  <c:pt idx="331">
                    <c:v>5.8000000000000005E-3</c:v>
                  </c:pt>
                  <c:pt idx="332">
                    <c:v>5.8000000000000005E-3</c:v>
                  </c:pt>
                  <c:pt idx="333">
                    <c:v>5.8000000000000005E-3</c:v>
                  </c:pt>
                  <c:pt idx="334">
                    <c:v>5.8000000000000005E-3</c:v>
                  </c:pt>
                  <c:pt idx="335">
                    <c:v>5.8000000000000005E-3</c:v>
                  </c:pt>
                  <c:pt idx="336">
                    <c:v>5.8000000000000005E-3</c:v>
                  </c:pt>
                  <c:pt idx="337">
                    <c:v>5.8000000000000005E-3</c:v>
                  </c:pt>
                  <c:pt idx="338">
                    <c:v>5.8000000000000005E-3</c:v>
                  </c:pt>
                  <c:pt idx="339">
                    <c:v>5.8000000000000005E-3</c:v>
                  </c:pt>
                  <c:pt idx="340">
                    <c:v>5.8000000000000005E-3</c:v>
                  </c:pt>
                  <c:pt idx="341">
                    <c:v>5.8000000000000005E-3</c:v>
                  </c:pt>
                  <c:pt idx="342">
                    <c:v>5.8000000000000005E-3</c:v>
                  </c:pt>
                  <c:pt idx="343">
                    <c:v>5.8000000000000005E-3</c:v>
                  </c:pt>
                  <c:pt idx="344">
                    <c:v>5.8000000000000005E-3</c:v>
                  </c:pt>
                  <c:pt idx="345">
                    <c:v>5.8000000000000005E-3</c:v>
                  </c:pt>
                  <c:pt idx="346">
                    <c:v>5.8000000000000005E-3</c:v>
                  </c:pt>
                </c:numCache>
              </c:numRef>
            </c:plus>
            <c:minus>
              <c:numRef>
                <c:f>'2'!$N$34:$N$380</c:f>
                <c:numCache>
                  <c:formatCode>General</c:formatCode>
                  <c:ptCount val="347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  <c:pt idx="195">
                    <c:v>5.8000000000000005E-3</c:v>
                  </c:pt>
                  <c:pt idx="196">
                    <c:v>5.8000000000000005E-3</c:v>
                  </c:pt>
                  <c:pt idx="197">
                    <c:v>5.8000000000000005E-3</c:v>
                  </c:pt>
                  <c:pt idx="198">
                    <c:v>5.8000000000000005E-3</c:v>
                  </c:pt>
                  <c:pt idx="199">
                    <c:v>5.8000000000000005E-3</c:v>
                  </c:pt>
                  <c:pt idx="200">
                    <c:v>5.8000000000000005E-3</c:v>
                  </c:pt>
                  <c:pt idx="201">
                    <c:v>5.8000000000000005E-3</c:v>
                  </c:pt>
                  <c:pt idx="202">
                    <c:v>5.8000000000000005E-3</c:v>
                  </c:pt>
                  <c:pt idx="203">
                    <c:v>5.8000000000000005E-3</c:v>
                  </c:pt>
                  <c:pt idx="204">
                    <c:v>5.8000000000000005E-3</c:v>
                  </c:pt>
                  <c:pt idx="205">
                    <c:v>5.8000000000000005E-3</c:v>
                  </c:pt>
                  <c:pt idx="206">
                    <c:v>5.8000000000000005E-3</c:v>
                  </c:pt>
                  <c:pt idx="207">
                    <c:v>5.8000000000000005E-3</c:v>
                  </c:pt>
                  <c:pt idx="208">
                    <c:v>5.8000000000000005E-3</c:v>
                  </c:pt>
                  <c:pt idx="209">
                    <c:v>5.8000000000000005E-3</c:v>
                  </c:pt>
                  <c:pt idx="210">
                    <c:v>5.8000000000000005E-3</c:v>
                  </c:pt>
                  <c:pt idx="211">
                    <c:v>5.8000000000000005E-3</c:v>
                  </c:pt>
                  <c:pt idx="212">
                    <c:v>5.8000000000000005E-3</c:v>
                  </c:pt>
                  <c:pt idx="213">
                    <c:v>5.8000000000000005E-3</c:v>
                  </c:pt>
                  <c:pt idx="214">
                    <c:v>5.8000000000000005E-3</c:v>
                  </c:pt>
                  <c:pt idx="215">
                    <c:v>5.8000000000000005E-3</c:v>
                  </c:pt>
                  <c:pt idx="216">
                    <c:v>5.8000000000000005E-3</c:v>
                  </c:pt>
                  <c:pt idx="217">
                    <c:v>5.8000000000000005E-3</c:v>
                  </c:pt>
                  <c:pt idx="218">
                    <c:v>5.8000000000000005E-3</c:v>
                  </c:pt>
                  <c:pt idx="219">
                    <c:v>5.8000000000000005E-3</c:v>
                  </c:pt>
                  <c:pt idx="220">
                    <c:v>5.8000000000000005E-3</c:v>
                  </c:pt>
                  <c:pt idx="221">
                    <c:v>5.8000000000000005E-3</c:v>
                  </c:pt>
                  <c:pt idx="222">
                    <c:v>5.8000000000000005E-3</c:v>
                  </c:pt>
                  <c:pt idx="223">
                    <c:v>5.8000000000000005E-3</c:v>
                  </c:pt>
                  <c:pt idx="224">
                    <c:v>5.8000000000000005E-3</c:v>
                  </c:pt>
                  <c:pt idx="225">
                    <c:v>5.8000000000000005E-3</c:v>
                  </c:pt>
                  <c:pt idx="226">
                    <c:v>5.8000000000000005E-3</c:v>
                  </c:pt>
                  <c:pt idx="227">
                    <c:v>5.8000000000000005E-3</c:v>
                  </c:pt>
                  <c:pt idx="228">
                    <c:v>5.8000000000000005E-3</c:v>
                  </c:pt>
                  <c:pt idx="229">
                    <c:v>5.8000000000000005E-3</c:v>
                  </c:pt>
                  <c:pt idx="230">
                    <c:v>5.8000000000000005E-3</c:v>
                  </c:pt>
                  <c:pt idx="231">
                    <c:v>5.8000000000000005E-3</c:v>
                  </c:pt>
                  <c:pt idx="232">
                    <c:v>5.8000000000000005E-3</c:v>
                  </c:pt>
                  <c:pt idx="233">
                    <c:v>5.8000000000000005E-3</c:v>
                  </c:pt>
                  <c:pt idx="234">
                    <c:v>5.8000000000000005E-3</c:v>
                  </c:pt>
                  <c:pt idx="235">
                    <c:v>5.8000000000000005E-3</c:v>
                  </c:pt>
                  <c:pt idx="236">
                    <c:v>5.8000000000000005E-3</c:v>
                  </c:pt>
                  <c:pt idx="237">
                    <c:v>5.8000000000000005E-3</c:v>
                  </c:pt>
                  <c:pt idx="238">
                    <c:v>5.8000000000000005E-3</c:v>
                  </c:pt>
                  <c:pt idx="239">
                    <c:v>5.8000000000000005E-3</c:v>
                  </c:pt>
                  <c:pt idx="240">
                    <c:v>5.8000000000000005E-3</c:v>
                  </c:pt>
                  <c:pt idx="241">
                    <c:v>5.8000000000000005E-3</c:v>
                  </c:pt>
                  <c:pt idx="242">
                    <c:v>5.8000000000000005E-3</c:v>
                  </c:pt>
                  <c:pt idx="243">
                    <c:v>5.8000000000000005E-3</c:v>
                  </c:pt>
                  <c:pt idx="244">
                    <c:v>5.8000000000000005E-3</c:v>
                  </c:pt>
                  <c:pt idx="245">
                    <c:v>5.8000000000000005E-3</c:v>
                  </c:pt>
                  <c:pt idx="246">
                    <c:v>5.8000000000000005E-3</c:v>
                  </c:pt>
                  <c:pt idx="247">
                    <c:v>5.8000000000000005E-3</c:v>
                  </c:pt>
                  <c:pt idx="248">
                    <c:v>5.8000000000000005E-3</c:v>
                  </c:pt>
                  <c:pt idx="249">
                    <c:v>5.8000000000000005E-3</c:v>
                  </c:pt>
                  <c:pt idx="250">
                    <c:v>5.8000000000000005E-3</c:v>
                  </c:pt>
                  <c:pt idx="251">
                    <c:v>5.8000000000000005E-3</c:v>
                  </c:pt>
                  <c:pt idx="252">
                    <c:v>5.8000000000000005E-3</c:v>
                  </c:pt>
                  <c:pt idx="253">
                    <c:v>5.8000000000000005E-3</c:v>
                  </c:pt>
                  <c:pt idx="254">
                    <c:v>5.8000000000000005E-3</c:v>
                  </c:pt>
                  <c:pt idx="255">
                    <c:v>5.8000000000000005E-3</c:v>
                  </c:pt>
                  <c:pt idx="256">
                    <c:v>5.8000000000000005E-3</c:v>
                  </c:pt>
                  <c:pt idx="257">
                    <c:v>5.8000000000000005E-3</c:v>
                  </c:pt>
                  <c:pt idx="258">
                    <c:v>5.8000000000000005E-3</c:v>
                  </c:pt>
                  <c:pt idx="259">
                    <c:v>5.8000000000000005E-3</c:v>
                  </c:pt>
                  <c:pt idx="260">
                    <c:v>5.8000000000000005E-3</c:v>
                  </c:pt>
                  <c:pt idx="261">
                    <c:v>5.8000000000000005E-3</c:v>
                  </c:pt>
                  <c:pt idx="262">
                    <c:v>5.8000000000000005E-3</c:v>
                  </c:pt>
                  <c:pt idx="263">
                    <c:v>5.8000000000000005E-3</c:v>
                  </c:pt>
                  <c:pt idx="264">
                    <c:v>5.8000000000000005E-3</c:v>
                  </c:pt>
                  <c:pt idx="265">
                    <c:v>5.8000000000000005E-3</c:v>
                  </c:pt>
                  <c:pt idx="266">
                    <c:v>5.8000000000000005E-3</c:v>
                  </c:pt>
                  <c:pt idx="267">
                    <c:v>5.8000000000000005E-3</c:v>
                  </c:pt>
                  <c:pt idx="268">
                    <c:v>5.8000000000000005E-3</c:v>
                  </c:pt>
                  <c:pt idx="269">
                    <c:v>5.8000000000000005E-3</c:v>
                  </c:pt>
                  <c:pt idx="270">
                    <c:v>5.8000000000000005E-3</c:v>
                  </c:pt>
                  <c:pt idx="271">
                    <c:v>5.8000000000000005E-3</c:v>
                  </c:pt>
                  <c:pt idx="272">
                    <c:v>5.8000000000000005E-3</c:v>
                  </c:pt>
                  <c:pt idx="273">
                    <c:v>5.8000000000000005E-3</c:v>
                  </c:pt>
                  <c:pt idx="274">
                    <c:v>5.8000000000000005E-3</c:v>
                  </c:pt>
                  <c:pt idx="275">
                    <c:v>5.8000000000000005E-3</c:v>
                  </c:pt>
                  <c:pt idx="276">
                    <c:v>5.8000000000000005E-3</c:v>
                  </c:pt>
                  <c:pt idx="277">
                    <c:v>5.8000000000000005E-3</c:v>
                  </c:pt>
                  <c:pt idx="278">
                    <c:v>5.8000000000000005E-3</c:v>
                  </c:pt>
                  <c:pt idx="279">
                    <c:v>5.8000000000000005E-3</c:v>
                  </c:pt>
                  <c:pt idx="280">
                    <c:v>5.8000000000000005E-3</c:v>
                  </c:pt>
                  <c:pt idx="281">
                    <c:v>5.8000000000000005E-3</c:v>
                  </c:pt>
                  <c:pt idx="282">
                    <c:v>5.8000000000000005E-3</c:v>
                  </c:pt>
                  <c:pt idx="283">
                    <c:v>5.8000000000000005E-3</c:v>
                  </c:pt>
                  <c:pt idx="284">
                    <c:v>5.8000000000000005E-3</c:v>
                  </c:pt>
                  <c:pt idx="285">
                    <c:v>5.8000000000000005E-3</c:v>
                  </c:pt>
                  <c:pt idx="286">
                    <c:v>5.8000000000000005E-3</c:v>
                  </c:pt>
                  <c:pt idx="287">
                    <c:v>5.8000000000000005E-3</c:v>
                  </c:pt>
                  <c:pt idx="288">
                    <c:v>5.8000000000000005E-3</c:v>
                  </c:pt>
                  <c:pt idx="289">
                    <c:v>5.8000000000000005E-3</c:v>
                  </c:pt>
                  <c:pt idx="290">
                    <c:v>5.8000000000000005E-3</c:v>
                  </c:pt>
                  <c:pt idx="291">
                    <c:v>5.8000000000000005E-3</c:v>
                  </c:pt>
                  <c:pt idx="292">
                    <c:v>5.8000000000000005E-3</c:v>
                  </c:pt>
                  <c:pt idx="293">
                    <c:v>5.8000000000000005E-3</c:v>
                  </c:pt>
                  <c:pt idx="294">
                    <c:v>5.8000000000000005E-3</c:v>
                  </c:pt>
                  <c:pt idx="295">
                    <c:v>5.8000000000000005E-3</c:v>
                  </c:pt>
                  <c:pt idx="296">
                    <c:v>5.8000000000000005E-3</c:v>
                  </c:pt>
                  <c:pt idx="297">
                    <c:v>5.8000000000000005E-3</c:v>
                  </c:pt>
                  <c:pt idx="298">
                    <c:v>5.8000000000000005E-3</c:v>
                  </c:pt>
                  <c:pt idx="299">
                    <c:v>5.8000000000000005E-3</c:v>
                  </c:pt>
                  <c:pt idx="300">
                    <c:v>5.8000000000000005E-3</c:v>
                  </c:pt>
                  <c:pt idx="301">
                    <c:v>5.8000000000000005E-3</c:v>
                  </c:pt>
                  <c:pt idx="302">
                    <c:v>5.8000000000000005E-3</c:v>
                  </c:pt>
                  <c:pt idx="303">
                    <c:v>5.8000000000000005E-3</c:v>
                  </c:pt>
                  <c:pt idx="304">
                    <c:v>5.8000000000000005E-3</c:v>
                  </c:pt>
                  <c:pt idx="305">
                    <c:v>5.8000000000000005E-3</c:v>
                  </c:pt>
                  <c:pt idx="306">
                    <c:v>5.8000000000000005E-3</c:v>
                  </c:pt>
                  <c:pt idx="307">
                    <c:v>5.8000000000000005E-3</c:v>
                  </c:pt>
                  <c:pt idx="308">
                    <c:v>5.8000000000000005E-3</c:v>
                  </c:pt>
                  <c:pt idx="309">
                    <c:v>5.8000000000000005E-3</c:v>
                  </c:pt>
                  <c:pt idx="310">
                    <c:v>5.8000000000000005E-3</c:v>
                  </c:pt>
                  <c:pt idx="311">
                    <c:v>5.8000000000000005E-3</c:v>
                  </c:pt>
                  <c:pt idx="312">
                    <c:v>5.8000000000000005E-3</c:v>
                  </c:pt>
                  <c:pt idx="313">
                    <c:v>5.8000000000000005E-3</c:v>
                  </c:pt>
                  <c:pt idx="314">
                    <c:v>5.8000000000000005E-3</c:v>
                  </c:pt>
                  <c:pt idx="315">
                    <c:v>5.8000000000000005E-3</c:v>
                  </c:pt>
                  <c:pt idx="316">
                    <c:v>5.8000000000000005E-3</c:v>
                  </c:pt>
                  <c:pt idx="317">
                    <c:v>5.8000000000000005E-3</c:v>
                  </c:pt>
                  <c:pt idx="318">
                    <c:v>5.8000000000000005E-3</c:v>
                  </c:pt>
                  <c:pt idx="319">
                    <c:v>5.8000000000000005E-3</c:v>
                  </c:pt>
                  <c:pt idx="320">
                    <c:v>5.8000000000000005E-3</c:v>
                  </c:pt>
                  <c:pt idx="321">
                    <c:v>5.8000000000000005E-3</c:v>
                  </c:pt>
                  <c:pt idx="322">
                    <c:v>5.8000000000000005E-3</c:v>
                  </c:pt>
                  <c:pt idx="323">
                    <c:v>5.8000000000000005E-3</c:v>
                  </c:pt>
                  <c:pt idx="324">
                    <c:v>5.8000000000000005E-3</c:v>
                  </c:pt>
                  <c:pt idx="325">
                    <c:v>5.8000000000000005E-3</c:v>
                  </c:pt>
                  <c:pt idx="326">
                    <c:v>5.8000000000000005E-3</c:v>
                  </c:pt>
                  <c:pt idx="327">
                    <c:v>5.8000000000000005E-3</c:v>
                  </c:pt>
                  <c:pt idx="328">
                    <c:v>5.8000000000000005E-3</c:v>
                  </c:pt>
                  <c:pt idx="329">
                    <c:v>5.8000000000000005E-3</c:v>
                  </c:pt>
                  <c:pt idx="330">
                    <c:v>5.8000000000000005E-3</c:v>
                  </c:pt>
                  <c:pt idx="331">
                    <c:v>5.8000000000000005E-3</c:v>
                  </c:pt>
                  <c:pt idx="332">
                    <c:v>5.8000000000000005E-3</c:v>
                  </c:pt>
                  <c:pt idx="333">
                    <c:v>5.8000000000000005E-3</c:v>
                  </c:pt>
                  <c:pt idx="334">
                    <c:v>5.8000000000000005E-3</c:v>
                  </c:pt>
                  <c:pt idx="335">
                    <c:v>5.8000000000000005E-3</c:v>
                  </c:pt>
                  <c:pt idx="336">
                    <c:v>5.8000000000000005E-3</c:v>
                  </c:pt>
                  <c:pt idx="337">
                    <c:v>5.8000000000000005E-3</c:v>
                  </c:pt>
                  <c:pt idx="338">
                    <c:v>5.8000000000000005E-3</c:v>
                  </c:pt>
                  <c:pt idx="339">
                    <c:v>5.8000000000000005E-3</c:v>
                  </c:pt>
                  <c:pt idx="340">
                    <c:v>5.8000000000000005E-3</c:v>
                  </c:pt>
                  <c:pt idx="341">
                    <c:v>5.8000000000000005E-3</c:v>
                  </c:pt>
                  <c:pt idx="342">
                    <c:v>5.8000000000000005E-3</c:v>
                  </c:pt>
                  <c:pt idx="343">
                    <c:v>5.8000000000000005E-3</c:v>
                  </c:pt>
                  <c:pt idx="344">
                    <c:v>5.8000000000000005E-3</c:v>
                  </c:pt>
                  <c:pt idx="345">
                    <c:v>5.8000000000000005E-3</c:v>
                  </c:pt>
                  <c:pt idx="346">
                    <c:v>5.8000000000000005E-3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'2'!$K$34:$K$380</c:f>
              <c:numCache>
                <c:formatCode>General</c:formatCode>
                <c:ptCount val="347"/>
                <c:pt idx="0">
                  <c:v>-101</c:v>
                </c:pt>
                <c:pt idx="1">
                  <c:v>-98.099998474121094</c:v>
                </c:pt>
                <c:pt idx="2">
                  <c:v>-98.099998474121094</c:v>
                </c:pt>
                <c:pt idx="3">
                  <c:v>-98.099998474121094</c:v>
                </c:pt>
                <c:pt idx="4">
                  <c:v>-98.099998474121094</c:v>
                </c:pt>
                <c:pt idx="5">
                  <c:v>-97.099998474121094</c:v>
                </c:pt>
                <c:pt idx="6">
                  <c:v>-97.300003051757798</c:v>
                </c:pt>
                <c:pt idx="7">
                  <c:v>-94.599998474121094</c:v>
                </c:pt>
                <c:pt idx="8">
                  <c:v>-91.099998474121094</c:v>
                </c:pt>
                <c:pt idx="9">
                  <c:v>-91.099998474121094</c:v>
                </c:pt>
                <c:pt idx="10">
                  <c:v>-91.099998474121094</c:v>
                </c:pt>
                <c:pt idx="11">
                  <c:v>-90.199996948242202</c:v>
                </c:pt>
                <c:pt idx="12">
                  <c:v>-89.300003051757798</c:v>
                </c:pt>
                <c:pt idx="13">
                  <c:v>-88.300003051757798</c:v>
                </c:pt>
                <c:pt idx="14">
                  <c:v>-87.900001525878906</c:v>
                </c:pt>
                <c:pt idx="15">
                  <c:v>-85.5</c:v>
                </c:pt>
                <c:pt idx="16">
                  <c:v>-84</c:v>
                </c:pt>
                <c:pt idx="17">
                  <c:v>-84</c:v>
                </c:pt>
                <c:pt idx="18">
                  <c:v>-82.199996948242202</c:v>
                </c:pt>
                <c:pt idx="19">
                  <c:v>-82</c:v>
                </c:pt>
                <c:pt idx="20">
                  <c:v>-78.599998474121094</c:v>
                </c:pt>
                <c:pt idx="21">
                  <c:v>-75.199996948242202</c:v>
                </c:pt>
                <c:pt idx="22">
                  <c:v>-74.900001525878906</c:v>
                </c:pt>
                <c:pt idx="23">
                  <c:v>-74.099998474121094</c:v>
                </c:pt>
                <c:pt idx="24">
                  <c:v>-68.099998474121094</c:v>
                </c:pt>
                <c:pt idx="25">
                  <c:v>-66.300003051757798</c:v>
                </c:pt>
                <c:pt idx="26">
                  <c:v>-64.599998474121094</c:v>
                </c:pt>
                <c:pt idx="27">
                  <c:v>-64.599998474121094</c:v>
                </c:pt>
                <c:pt idx="28">
                  <c:v>-59.799999237060497</c:v>
                </c:pt>
                <c:pt idx="29">
                  <c:v>-58</c:v>
                </c:pt>
                <c:pt idx="30">
                  <c:v>-57.5</c:v>
                </c:pt>
                <c:pt idx="31">
                  <c:v>-56.5</c:v>
                </c:pt>
                <c:pt idx="32">
                  <c:v>-55.400001525878899</c:v>
                </c:pt>
                <c:pt idx="33">
                  <c:v>-53.900001525878899</c:v>
                </c:pt>
                <c:pt idx="34">
                  <c:v>-53.900001525878899</c:v>
                </c:pt>
                <c:pt idx="35">
                  <c:v>-52.200000762939503</c:v>
                </c:pt>
                <c:pt idx="36">
                  <c:v>-50.700000762939503</c:v>
                </c:pt>
                <c:pt idx="37">
                  <c:v>-50.400001525878899</c:v>
                </c:pt>
                <c:pt idx="38">
                  <c:v>-48.599998474121101</c:v>
                </c:pt>
                <c:pt idx="39">
                  <c:v>0</c:v>
                </c:pt>
                <c:pt idx="40">
                  <c:v>-43.090000152587898</c:v>
                </c:pt>
                <c:pt idx="41">
                  <c:v>-42.639999389648402</c:v>
                </c:pt>
                <c:pt idx="42">
                  <c:v>-41.630001068115199</c:v>
                </c:pt>
                <c:pt idx="43">
                  <c:v>-39.630001068115199</c:v>
                </c:pt>
                <c:pt idx="44">
                  <c:v>-38.099998474121101</c:v>
                </c:pt>
                <c:pt idx="45">
                  <c:v>-37.330001831054702</c:v>
                </c:pt>
                <c:pt idx="46">
                  <c:v>-36.319999694824197</c:v>
                </c:pt>
                <c:pt idx="47">
                  <c:v>-36.319999694824197</c:v>
                </c:pt>
                <c:pt idx="48">
                  <c:v>-34.849998474121101</c:v>
                </c:pt>
                <c:pt idx="49">
                  <c:v>-34.490001678466797</c:v>
                </c:pt>
                <c:pt idx="50">
                  <c:v>-32.790000915527301</c:v>
                </c:pt>
                <c:pt idx="51">
                  <c:v>-31.0200004577637</c:v>
                </c:pt>
                <c:pt idx="52">
                  <c:v>-30.319999694824201</c:v>
                </c:pt>
                <c:pt idx="53">
                  <c:v>-28.879999160766602</c:v>
                </c:pt>
                <c:pt idx="54">
                  <c:v>-26.579999923706101</c:v>
                </c:pt>
                <c:pt idx="55">
                  <c:v>-23.940000534057599</c:v>
                </c:pt>
                <c:pt idx="56">
                  <c:v>-20.110000610351602</c:v>
                </c:pt>
                <c:pt idx="57">
                  <c:v>-17.309999465942401</c:v>
                </c:pt>
                <c:pt idx="58">
                  <c:v>-13.8800001144409</c:v>
                </c:pt>
                <c:pt idx="59">
                  <c:v>-11.6300001144409</c:v>
                </c:pt>
                <c:pt idx="60">
                  <c:v>-2.9400000572204599</c:v>
                </c:pt>
                <c:pt idx="61">
                  <c:v>-0.479999989271164</c:v>
                </c:pt>
                <c:pt idx="62">
                  <c:v>0.61000001430511497</c:v>
                </c:pt>
                <c:pt idx="63">
                  <c:v>0.72000002861022905</c:v>
                </c:pt>
                <c:pt idx="64">
                  <c:v>4.1900000572204599</c:v>
                </c:pt>
                <c:pt idx="65">
                  <c:v>4.3200001716613796</c:v>
                </c:pt>
                <c:pt idx="66">
                  <c:v>5.9899997711181596</c:v>
                </c:pt>
                <c:pt idx="67">
                  <c:v>6.6799998283386204</c:v>
                </c:pt>
                <c:pt idx="68">
                  <c:v>7.7199997901916504</c:v>
                </c:pt>
                <c:pt idx="69">
                  <c:v>8.4399995803833008</c:v>
                </c:pt>
                <c:pt idx="70">
                  <c:v>9.4899997711181605</c:v>
                </c:pt>
                <c:pt idx="71">
                  <c:v>9.5</c:v>
                </c:pt>
                <c:pt idx="72">
                  <c:v>9.5500001907348597</c:v>
                </c:pt>
                <c:pt idx="73">
                  <c:v>10.4099998474121</c:v>
                </c:pt>
                <c:pt idx="74">
                  <c:v>11.2700004577637</c:v>
                </c:pt>
                <c:pt idx="75">
                  <c:v>12.420000076293899</c:v>
                </c:pt>
                <c:pt idx="76">
                  <c:v>13.1000003814697</c:v>
                </c:pt>
                <c:pt idx="77">
                  <c:v>13.1000003814697</c:v>
                </c:pt>
                <c:pt idx="78">
                  <c:v>13.060000419616699</c:v>
                </c:pt>
                <c:pt idx="79">
                  <c:v>13.050000190734901</c:v>
                </c:pt>
                <c:pt idx="80">
                  <c:v>13.329999923706101</c:v>
                </c:pt>
                <c:pt idx="81">
                  <c:v>14.8500003814697</c:v>
                </c:pt>
                <c:pt idx="82">
                  <c:v>14.8599996566772</c:v>
                </c:pt>
                <c:pt idx="83">
                  <c:v>16.540000915527301</c:v>
                </c:pt>
                <c:pt idx="84">
                  <c:v>17.180000305175799</c:v>
                </c:pt>
                <c:pt idx="85">
                  <c:v>17.75</c:v>
                </c:pt>
                <c:pt idx="86">
                  <c:v>18.350000381469702</c:v>
                </c:pt>
                <c:pt idx="87">
                  <c:v>18.319999694824201</c:v>
                </c:pt>
                <c:pt idx="88">
                  <c:v>18.850000381469702</c:v>
                </c:pt>
                <c:pt idx="89">
                  <c:v>25.450000762939499</c:v>
                </c:pt>
                <c:pt idx="90">
                  <c:v>33.659999847412102</c:v>
                </c:pt>
                <c:pt idx="91">
                  <c:v>37.689998626708999</c:v>
                </c:pt>
                <c:pt idx="92">
                  <c:v>41.2299995422363</c:v>
                </c:pt>
                <c:pt idx="93">
                  <c:v>41.790000915527301</c:v>
                </c:pt>
                <c:pt idx="94">
                  <c:v>42.990001678466797</c:v>
                </c:pt>
                <c:pt idx="95">
                  <c:v>44.720001220703097</c:v>
                </c:pt>
                <c:pt idx="96">
                  <c:v>46.490001678466797</c:v>
                </c:pt>
                <c:pt idx="97">
                  <c:v>47.349998474121101</c:v>
                </c:pt>
                <c:pt idx="98">
                  <c:v>53.5</c:v>
                </c:pt>
                <c:pt idx="99">
                  <c:v>48.299999237060497</c:v>
                </c:pt>
                <c:pt idx="100">
                  <c:v>48.299999237060497</c:v>
                </c:pt>
                <c:pt idx="101">
                  <c:v>50.400001525878899</c:v>
                </c:pt>
                <c:pt idx="102">
                  <c:v>55.200000762939503</c:v>
                </c:pt>
                <c:pt idx="103">
                  <c:v>55.299999237060497</c:v>
                </c:pt>
                <c:pt idx="104">
                  <c:v>55.299999237060497</c:v>
                </c:pt>
                <c:pt idx="105">
                  <c:v>55.900001525878899</c:v>
                </c:pt>
                <c:pt idx="106">
                  <c:v>58</c:v>
                </c:pt>
                <c:pt idx="107">
                  <c:v>59.599998474121101</c:v>
                </c:pt>
                <c:pt idx="108">
                  <c:v>63.099998474121101</c:v>
                </c:pt>
                <c:pt idx="109">
                  <c:v>64.099998474121094</c:v>
                </c:pt>
                <c:pt idx="110">
                  <c:v>64.300003051757798</c:v>
                </c:pt>
                <c:pt idx="111">
                  <c:v>65.900001525878906</c:v>
                </c:pt>
                <c:pt idx="112">
                  <c:v>70.099998474121094</c:v>
                </c:pt>
                <c:pt idx="113">
                  <c:v>73.900001525878906</c:v>
                </c:pt>
                <c:pt idx="114">
                  <c:v>76.199996948242202</c:v>
                </c:pt>
                <c:pt idx="115">
                  <c:v>77.900001525878906</c:v>
                </c:pt>
                <c:pt idx="116">
                  <c:v>79.900001525878906</c:v>
                </c:pt>
                <c:pt idx="117">
                  <c:v>84.300003051757798</c:v>
                </c:pt>
                <c:pt idx="118">
                  <c:v>86.900001525878906</c:v>
                </c:pt>
                <c:pt idx="119">
                  <c:v>89</c:v>
                </c:pt>
                <c:pt idx="120">
                  <c:v>95.699996948242202</c:v>
                </c:pt>
                <c:pt idx="121">
                  <c:v>97.699996948242202</c:v>
                </c:pt>
                <c:pt idx="122">
                  <c:v>100.90000152587901</c:v>
                </c:pt>
                <c:pt idx="123">
                  <c:v>101.09999847412099</c:v>
                </c:pt>
                <c:pt idx="124">
                  <c:v>100.90000152587901</c:v>
                </c:pt>
                <c:pt idx="125">
                  <c:v>103.5</c:v>
                </c:pt>
                <c:pt idx="126">
                  <c:v>105.5</c:v>
                </c:pt>
                <c:pt idx="127">
                  <c:v>108</c:v>
                </c:pt>
                <c:pt idx="128">
                  <c:v>110.800003051758</c:v>
                </c:pt>
                <c:pt idx="129">
                  <c:v>111.5</c:v>
                </c:pt>
                <c:pt idx="130">
                  <c:v>111.5</c:v>
                </c:pt>
                <c:pt idx="131">
                  <c:v>112.90000152587901</c:v>
                </c:pt>
                <c:pt idx="132">
                  <c:v>113.199996948242</c:v>
                </c:pt>
                <c:pt idx="133">
                  <c:v>115</c:v>
                </c:pt>
                <c:pt idx="134">
                  <c:v>115.90000152587901</c:v>
                </c:pt>
                <c:pt idx="135">
                  <c:v>122</c:v>
                </c:pt>
                <c:pt idx="136">
                  <c:v>124.59999847412099</c:v>
                </c:pt>
                <c:pt idx="137">
                  <c:v>129</c:v>
                </c:pt>
                <c:pt idx="138">
                  <c:v>134.80000305175801</c:v>
                </c:pt>
                <c:pt idx="139">
                  <c:v>139.10000610351599</c:v>
                </c:pt>
                <c:pt idx="140">
                  <c:v>143.69999694824199</c:v>
                </c:pt>
                <c:pt idx="141">
                  <c:v>146.60000610351599</c:v>
                </c:pt>
                <c:pt idx="142">
                  <c:v>149.10000610351599</c:v>
                </c:pt>
                <c:pt idx="143">
                  <c:v>151.60000610351599</c:v>
                </c:pt>
                <c:pt idx="144">
                  <c:v>153.69999694824199</c:v>
                </c:pt>
                <c:pt idx="145">
                  <c:v>157.60000610351599</c:v>
                </c:pt>
                <c:pt idx="146">
                  <c:v>171.89999389648401</c:v>
                </c:pt>
                <c:pt idx="147">
                  <c:v>176.80000305175801</c:v>
                </c:pt>
                <c:pt idx="148">
                  <c:v>177.30000305175801</c:v>
                </c:pt>
                <c:pt idx="149">
                  <c:v>178.30000305175801</c:v>
                </c:pt>
                <c:pt idx="150">
                  <c:v>187.89999389648401</c:v>
                </c:pt>
                <c:pt idx="151">
                  <c:v>189</c:v>
                </c:pt>
                <c:pt idx="152">
                  <c:v>189.89999389648401</c:v>
                </c:pt>
                <c:pt idx="153">
                  <c:v>193.10000610351599</c:v>
                </c:pt>
                <c:pt idx="154">
                  <c:v>194.80000305175801</c:v>
                </c:pt>
                <c:pt idx="155">
                  <c:v>195</c:v>
                </c:pt>
                <c:pt idx="156">
                  <c:v>196.60000610351599</c:v>
                </c:pt>
                <c:pt idx="157">
                  <c:v>198.30000305175801</c:v>
                </c:pt>
                <c:pt idx="158">
                  <c:v>201.89999389648401</c:v>
                </c:pt>
                <c:pt idx="159">
                  <c:v>205.89999389648401</c:v>
                </c:pt>
                <c:pt idx="160">
                  <c:v>209.39999389648401</c:v>
                </c:pt>
                <c:pt idx="161">
                  <c:v>213.10000610351599</c:v>
                </c:pt>
                <c:pt idx="162">
                  <c:v>217.5</c:v>
                </c:pt>
                <c:pt idx="163">
                  <c:v>219.39999389648401</c:v>
                </c:pt>
                <c:pt idx="164">
                  <c:v>222.10000610351599</c:v>
                </c:pt>
                <c:pt idx="165">
                  <c:v>224.60000610351599</c:v>
                </c:pt>
                <c:pt idx="166">
                  <c:v>226.30000305175801</c:v>
                </c:pt>
                <c:pt idx="167">
                  <c:v>239.69999694824199</c:v>
                </c:pt>
                <c:pt idx="168">
                  <c:v>242.69999694824199</c:v>
                </c:pt>
                <c:pt idx="169">
                  <c:v>248.5</c:v>
                </c:pt>
                <c:pt idx="170">
                  <c:v>244.89999389648401</c:v>
                </c:pt>
                <c:pt idx="171">
                  <c:v>248</c:v>
                </c:pt>
                <c:pt idx="172">
                  <c:v>249.5</c:v>
                </c:pt>
                <c:pt idx="173">
                  <c:v>252.69999694824199</c:v>
                </c:pt>
                <c:pt idx="174">
                  <c:v>254.89999389648401</c:v>
                </c:pt>
                <c:pt idx="175">
                  <c:v>256.79998779296898</c:v>
                </c:pt>
                <c:pt idx="176">
                  <c:v>258.10000610351602</c:v>
                </c:pt>
                <c:pt idx="177">
                  <c:v>259.60000610351602</c:v>
                </c:pt>
                <c:pt idx="178">
                  <c:v>260.60000610351602</c:v>
                </c:pt>
                <c:pt idx="179">
                  <c:v>263.60000610351602</c:v>
                </c:pt>
                <c:pt idx="180">
                  <c:v>267.5</c:v>
                </c:pt>
                <c:pt idx="181">
                  <c:v>271.20001220703102</c:v>
                </c:pt>
                <c:pt idx="182">
                  <c:v>273.89999389648398</c:v>
                </c:pt>
                <c:pt idx="183">
                  <c:v>275.89999389648398</c:v>
                </c:pt>
                <c:pt idx="184">
                  <c:v>281.20001220703102</c:v>
                </c:pt>
                <c:pt idx="185">
                  <c:v>284</c:v>
                </c:pt>
                <c:pt idx="186">
                  <c:v>285.20001220703102</c:v>
                </c:pt>
                <c:pt idx="187">
                  <c:v>290.39999389648398</c:v>
                </c:pt>
                <c:pt idx="188">
                  <c:v>292.89999389648398</c:v>
                </c:pt>
                <c:pt idx="189">
                  <c:v>294.60000610351602</c:v>
                </c:pt>
                <c:pt idx="190">
                  <c:v>297.20001220703102</c:v>
                </c:pt>
                <c:pt idx="191">
                  <c:v>298.79998779296898</c:v>
                </c:pt>
                <c:pt idx="192">
                  <c:v>314.10000610351602</c:v>
                </c:pt>
                <c:pt idx="193">
                  <c:v>316.70001220703102</c:v>
                </c:pt>
                <c:pt idx="194">
                  <c:v>321.79998779296898</c:v>
                </c:pt>
                <c:pt idx="195">
                  <c:v>324.29998779296898</c:v>
                </c:pt>
                <c:pt idx="196">
                  <c:v>326</c:v>
                </c:pt>
                <c:pt idx="197">
                  <c:v>329.60000610351602</c:v>
                </c:pt>
                <c:pt idx="198">
                  <c:v>331.10000610351602</c:v>
                </c:pt>
                <c:pt idx="199">
                  <c:v>331.60000610351602</c:v>
                </c:pt>
                <c:pt idx="200">
                  <c:v>331.89999389648398</c:v>
                </c:pt>
                <c:pt idx="201">
                  <c:v>331.79998779296898</c:v>
                </c:pt>
                <c:pt idx="202">
                  <c:v>331.39999389648398</c:v>
                </c:pt>
                <c:pt idx="203">
                  <c:v>336.10000610351602</c:v>
                </c:pt>
                <c:pt idx="204">
                  <c:v>337.60000610351602</c:v>
                </c:pt>
                <c:pt idx="205">
                  <c:v>337.60000610351602</c:v>
                </c:pt>
                <c:pt idx="206">
                  <c:v>337.60000610351602</c:v>
                </c:pt>
                <c:pt idx="207">
                  <c:v>338.70001220703102</c:v>
                </c:pt>
                <c:pt idx="208">
                  <c:v>340.79998779296898</c:v>
                </c:pt>
                <c:pt idx="209">
                  <c:v>341.39999389648398</c:v>
                </c:pt>
                <c:pt idx="210">
                  <c:v>342.39999389648398</c:v>
                </c:pt>
                <c:pt idx="211">
                  <c:v>342.39999389648398</c:v>
                </c:pt>
                <c:pt idx="212">
                  <c:v>344</c:v>
                </c:pt>
                <c:pt idx="213">
                  <c:v>345.5</c:v>
                </c:pt>
                <c:pt idx="214">
                  <c:v>347.20001220703102</c:v>
                </c:pt>
                <c:pt idx="215">
                  <c:v>347.5</c:v>
                </c:pt>
                <c:pt idx="216">
                  <c:v>348.70001220703102</c:v>
                </c:pt>
                <c:pt idx="217">
                  <c:v>350.39999389648398</c:v>
                </c:pt>
                <c:pt idx="218">
                  <c:v>352.10000610351602</c:v>
                </c:pt>
                <c:pt idx="219">
                  <c:v>353.60000610351602</c:v>
                </c:pt>
                <c:pt idx="220">
                  <c:v>355.20001220703102</c:v>
                </c:pt>
                <c:pt idx="221">
                  <c:v>356.29998779296898</c:v>
                </c:pt>
                <c:pt idx="222">
                  <c:v>356.79998779296898</c:v>
                </c:pt>
                <c:pt idx="223">
                  <c:v>358.79998779296898</c:v>
                </c:pt>
                <c:pt idx="224">
                  <c:v>360.60000610351602</c:v>
                </c:pt>
                <c:pt idx="225">
                  <c:v>363.10000610351602</c:v>
                </c:pt>
                <c:pt idx="226">
                  <c:v>369.29998779296898</c:v>
                </c:pt>
                <c:pt idx="227">
                  <c:v>370.79998779296898</c:v>
                </c:pt>
                <c:pt idx="228">
                  <c:v>371.60000610351602</c:v>
                </c:pt>
                <c:pt idx="229">
                  <c:v>372.20001220703102</c:v>
                </c:pt>
                <c:pt idx="230">
                  <c:v>374.79998779296898</c:v>
                </c:pt>
                <c:pt idx="231">
                  <c:v>375.70001220703102</c:v>
                </c:pt>
                <c:pt idx="232">
                  <c:v>378</c:v>
                </c:pt>
                <c:pt idx="233">
                  <c:v>378.20001220703102</c:v>
                </c:pt>
                <c:pt idx="234">
                  <c:v>378.10000610351602</c:v>
                </c:pt>
                <c:pt idx="235">
                  <c:v>379.89999389648398</c:v>
                </c:pt>
                <c:pt idx="236">
                  <c:v>381</c:v>
                </c:pt>
                <c:pt idx="237">
                  <c:v>381.29998779296898</c:v>
                </c:pt>
                <c:pt idx="238">
                  <c:v>383.5</c:v>
                </c:pt>
                <c:pt idx="239">
                  <c:v>383.89999389648398</c:v>
                </c:pt>
                <c:pt idx="240">
                  <c:v>384.89999389648398</c:v>
                </c:pt>
                <c:pt idx="241">
                  <c:v>385.39999389648398</c:v>
                </c:pt>
                <c:pt idx="242">
                  <c:v>387.10000610351602</c:v>
                </c:pt>
                <c:pt idx="243">
                  <c:v>387</c:v>
                </c:pt>
                <c:pt idx="244">
                  <c:v>388.39999389648398</c:v>
                </c:pt>
                <c:pt idx="245">
                  <c:v>388.29998779296898</c:v>
                </c:pt>
                <c:pt idx="246">
                  <c:v>389.5</c:v>
                </c:pt>
                <c:pt idx="247">
                  <c:v>389.60000610351602</c:v>
                </c:pt>
                <c:pt idx="248">
                  <c:v>391.20001220703102</c:v>
                </c:pt>
                <c:pt idx="249">
                  <c:v>394.20001220703102</c:v>
                </c:pt>
                <c:pt idx="250">
                  <c:v>394.29998779296898</c:v>
                </c:pt>
                <c:pt idx="251">
                  <c:v>394.39999389648398</c:v>
                </c:pt>
                <c:pt idx="252">
                  <c:v>395.5</c:v>
                </c:pt>
                <c:pt idx="253">
                  <c:v>397.39999389648398</c:v>
                </c:pt>
                <c:pt idx="254">
                  <c:v>399.89999389648398</c:v>
                </c:pt>
                <c:pt idx="255">
                  <c:v>401.29998779296898</c:v>
                </c:pt>
                <c:pt idx="256">
                  <c:v>402.89999389648398</c:v>
                </c:pt>
                <c:pt idx="257">
                  <c:v>402.60000610351602</c:v>
                </c:pt>
                <c:pt idx="258">
                  <c:v>402.79998779296898</c:v>
                </c:pt>
                <c:pt idx="259">
                  <c:v>404.39999389648398</c:v>
                </c:pt>
                <c:pt idx="260">
                  <c:v>411.20001220703102</c:v>
                </c:pt>
                <c:pt idx="261">
                  <c:v>411.79998779296898</c:v>
                </c:pt>
                <c:pt idx="262">
                  <c:v>412.79998779296898</c:v>
                </c:pt>
                <c:pt idx="263">
                  <c:v>412.89999389648398</c:v>
                </c:pt>
                <c:pt idx="264">
                  <c:v>416.70001220703102</c:v>
                </c:pt>
                <c:pt idx="265">
                  <c:v>418.10000610351602</c:v>
                </c:pt>
                <c:pt idx="266">
                  <c:v>418.20001220703102</c:v>
                </c:pt>
                <c:pt idx="267">
                  <c:v>418.20001220703102</c:v>
                </c:pt>
                <c:pt idx="268">
                  <c:v>418.89999389648398</c:v>
                </c:pt>
                <c:pt idx="269">
                  <c:v>421.70001220703102</c:v>
                </c:pt>
                <c:pt idx="270">
                  <c:v>424.89999389648398</c:v>
                </c:pt>
                <c:pt idx="271">
                  <c:v>426.29998779296898</c:v>
                </c:pt>
                <c:pt idx="272">
                  <c:v>428.20001220703102</c:v>
                </c:pt>
                <c:pt idx="273">
                  <c:v>429.79998779296898</c:v>
                </c:pt>
                <c:pt idx="274">
                  <c:v>430.39999389648398</c:v>
                </c:pt>
                <c:pt idx="275">
                  <c:v>432.60000610351602</c:v>
                </c:pt>
                <c:pt idx="276">
                  <c:v>433.70001220703102</c:v>
                </c:pt>
                <c:pt idx="277">
                  <c:v>433.20001220703102</c:v>
                </c:pt>
                <c:pt idx="278">
                  <c:v>434.5</c:v>
                </c:pt>
                <c:pt idx="279">
                  <c:v>435.39999389648398</c:v>
                </c:pt>
                <c:pt idx="280">
                  <c:v>436.29998779296898</c:v>
                </c:pt>
                <c:pt idx="281">
                  <c:v>437.60000610351602</c:v>
                </c:pt>
                <c:pt idx="282">
                  <c:v>437.60000610351602</c:v>
                </c:pt>
                <c:pt idx="283">
                  <c:v>438.79998779296898</c:v>
                </c:pt>
                <c:pt idx="284">
                  <c:v>441.79998779296898</c:v>
                </c:pt>
                <c:pt idx="285">
                  <c:v>442.5</c:v>
                </c:pt>
                <c:pt idx="286">
                  <c:v>443.89999389648398</c:v>
                </c:pt>
                <c:pt idx="287">
                  <c:v>445.10000610351602</c:v>
                </c:pt>
                <c:pt idx="288">
                  <c:v>445.20001220703102</c:v>
                </c:pt>
                <c:pt idx="289">
                  <c:v>446.29998779296898</c:v>
                </c:pt>
                <c:pt idx="290">
                  <c:v>446.70001220703102</c:v>
                </c:pt>
                <c:pt idx="291">
                  <c:v>447.70001220703102</c:v>
                </c:pt>
                <c:pt idx="292">
                  <c:v>447.60000610351602</c:v>
                </c:pt>
                <c:pt idx="293">
                  <c:v>447.70001220703102</c:v>
                </c:pt>
                <c:pt idx="294">
                  <c:v>448.60000610351602</c:v>
                </c:pt>
                <c:pt idx="295">
                  <c:v>449.29998779296898</c:v>
                </c:pt>
                <c:pt idx="296">
                  <c:v>450.39999389648398</c:v>
                </c:pt>
                <c:pt idx="297">
                  <c:v>451.29998779296898</c:v>
                </c:pt>
                <c:pt idx="298">
                  <c:v>452.5</c:v>
                </c:pt>
                <c:pt idx="299">
                  <c:v>452.79998779296898</c:v>
                </c:pt>
                <c:pt idx="300">
                  <c:v>453.5</c:v>
                </c:pt>
                <c:pt idx="301">
                  <c:v>453.79998779296898</c:v>
                </c:pt>
                <c:pt idx="302">
                  <c:v>454.70001220703102</c:v>
                </c:pt>
                <c:pt idx="303">
                  <c:v>455.29998779296898</c:v>
                </c:pt>
                <c:pt idx="304">
                  <c:v>458</c:v>
                </c:pt>
                <c:pt idx="305">
                  <c:v>459.5</c:v>
                </c:pt>
                <c:pt idx="306">
                  <c:v>459.10000610351602</c:v>
                </c:pt>
                <c:pt idx="307">
                  <c:v>461.20001220703102</c:v>
                </c:pt>
                <c:pt idx="308">
                  <c:v>462.20001220703102</c:v>
                </c:pt>
                <c:pt idx="309">
                  <c:v>462.70001220703102</c:v>
                </c:pt>
                <c:pt idx="310">
                  <c:v>463.70001220703102</c:v>
                </c:pt>
                <c:pt idx="311">
                  <c:v>464.20001220703102</c:v>
                </c:pt>
                <c:pt idx="312">
                  <c:v>465.60000610351602</c:v>
                </c:pt>
                <c:pt idx="313">
                  <c:v>466.79998779296898</c:v>
                </c:pt>
                <c:pt idx="314">
                  <c:v>467.70001220703102</c:v>
                </c:pt>
                <c:pt idx="315">
                  <c:v>469</c:v>
                </c:pt>
                <c:pt idx="316">
                  <c:v>469.10000610351602</c:v>
                </c:pt>
                <c:pt idx="317">
                  <c:v>469.20001220703102</c:v>
                </c:pt>
                <c:pt idx="318">
                  <c:v>470</c:v>
                </c:pt>
                <c:pt idx="319">
                  <c:v>470</c:v>
                </c:pt>
                <c:pt idx="320">
                  <c:v>471.10000610351602</c:v>
                </c:pt>
                <c:pt idx="321">
                  <c:v>471</c:v>
                </c:pt>
                <c:pt idx="322">
                  <c:v>474.10000610351602</c:v>
                </c:pt>
                <c:pt idx="323">
                  <c:v>475.79998779296898</c:v>
                </c:pt>
                <c:pt idx="324">
                  <c:v>476.79998779296898</c:v>
                </c:pt>
                <c:pt idx="325">
                  <c:v>478.70001220703102</c:v>
                </c:pt>
                <c:pt idx="326">
                  <c:v>479.29998779296898</c:v>
                </c:pt>
                <c:pt idx="327">
                  <c:v>479.29998779296898</c:v>
                </c:pt>
                <c:pt idx="328">
                  <c:v>480.39999389648398</c:v>
                </c:pt>
                <c:pt idx="329">
                  <c:v>481.39999389648398</c:v>
                </c:pt>
                <c:pt idx="330">
                  <c:v>482.5</c:v>
                </c:pt>
                <c:pt idx="331">
                  <c:v>483.60000610351602</c:v>
                </c:pt>
                <c:pt idx="332">
                  <c:v>484.70001220703102</c:v>
                </c:pt>
                <c:pt idx="333">
                  <c:v>485.60000610351602</c:v>
                </c:pt>
                <c:pt idx="334">
                  <c:v>486.20001220703102</c:v>
                </c:pt>
                <c:pt idx="335">
                  <c:v>486.89999389648398</c:v>
                </c:pt>
                <c:pt idx="336">
                  <c:v>487</c:v>
                </c:pt>
                <c:pt idx="337">
                  <c:v>489.10000610351602</c:v>
                </c:pt>
                <c:pt idx="338">
                  <c:v>490.20001220703102</c:v>
                </c:pt>
                <c:pt idx="339">
                  <c:v>490.29998779296898</c:v>
                </c:pt>
                <c:pt idx="340">
                  <c:v>490.29998779296898</c:v>
                </c:pt>
                <c:pt idx="341">
                  <c:v>491.70001220703102</c:v>
                </c:pt>
                <c:pt idx="342">
                  <c:v>492.29998779296898</c:v>
                </c:pt>
                <c:pt idx="343">
                  <c:v>496.70001220703102</c:v>
                </c:pt>
                <c:pt idx="344">
                  <c:v>500.10000610351602</c:v>
                </c:pt>
                <c:pt idx="345">
                  <c:v>500.10000610351602</c:v>
                </c:pt>
                <c:pt idx="346">
                  <c:v>500.10000610351602</c:v>
                </c:pt>
              </c:numCache>
            </c:numRef>
          </c:xVal>
          <c:yVal>
            <c:numRef>
              <c:f>'2'!$M$34:$M$380</c:f>
              <c:numCache>
                <c:formatCode>General</c:formatCode>
                <c:ptCount val="347"/>
                <c:pt idx="0">
                  <c:v>-0.30184000730514499</c:v>
                </c:pt>
                <c:pt idx="1">
                  <c:v>-0.30184999108314498</c:v>
                </c:pt>
                <c:pt idx="2">
                  <c:v>-0.30184999108314498</c:v>
                </c:pt>
                <c:pt idx="3">
                  <c:v>-0.30186000466346702</c:v>
                </c:pt>
                <c:pt idx="4">
                  <c:v>-0.30188000202178999</c:v>
                </c:pt>
                <c:pt idx="5">
                  <c:v>-0.30188998579978898</c:v>
                </c:pt>
                <c:pt idx="6">
                  <c:v>-0.30189999938011203</c:v>
                </c:pt>
                <c:pt idx="7">
                  <c:v>-0.30195000767707803</c:v>
                </c:pt>
                <c:pt idx="8">
                  <c:v>-0.30193999409675598</c:v>
                </c:pt>
                <c:pt idx="9">
                  <c:v>-0.30195000767707803</c:v>
                </c:pt>
                <c:pt idx="10">
                  <c:v>-0.30195999145507801</c:v>
                </c:pt>
                <c:pt idx="11">
                  <c:v>-0.30199998617172202</c:v>
                </c:pt>
                <c:pt idx="12">
                  <c:v>-0.30199998617172202</c:v>
                </c:pt>
                <c:pt idx="13">
                  <c:v>-0.30200999975204501</c:v>
                </c:pt>
                <c:pt idx="14">
                  <c:v>-0.30200999975204501</c:v>
                </c:pt>
                <c:pt idx="15">
                  <c:v>-0.30204999446868902</c:v>
                </c:pt>
                <c:pt idx="16">
                  <c:v>-0.30204999446868902</c:v>
                </c:pt>
                <c:pt idx="17">
                  <c:v>-0.30204999446868902</c:v>
                </c:pt>
                <c:pt idx="18">
                  <c:v>-0.30206000804901101</c:v>
                </c:pt>
                <c:pt idx="19">
                  <c:v>-0.302069991827011</c:v>
                </c:pt>
                <c:pt idx="20">
                  <c:v>-0.30208000540733299</c:v>
                </c:pt>
                <c:pt idx="21">
                  <c:v>-0.30208000540733299</c:v>
                </c:pt>
                <c:pt idx="22">
                  <c:v>-0.30208998918533297</c:v>
                </c:pt>
                <c:pt idx="23">
                  <c:v>-0.30210000276565602</c:v>
                </c:pt>
                <c:pt idx="24">
                  <c:v>-0.30210998654365501</c:v>
                </c:pt>
                <c:pt idx="25">
                  <c:v>-0.30210998654365501</c:v>
                </c:pt>
                <c:pt idx="26">
                  <c:v>-0.30210998654365501</c:v>
                </c:pt>
                <c:pt idx="27">
                  <c:v>-0.30210998654365501</c:v>
                </c:pt>
                <c:pt idx="28">
                  <c:v>-0.30213001370429998</c:v>
                </c:pt>
                <c:pt idx="29">
                  <c:v>-0.30213001370429998</c:v>
                </c:pt>
                <c:pt idx="30">
                  <c:v>-0.30212000012397799</c:v>
                </c:pt>
                <c:pt idx="31">
                  <c:v>-0.30213001370429998</c:v>
                </c:pt>
                <c:pt idx="32">
                  <c:v>-0.30213001370429998</c:v>
                </c:pt>
                <c:pt idx="33">
                  <c:v>-0.30213001370429998</c:v>
                </c:pt>
                <c:pt idx="34">
                  <c:v>-0.30213999748230003</c:v>
                </c:pt>
                <c:pt idx="35">
                  <c:v>-0.30213999748230003</c:v>
                </c:pt>
                <c:pt idx="36">
                  <c:v>-0.30213999748230003</c:v>
                </c:pt>
                <c:pt idx="37">
                  <c:v>-0.30213999748230003</c:v>
                </c:pt>
                <c:pt idx="38">
                  <c:v>-0.30213001370429998</c:v>
                </c:pt>
                <c:pt idx="39">
                  <c:v>-0.30213999748230003</c:v>
                </c:pt>
                <c:pt idx="40">
                  <c:v>-0.30213999748230003</c:v>
                </c:pt>
                <c:pt idx="41">
                  <c:v>-0.30215001106262201</c:v>
                </c:pt>
                <c:pt idx="42">
                  <c:v>-0.30213999748230003</c:v>
                </c:pt>
                <c:pt idx="43">
                  <c:v>-0.30215001106262201</c:v>
                </c:pt>
                <c:pt idx="44">
                  <c:v>-0.30215001106262201</c:v>
                </c:pt>
                <c:pt idx="45">
                  <c:v>-0.30215001106262201</c:v>
                </c:pt>
                <c:pt idx="46">
                  <c:v>-0.30213999748230003</c:v>
                </c:pt>
                <c:pt idx="47">
                  <c:v>-0.30215001106262201</c:v>
                </c:pt>
                <c:pt idx="48">
                  <c:v>-0.30215001106262201</c:v>
                </c:pt>
                <c:pt idx="49">
                  <c:v>-0.30215001106262201</c:v>
                </c:pt>
                <c:pt idx="50">
                  <c:v>-0.30215001106262201</c:v>
                </c:pt>
                <c:pt idx="51">
                  <c:v>-0.30215001106262201</c:v>
                </c:pt>
                <c:pt idx="52">
                  <c:v>-0.30215001106262201</c:v>
                </c:pt>
                <c:pt idx="53">
                  <c:v>-0.30215001106262201</c:v>
                </c:pt>
                <c:pt idx="54">
                  <c:v>-0.302159994840622</c:v>
                </c:pt>
                <c:pt idx="55">
                  <c:v>-0.30215001106262201</c:v>
                </c:pt>
                <c:pt idx="56">
                  <c:v>-0.30215001106262201</c:v>
                </c:pt>
                <c:pt idx="57">
                  <c:v>-0.30213999748230003</c:v>
                </c:pt>
                <c:pt idx="58">
                  <c:v>-0.30213001370429998</c:v>
                </c:pt>
                <c:pt idx="59">
                  <c:v>-0.30212000012397799</c:v>
                </c:pt>
                <c:pt idx="60">
                  <c:v>-0.30210000276565602</c:v>
                </c:pt>
                <c:pt idx="61">
                  <c:v>-0.30210000276565602</c:v>
                </c:pt>
                <c:pt idx="62">
                  <c:v>-0.30208998918533297</c:v>
                </c:pt>
                <c:pt idx="63">
                  <c:v>-0.30210000276565602</c:v>
                </c:pt>
                <c:pt idx="64">
                  <c:v>-0.30208998918533297</c:v>
                </c:pt>
                <c:pt idx="65">
                  <c:v>-0.30208998918533297</c:v>
                </c:pt>
                <c:pt idx="66">
                  <c:v>-0.30208998918533297</c:v>
                </c:pt>
                <c:pt idx="67">
                  <c:v>-0.30208998918533297</c:v>
                </c:pt>
                <c:pt idx="68">
                  <c:v>-0.30208000540733299</c:v>
                </c:pt>
                <c:pt idx="69">
                  <c:v>-0.30208000540733299</c:v>
                </c:pt>
                <c:pt idx="70">
                  <c:v>-0.302069991827011</c:v>
                </c:pt>
                <c:pt idx="71">
                  <c:v>-0.30208000540733299</c:v>
                </c:pt>
                <c:pt idx="72">
                  <c:v>-0.302069991827011</c:v>
                </c:pt>
                <c:pt idx="73">
                  <c:v>-0.30208000540733299</c:v>
                </c:pt>
                <c:pt idx="74">
                  <c:v>-0.30208000540733299</c:v>
                </c:pt>
                <c:pt idx="75">
                  <c:v>-0.30208000540733299</c:v>
                </c:pt>
                <c:pt idx="76">
                  <c:v>-0.302069991827011</c:v>
                </c:pt>
                <c:pt idx="77">
                  <c:v>-0.302069991827011</c:v>
                </c:pt>
                <c:pt idx="78">
                  <c:v>-0.30206000804901101</c:v>
                </c:pt>
                <c:pt idx="79">
                  <c:v>-0.302069991827011</c:v>
                </c:pt>
                <c:pt idx="80">
                  <c:v>-0.302069991827011</c:v>
                </c:pt>
                <c:pt idx="81">
                  <c:v>-0.302069991827011</c:v>
                </c:pt>
                <c:pt idx="82">
                  <c:v>-0.30208000540733299</c:v>
                </c:pt>
                <c:pt idx="83">
                  <c:v>-0.30208000540733299</c:v>
                </c:pt>
                <c:pt idx="84">
                  <c:v>-0.302069991827011</c:v>
                </c:pt>
                <c:pt idx="85">
                  <c:v>-0.30206000804901101</c:v>
                </c:pt>
                <c:pt idx="86">
                  <c:v>-0.30206000804901101</c:v>
                </c:pt>
                <c:pt idx="87">
                  <c:v>-0.30206000804901101</c:v>
                </c:pt>
                <c:pt idx="88">
                  <c:v>-0.302069991827011</c:v>
                </c:pt>
                <c:pt idx="89">
                  <c:v>-0.302069991827011</c:v>
                </c:pt>
                <c:pt idx="90">
                  <c:v>-0.302069991827011</c:v>
                </c:pt>
                <c:pt idx="91">
                  <c:v>-0.30204999446868902</c:v>
                </c:pt>
                <c:pt idx="92">
                  <c:v>-0.30200999975204501</c:v>
                </c:pt>
                <c:pt idx="93">
                  <c:v>-0.30199000239372298</c:v>
                </c:pt>
                <c:pt idx="94">
                  <c:v>-0.30197998881339999</c:v>
                </c:pt>
                <c:pt idx="95">
                  <c:v>-0.30197998881339999</c:v>
                </c:pt>
                <c:pt idx="96">
                  <c:v>-0.30197998881339999</c:v>
                </c:pt>
                <c:pt idx="97">
                  <c:v>-0.30197998881339999</c:v>
                </c:pt>
                <c:pt idx="98">
                  <c:v>-0.30193999409675598</c:v>
                </c:pt>
                <c:pt idx="99">
                  <c:v>-0.30193999409675598</c:v>
                </c:pt>
                <c:pt idx="100">
                  <c:v>-0.30195000767707803</c:v>
                </c:pt>
                <c:pt idx="101">
                  <c:v>-0.30195999145507801</c:v>
                </c:pt>
                <c:pt idx="102">
                  <c:v>-0.30195999145507801</c:v>
                </c:pt>
                <c:pt idx="103">
                  <c:v>-0.30195000767707803</c:v>
                </c:pt>
                <c:pt idx="104">
                  <c:v>-0.30193999409675598</c:v>
                </c:pt>
                <c:pt idx="105">
                  <c:v>-0.30193999409675598</c:v>
                </c:pt>
                <c:pt idx="106">
                  <c:v>-0.30193999409675598</c:v>
                </c:pt>
                <c:pt idx="107">
                  <c:v>-0.30193999409675598</c:v>
                </c:pt>
                <c:pt idx="108">
                  <c:v>-0.30193001031875599</c:v>
                </c:pt>
                <c:pt idx="109">
                  <c:v>-0.301919996738434</c:v>
                </c:pt>
                <c:pt idx="110">
                  <c:v>-0.30189999938011203</c:v>
                </c:pt>
                <c:pt idx="111">
                  <c:v>-0.30188998579978898</c:v>
                </c:pt>
                <c:pt idx="112">
                  <c:v>-0.30188000202178999</c:v>
                </c:pt>
                <c:pt idx="113">
                  <c:v>-0.30186998844146701</c:v>
                </c:pt>
                <c:pt idx="114">
                  <c:v>-0.30186000466346702</c:v>
                </c:pt>
                <c:pt idx="115">
                  <c:v>-0.30184999108314498</c:v>
                </c:pt>
                <c:pt idx="116">
                  <c:v>-0.30182000994682301</c:v>
                </c:pt>
                <c:pt idx="117">
                  <c:v>-0.30180999636650102</c:v>
                </c:pt>
                <c:pt idx="118">
                  <c:v>-0.30180001258850098</c:v>
                </c:pt>
                <c:pt idx="119">
                  <c:v>-0.301779985427856</c:v>
                </c:pt>
                <c:pt idx="120">
                  <c:v>-0.30171000957489003</c:v>
                </c:pt>
                <c:pt idx="121">
                  <c:v>-0.30169999599456798</c:v>
                </c:pt>
                <c:pt idx="122">
                  <c:v>-0.30167999863624601</c:v>
                </c:pt>
                <c:pt idx="123">
                  <c:v>-0.30167001485824602</c:v>
                </c:pt>
                <c:pt idx="124">
                  <c:v>-0.30164998769760099</c:v>
                </c:pt>
                <c:pt idx="125">
                  <c:v>-0.301640003919601</c:v>
                </c:pt>
                <c:pt idx="126">
                  <c:v>-0.30162999033927901</c:v>
                </c:pt>
                <c:pt idx="127">
                  <c:v>-0.30160999298095698</c:v>
                </c:pt>
                <c:pt idx="128">
                  <c:v>-0.30158001184463501</c:v>
                </c:pt>
                <c:pt idx="129">
                  <c:v>-0.30155000090599099</c:v>
                </c:pt>
                <c:pt idx="130">
                  <c:v>-0.301539987325668</c:v>
                </c:pt>
                <c:pt idx="131">
                  <c:v>-0.30153000354766801</c:v>
                </c:pt>
                <c:pt idx="132">
                  <c:v>-0.30153000354766801</c:v>
                </c:pt>
                <c:pt idx="133">
                  <c:v>-0.30153000354766801</c:v>
                </c:pt>
                <c:pt idx="134">
                  <c:v>-0.30151998996734602</c:v>
                </c:pt>
                <c:pt idx="135">
                  <c:v>-0.30145999789237998</c:v>
                </c:pt>
                <c:pt idx="136">
                  <c:v>-0.30142998695373502</c:v>
                </c:pt>
                <c:pt idx="137">
                  <c:v>-0.30138999223709101</c:v>
                </c:pt>
                <c:pt idx="138">
                  <c:v>-0.30134001374244701</c:v>
                </c:pt>
                <c:pt idx="139">
                  <c:v>-0.30127000808715798</c:v>
                </c:pt>
                <c:pt idx="140">
                  <c:v>-0.30116999149322499</c:v>
                </c:pt>
                <c:pt idx="141">
                  <c:v>-0.30109000205993702</c:v>
                </c:pt>
                <c:pt idx="142">
                  <c:v>-0.30101999640464799</c:v>
                </c:pt>
                <c:pt idx="143">
                  <c:v>-0.30096000432968101</c:v>
                </c:pt>
                <c:pt idx="144">
                  <c:v>-0.30090999603271501</c:v>
                </c:pt>
                <c:pt idx="145">
                  <c:v>-0.30085998773574801</c:v>
                </c:pt>
                <c:pt idx="146">
                  <c:v>-0.30042999982833901</c:v>
                </c:pt>
                <c:pt idx="147">
                  <c:v>-0.30020999908447299</c:v>
                </c:pt>
                <c:pt idx="148">
                  <c:v>-0.30017998814582803</c:v>
                </c:pt>
                <c:pt idx="149">
                  <c:v>-0.300150007009506</c:v>
                </c:pt>
                <c:pt idx="150">
                  <c:v>-0.29980999231338501</c:v>
                </c:pt>
                <c:pt idx="151">
                  <c:v>-0.29976001381874101</c:v>
                </c:pt>
                <c:pt idx="152">
                  <c:v>-0.29969000816345198</c:v>
                </c:pt>
                <c:pt idx="153">
                  <c:v>-0.29960998892784102</c:v>
                </c:pt>
                <c:pt idx="154">
                  <c:v>-0.29951998591423001</c:v>
                </c:pt>
                <c:pt idx="155">
                  <c:v>-0.29943001270294201</c:v>
                </c:pt>
                <c:pt idx="156">
                  <c:v>-0.29936000704765298</c:v>
                </c:pt>
                <c:pt idx="157">
                  <c:v>-0.29930999875068698</c:v>
                </c:pt>
                <c:pt idx="158">
                  <c:v>-0.29905998706817599</c:v>
                </c:pt>
                <c:pt idx="159">
                  <c:v>-0.298810005187988</c:v>
                </c:pt>
                <c:pt idx="160">
                  <c:v>-0.29859998822212203</c:v>
                </c:pt>
                <c:pt idx="161">
                  <c:v>-0.29835999011993403</c:v>
                </c:pt>
                <c:pt idx="162">
                  <c:v>-0.29807001352310197</c:v>
                </c:pt>
                <c:pt idx="163">
                  <c:v>-0.29787001013755798</c:v>
                </c:pt>
                <c:pt idx="164">
                  <c:v>-0.297809988260269</c:v>
                </c:pt>
                <c:pt idx="165">
                  <c:v>-0.29758000373840299</c:v>
                </c:pt>
                <c:pt idx="166">
                  <c:v>-0.29736998677253701</c:v>
                </c:pt>
                <c:pt idx="167">
                  <c:v>-0.29602000117301902</c:v>
                </c:pt>
                <c:pt idx="168">
                  <c:v>-0.29576000571250899</c:v>
                </c:pt>
                <c:pt idx="169">
                  <c:v>-0.29497000575065602</c:v>
                </c:pt>
                <c:pt idx="170">
                  <c:v>-0.29557999968528698</c:v>
                </c:pt>
                <c:pt idx="171">
                  <c:v>-0.29517000913620001</c:v>
                </c:pt>
                <c:pt idx="172">
                  <c:v>-0.29486000537872298</c:v>
                </c:pt>
                <c:pt idx="173">
                  <c:v>-0.29438999295234702</c:v>
                </c:pt>
                <c:pt idx="174">
                  <c:v>-0.29414999485015902</c:v>
                </c:pt>
                <c:pt idx="175">
                  <c:v>-0.29390999674797103</c:v>
                </c:pt>
                <c:pt idx="176">
                  <c:v>-0.29387000203132602</c:v>
                </c:pt>
                <c:pt idx="177">
                  <c:v>-0.293599992990494</c:v>
                </c:pt>
                <c:pt idx="178">
                  <c:v>-0.29333001375198398</c:v>
                </c:pt>
                <c:pt idx="179">
                  <c:v>-0.292879998683929</c:v>
                </c:pt>
                <c:pt idx="180">
                  <c:v>-0.29214000701904302</c:v>
                </c:pt>
                <c:pt idx="181">
                  <c:v>-0.291590005159378</c:v>
                </c:pt>
                <c:pt idx="182">
                  <c:v>-0.291110008955002</c:v>
                </c:pt>
                <c:pt idx="183">
                  <c:v>-0.290870010852814</c:v>
                </c:pt>
                <c:pt idx="184">
                  <c:v>-0.28957000374794001</c:v>
                </c:pt>
                <c:pt idx="185">
                  <c:v>-0.28896999359130898</c:v>
                </c:pt>
                <c:pt idx="186">
                  <c:v>-0.28876999020576499</c:v>
                </c:pt>
                <c:pt idx="187">
                  <c:v>-0.28744998574256903</c:v>
                </c:pt>
                <c:pt idx="188">
                  <c:v>-0.28668001294135997</c:v>
                </c:pt>
                <c:pt idx="189">
                  <c:v>-0.28637999296188399</c:v>
                </c:pt>
                <c:pt idx="190">
                  <c:v>-0.28558000922203097</c:v>
                </c:pt>
                <c:pt idx="191">
                  <c:v>-0.285129994153976</c:v>
                </c:pt>
                <c:pt idx="192">
                  <c:v>-0.27963998913764998</c:v>
                </c:pt>
                <c:pt idx="193">
                  <c:v>-0.27849999070167503</c:v>
                </c:pt>
                <c:pt idx="194">
                  <c:v>-0.27691999077796903</c:v>
                </c:pt>
                <c:pt idx="195">
                  <c:v>-0.27573001384735102</c:v>
                </c:pt>
                <c:pt idx="196">
                  <c:v>-0.27470999956130998</c:v>
                </c:pt>
                <c:pt idx="197">
                  <c:v>-0.27314999699592601</c:v>
                </c:pt>
                <c:pt idx="198">
                  <c:v>-0.271389991044998</c:v>
                </c:pt>
                <c:pt idx="199">
                  <c:v>-0.27136999368667603</c:v>
                </c:pt>
                <c:pt idx="200">
                  <c:v>-0.27138000726699801</c:v>
                </c:pt>
                <c:pt idx="201">
                  <c:v>-0.27140000462531999</c:v>
                </c:pt>
                <c:pt idx="202">
                  <c:v>-0.27142998576164201</c:v>
                </c:pt>
                <c:pt idx="203">
                  <c:v>-0.26925000548362699</c:v>
                </c:pt>
                <c:pt idx="204">
                  <c:v>-0.26879999041557301</c:v>
                </c:pt>
                <c:pt idx="205">
                  <c:v>-0.26879000663757302</c:v>
                </c:pt>
                <c:pt idx="206">
                  <c:v>-0.26877999305725098</c:v>
                </c:pt>
                <c:pt idx="207">
                  <c:v>-0.26820001006126398</c:v>
                </c:pt>
                <c:pt idx="208">
                  <c:v>-0.266939997673035</c:v>
                </c:pt>
                <c:pt idx="209">
                  <c:v>-0.26614001393318198</c:v>
                </c:pt>
                <c:pt idx="210">
                  <c:v>-0.26589998602867099</c:v>
                </c:pt>
                <c:pt idx="211">
                  <c:v>-0.265890002250671</c:v>
                </c:pt>
                <c:pt idx="212">
                  <c:v>-0.26491999626159701</c:v>
                </c:pt>
                <c:pt idx="213">
                  <c:v>-0.26399001479148898</c:v>
                </c:pt>
                <c:pt idx="214">
                  <c:v>-0.26289001107215898</c:v>
                </c:pt>
                <c:pt idx="215">
                  <c:v>-0.26227000355720498</c:v>
                </c:pt>
                <c:pt idx="216">
                  <c:v>-0.26183000206947299</c:v>
                </c:pt>
                <c:pt idx="217">
                  <c:v>-0.260769993066788</c:v>
                </c:pt>
                <c:pt idx="218">
                  <c:v>-0.259519994258881</c:v>
                </c:pt>
                <c:pt idx="219">
                  <c:v>-0.258419990539551</c:v>
                </c:pt>
                <c:pt idx="220">
                  <c:v>-0.25718998908996599</c:v>
                </c:pt>
                <c:pt idx="221">
                  <c:v>-0.25633001327514598</c:v>
                </c:pt>
                <c:pt idx="222">
                  <c:v>-0.25595000386238098</c:v>
                </c:pt>
                <c:pt idx="223">
                  <c:v>-0.25466999411582902</c:v>
                </c:pt>
                <c:pt idx="224">
                  <c:v>-0.25306999683380099</c:v>
                </c:pt>
                <c:pt idx="225">
                  <c:v>-0.25084999203681901</c:v>
                </c:pt>
                <c:pt idx="226">
                  <c:v>-0.24521000683307601</c:v>
                </c:pt>
                <c:pt idx="227">
                  <c:v>-0.24375000596046401</c:v>
                </c:pt>
                <c:pt idx="228">
                  <c:v>-0.24300000071525599</c:v>
                </c:pt>
                <c:pt idx="229">
                  <c:v>-0.242249995470047</c:v>
                </c:pt>
                <c:pt idx="230">
                  <c:v>-0.23968000710010501</c:v>
                </c:pt>
                <c:pt idx="231">
                  <c:v>-0.238440006971359</c:v>
                </c:pt>
                <c:pt idx="232">
                  <c:v>-0.23486000299453699</c:v>
                </c:pt>
                <c:pt idx="233">
                  <c:v>-0.23533999919891399</c:v>
                </c:pt>
                <c:pt idx="234">
                  <c:v>-0.235860005021095</c:v>
                </c:pt>
                <c:pt idx="235">
                  <c:v>-0.233799993991852</c:v>
                </c:pt>
                <c:pt idx="236">
                  <c:v>-0.232649996876717</c:v>
                </c:pt>
                <c:pt idx="237">
                  <c:v>-0.23187999427318601</c:v>
                </c:pt>
                <c:pt idx="238">
                  <c:v>-0.22908000648021701</c:v>
                </c:pt>
                <c:pt idx="239">
                  <c:v>-0.22902999818325001</c:v>
                </c:pt>
                <c:pt idx="240">
                  <c:v>-0.22792999446392101</c:v>
                </c:pt>
                <c:pt idx="241">
                  <c:v>-0.227170005440712</c:v>
                </c:pt>
                <c:pt idx="242">
                  <c:v>-0.22543999552726701</c:v>
                </c:pt>
                <c:pt idx="243">
                  <c:v>-0.22541999816894501</c:v>
                </c:pt>
                <c:pt idx="244">
                  <c:v>-0.22363999485969499</c:v>
                </c:pt>
                <c:pt idx="245">
                  <c:v>-0.22364999353885701</c:v>
                </c:pt>
                <c:pt idx="246">
                  <c:v>-0.22227999567985501</c:v>
                </c:pt>
                <c:pt idx="247">
                  <c:v>-0.22163000702857999</c:v>
                </c:pt>
                <c:pt idx="248">
                  <c:v>-0.21984000504016901</c:v>
                </c:pt>
                <c:pt idx="249">
                  <c:v>-0.216020002961159</c:v>
                </c:pt>
                <c:pt idx="250">
                  <c:v>-0.21610000729560899</c:v>
                </c:pt>
                <c:pt idx="251">
                  <c:v>-0.215900003910065</c:v>
                </c:pt>
                <c:pt idx="252">
                  <c:v>-0.21390999853611001</c:v>
                </c:pt>
                <c:pt idx="253">
                  <c:v>-0.21191999316215501</c:v>
                </c:pt>
                <c:pt idx="254">
                  <c:v>-0.20776000618934601</c:v>
                </c:pt>
                <c:pt idx="255">
                  <c:v>-0.205730006098747</c:v>
                </c:pt>
                <c:pt idx="256">
                  <c:v>-0.20351999998092701</c:v>
                </c:pt>
                <c:pt idx="257">
                  <c:v>-0.203480005264282</c:v>
                </c:pt>
                <c:pt idx="258">
                  <c:v>-0.20347000658512099</c:v>
                </c:pt>
                <c:pt idx="259">
                  <c:v>-0.20119999349117301</c:v>
                </c:pt>
                <c:pt idx="260">
                  <c:v>-0.189940005540848</c:v>
                </c:pt>
                <c:pt idx="261">
                  <c:v>-0.188979998230934</c:v>
                </c:pt>
                <c:pt idx="262">
                  <c:v>-0.187570005655289</c:v>
                </c:pt>
                <c:pt idx="263">
                  <c:v>-0.18737000226974501</c:v>
                </c:pt>
                <c:pt idx="264">
                  <c:v>-0.18028999865055101</c:v>
                </c:pt>
                <c:pt idx="265">
                  <c:v>-0.17763000726699801</c:v>
                </c:pt>
                <c:pt idx="266">
                  <c:v>-0.17759999632835399</c:v>
                </c:pt>
                <c:pt idx="267">
                  <c:v>-0.17759999632835399</c:v>
                </c:pt>
                <c:pt idx="268">
                  <c:v>-0.176369994878769</c:v>
                </c:pt>
                <c:pt idx="269">
                  <c:v>-0.169960007071495</c:v>
                </c:pt>
                <c:pt idx="270">
                  <c:v>-0.16457000374794001</c:v>
                </c:pt>
                <c:pt idx="271">
                  <c:v>-0.16176000237464899</c:v>
                </c:pt>
                <c:pt idx="272">
                  <c:v>-0.157659992575645</c:v>
                </c:pt>
                <c:pt idx="273">
                  <c:v>-0.15454000234603901</c:v>
                </c:pt>
                <c:pt idx="274">
                  <c:v>-0.15288999676704401</c:v>
                </c:pt>
                <c:pt idx="275">
                  <c:v>-0.14745000004768399</c:v>
                </c:pt>
                <c:pt idx="276">
                  <c:v>-0.14559000730514501</c:v>
                </c:pt>
                <c:pt idx="277">
                  <c:v>-0.146320000290871</c:v>
                </c:pt>
                <c:pt idx="278">
                  <c:v>-0.14326000213623</c:v>
                </c:pt>
                <c:pt idx="279">
                  <c:v>-0.14063000679016099</c:v>
                </c:pt>
                <c:pt idx="280">
                  <c:v>-0.13890999555587799</c:v>
                </c:pt>
                <c:pt idx="281">
                  <c:v>-0.13594000041484799</c:v>
                </c:pt>
                <c:pt idx="282">
                  <c:v>-0.13592000305652599</c:v>
                </c:pt>
                <c:pt idx="283">
                  <c:v>-0.13290999829769101</c:v>
                </c:pt>
                <c:pt idx="284">
                  <c:v>-0.12559999525547</c:v>
                </c:pt>
                <c:pt idx="285">
                  <c:v>-0.123779997229576</c:v>
                </c:pt>
                <c:pt idx="286">
                  <c:v>-0.120800003409386</c:v>
                </c:pt>
                <c:pt idx="287">
                  <c:v>-0.117449998855591</c:v>
                </c:pt>
                <c:pt idx="288">
                  <c:v>-0.117430001497269</c:v>
                </c:pt>
                <c:pt idx="289">
                  <c:v>-0.114330001175404</c:v>
                </c:pt>
                <c:pt idx="290">
                  <c:v>-0.11356999725103401</c:v>
                </c:pt>
                <c:pt idx="291">
                  <c:v>-0.11114999651908899</c:v>
                </c:pt>
                <c:pt idx="292">
                  <c:v>-0.111089996993542</c:v>
                </c:pt>
                <c:pt idx="293">
                  <c:v>-0.111029997467995</c:v>
                </c:pt>
                <c:pt idx="294">
                  <c:v>-0.108230002224445</c:v>
                </c:pt>
                <c:pt idx="295">
                  <c:v>-0.10717999935150101</c:v>
                </c:pt>
                <c:pt idx="296">
                  <c:v>-0.10430999845266301</c:v>
                </c:pt>
                <c:pt idx="297">
                  <c:v>-0.101240001618862</c:v>
                </c:pt>
                <c:pt idx="298">
                  <c:v>-9.7900003194809002E-2</c:v>
                </c:pt>
                <c:pt idx="299">
                  <c:v>-9.7089998424053206E-2</c:v>
                </c:pt>
                <c:pt idx="300">
                  <c:v>-9.4580002129077897E-2</c:v>
                </c:pt>
                <c:pt idx="301">
                  <c:v>-9.3690000474453E-2</c:v>
                </c:pt>
                <c:pt idx="302">
                  <c:v>-9.1190002858638805E-2</c:v>
                </c:pt>
                <c:pt idx="303">
                  <c:v>-8.94600003957748E-2</c:v>
                </c:pt>
                <c:pt idx="304">
                  <c:v>-7.7529996633529705E-2</c:v>
                </c:pt>
                <c:pt idx="305">
                  <c:v>-7.4230000376701397E-2</c:v>
                </c:pt>
                <c:pt idx="306">
                  <c:v>-7.2700001299381298E-2</c:v>
                </c:pt>
                <c:pt idx="307">
                  <c:v>-6.9980002939701094E-2</c:v>
                </c:pt>
                <c:pt idx="308">
                  <c:v>-6.8209998309612302E-2</c:v>
                </c:pt>
                <c:pt idx="309">
                  <c:v>-6.6200003027915996E-2</c:v>
                </c:pt>
                <c:pt idx="310">
                  <c:v>-6.5339997410774203E-2</c:v>
                </c:pt>
                <c:pt idx="311">
                  <c:v>-6.2950000166893005E-2</c:v>
                </c:pt>
                <c:pt idx="312">
                  <c:v>-5.9360001236200298E-2</c:v>
                </c:pt>
                <c:pt idx="313">
                  <c:v>-5.5599998682737399E-2</c:v>
                </c:pt>
                <c:pt idx="314">
                  <c:v>-5.2530001848936102E-2</c:v>
                </c:pt>
                <c:pt idx="315">
                  <c:v>-4.8920001834631001E-2</c:v>
                </c:pt>
                <c:pt idx="316">
                  <c:v>-4.8849999904632603E-2</c:v>
                </c:pt>
                <c:pt idx="317">
                  <c:v>-4.7550000250339501E-2</c:v>
                </c:pt>
                <c:pt idx="318">
                  <c:v>-4.5210000127553898E-2</c:v>
                </c:pt>
                <c:pt idx="319">
                  <c:v>-4.4709999114274999E-2</c:v>
                </c:pt>
                <c:pt idx="320">
                  <c:v>-4.1510000824928298E-2</c:v>
                </c:pt>
                <c:pt idx="321">
                  <c:v>-4.3359998613595997E-2</c:v>
                </c:pt>
                <c:pt idx="322">
                  <c:v>-3.2889999449253103E-2</c:v>
                </c:pt>
                <c:pt idx="323">
                  <c:v>-2.6480000466108301E-2</c:v>
                </c:pt>
                <c:pt idx="324">
                  <c:v>-2.27000005543232E-2</c:v>
                </c:pt>
                <c:pt idx="325">
                  <c:v>-1.7079999670386301E-2</c:v>
                </c:pt>
                <c:pt idx="326">
                  <c:v>-1.46700004115701E-2</c:v>
                </c:pt>
                <c:pt idx="327">
                  <c:v>-1.2900000438094099E-2</c:v>
                </c:pt>
                <c:pt idx="328">
                  <c:v>-1.1169999837875399E-2</c:v>
                </c:pt>
                <c:pt idx="329">
                  <c:v>-7.5599998235702497E-3</c:v>
                </c:pt>
                <c:pt idx="330">
                  <c:v>-3.4900000318884802E-3</c:v>
                </c:pt>
                <c:pt idx="331">
                  <c:v>4.29999985499308E-4</c:v>
                </c:pt>
                <c:pt idx="332">
                  <c:v>4.3100002221763099E-3</c:v>
                </c:pt>
                <c:pt idx="333">
                  <c:v>8.6000002920627594E-3</c:v>
                </c:pt>
                <c:pt idx="334">
                  <c:v>1.0830000042915299E-2</c:v>
                </c:pt>
                <c:pt idx="335">
                  <c:v>1.22899999842048E-2</c:v>
                </c:pt>
                <c:pt idx="336">
                  <c:v>1.22999995946884E-2</c:v>
                </c:pt>
                <c:pt idx="337">
                  <c:v>2.01200004667044E-2</c:v>
                </c:pt>
                <c:pt idx="338">
                  <c:v>2.43500005453825E-2</c:v>
                </c:pt>
                <c:pt idx="339">
                  <c:v>2.4609999731183101E-2</c:v>
                </c:pt>
                <c:pt idx="340">
                  <c:v>2.4870000779628799E-2</c:v>
                </c:pt>
                <c:pt idx="341">
                  <c:v>2.9850000515580202E-2</c:v>
                </c:pt>
                <c:pt idx="342">
                  <c:v>3.23899984359741E-2</c:v>
                </c:pt>
                <c:pt idx="343">
                  <c:v>5.2710000425577198E-2</c:v>
                </c:pt>
                <c:pt idx="344">
                  <c:v>6.3560001552105005E-2</c:v>
                </c:pt>
                <c:pt idx="345">
                  <c:v>6.3550002872943906E-2</c:v>
                </c:pt>
                <c:pt idx="346">
                  <c:v>6.3539996743202196E-2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B2-4B73-892A-D428728E043A}"/>
            </c:ext>
          </c:extLst>
        </c:ser>
        <c:ser>
          <c:idx val="3"/>
          <c:order val="3"/>
          <c:tx>
            <c:v>Pomiar 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'2'!$Q$34:$Q$228</c:f>
                <c:numCache>
                  <c:formatCode>General</c:formatCode>
                  <c:ptCount val="195"/>
                  <c:pt idx="0">
                    <c:v>-7.8899999999999998E-2</c:v>
                  </c:pt>
                  <c:pt idx="1">
                    <c:v>-7.5700000000000003E-2</c:v>
                  </c:pt>
                  <c:pt idx="2">
                    <c:v>-6.9600000000000009E-2</c:v>
                  </c:pt>
                  <c:pt idx="3">
                    <c:v>-6.4700000000000008E-2</c:v>
                  </c:pt>
                  <c:pt idx="4">
                    <c:v>-5.3200000000000004E-2</c:v>
                  </c:pt>
                  <c:pt idx="5">
                    <c:v>-5.04E-2</c:v>
                  </c:pt>
                  <c:pt idx="6">
                    <c:v>-4.7400000000000005E-2</c:v>
                  </c:pt>
                  <c:pt idx="7">
                    <c:v>-4.3300000000000005E-2</c:v>
                  </c:pt>
                  <c:pt idx="8">
                    <c:v>-4.0900000000000006E-2</c:v>
                  </c:pt>
                  <c:pt idx="9">
                    <c:v>-4.0300000000000002E-2</c:v>
                  </c:pt>
                  <c:pt idx="10">
                    <c:v>-3.7900000000000003E-2</c:v>
                  </c:pt>
                  <c:pt idx="11">
                    <c:v>-3.6400000000000002E-2</c:v>
                  </c:pt>
                  <c:pt idx="12">
                    <c:v>-3.27E-2</c:v>
                  </c:pt>
                  <c:pt idx="13">
                    <c:v>-3.0800000000000001E-2</c:v>
                  </c:pt>
                  <c:pt idx="14">
                    <c:v>-0.03</c:v>
                  </c:pt>
                  <c:pt idx="15">
                    <c:v>-2.8000000000000001E-2</c:v>
                  </c:pt>
                  <c:pt idx="16">
                    <c:v>-2.6200000000000001E-2</c:v>
                  </c:pt>
                  <c:pt idx="17">
                    <c:v>-2.24E-2</c:v>
                  </c:pt>
                  <c:pt idx="18">
                    <c:v>-1.8200000000000001E-2</c:v>
                  </c:pt>
                  <c:pt idx="19">
                    <c:v>-1.67E-2</c:v>
                  </c:pt>
                  <c:pt idx="20">
                    <c:v>-1.3899999999999999E-2</c:v>
                  </c:pt>
                  <c:pt idx="21">
                    <c:v>-1.09E-2</c:v>
                  </c:pt>
                  <c:pt idx="22">
                    <c:v>-6.4000000000000003E-3</c:v>
                  </c:pt>
                  <c:pt idx="23">
                    <c:v>-2.0999999999999999E-3</c:v>
                  </c:pt>
                  <c:pt idx="24">
                    <c:v>2.1999999999999997E-3</c:v>
                  </c:pt>
                  <c:pt idx="25">
                    <c:v>4.4000000000000003E-3</c:v>
                  </c:pt>
                  <c:pt idx="26">
                    <c:v>5.8999999999999999E-3</c:v>
                  </c:pt>
                  <c:pt idx="27">
                    <c:v>1.01E-2</c:v>
                  </c:pt>
                  <c:pt idx="28">
                    <c:v>1.1399999999999999E-2</c:v>
                  </c:pt>
                  <c:pt idx="29">
                    <c:v>1.2499999999999999E-2</c:v>
                  </c:pt>
                  <c:pt idx="30">
                    <c:v>1.29E-2</c:v>
                  </c:pt>
                  <c:pt idx="31">
                    <c:v>1.8499999999999999E-2</c:v>
                  </c:pt>
                  <c:pt idx="32">
                    <c:v>2.1299999999999999E-2</c:v>
                  </c:pt>
                  <c:pt idx="33">
                    <c:v>2.41E-2</c:v>
                  </c:pt>
                  <c:pt idx="34">
                    <c:v>2.5599999999999998E-2</c:v>
                  </c:pt>
                  <c:pt idx="35">
                    <c:v>2.9499999999999998E-2</c:v>
                  </c:pt>
                  <c:pt idx="36">
                    <c:v>3.2100000000000004E-2</c:v>
                  </c:pt>
                  <c:pt idx="37">
                    <c:v>3.5100000000000006E-2</c:v>
                  </c:pt>
                  <c:pt idx="38">
                    <c:v>3.6700000000000003E-2</c:v>
                  </c:pt>
                  <c:pt idx="39">
                    <c:v>4.1700000000000001E-2</c:v>
                  </c:pt>
                  <c:pt idx="40">
                    <c:v>4.7300000000000002E-2</c:v>
                  </c:pt>
                  <c:pt idx="41">
                    <c:v>5.0900000000000001E-2</c:v>
                  </c:pt>
                  <c:pt idx="42">
                    <c:v>6.2300000000000001E-2</c:v>
                  </c:pt>
                  <c:pt idx="43">
                    <c:v>6.4799999999999996E-2</c:v>
                  </c:pt>
                  <c:pt idx="44">
                    <c:v>6.6100000000000006E-2</c:v>
                  </c:pt>
                  <c:pt idx="45">
                    <c:v>7.0199999999999999E-2</c:v>
                  </c:pt>
                  <c:pt idx="46">
                    <c:v>7.4400000000000008E-2</c:v>
                  </c:pt>
                  <c:pt idx="47">
                    <c:v>7.6100000000000001E-2</c:v>
                  </c:pt>
                  <c:pt idx="48">
                    <c:v>7.8800000000000009E-2</c:v>
                  </c:pt>
                  <c:pt idx="49">
                    <c:v>8.1000000000000003E-2</c:v>
                  </c:pt>
                  <c:pt idx="50">
                    <c:v>8.9700000000000002E-2</c:v>
                  </c:pt>
                  <c:pt idx="51">
                    <c:v>9.5399999999999999E-2</c:v>
                  </c:pt>
                  <c:pt idx="52">
                    <c:v>0.10290000000000001</c:v>
                  </c:pt>
                  <c:pt idx="53">
                    <c:v>0.107</c:v>
                  </c:pt>
                  <c:pt idx="54">
                    <c:v>0.111</c:v>
                  </c:pt>
                  <c:pt idx="55">
                    <c:v>0.11270000000000001</c:v>
                  </c:pt>
                  <c:pt idx="56">
                    <c:v>0.115</c:v>
                  </c:pt>
                  <c:pt idx="57">
                    <c:v>0.1163</c:v>
                  </c:pt>
                  <c:pt idx="58">
                    <c:v>0.1176</c:v>
                  </c:pt>
                  <c:pt idx="59">
                    <c:v>0.11890000000000001</c:v>
                  </c:pt>
                  <c:pt idx="60">
                    <c:v>0.1206</c:v>
                  </c:pt>
                  <c:pt idx="61">
                    <c:v>0.1221</c:v>
                  </c:pt>
                  <c:pt idx="62">
                    <c:v>0.1249</c:v>
                  </c:pt>
                  <c:pt idx="63">
                    <c:v>0.12899999999999998</c:v>
                  </c:pt>
                  <c:pt idx="64">
                    <c:v>0.13139999999999999</c:v>
                  </c:pt>
                  <c:pt idx="65">
                    <c:v>0.1346</c:v>
                  </c:pt>
                  <c:pt idx="66">
                    <c:v>0.1361</c:v>
                  </c:pt>
                  <c:pt idx="67">
                    <c:v>0.14019999999999999</c:v>
                  </c:pt>
                  <c:pt idx="68">
                    <c:v>0.14159999999999998</c:v>
                  </c:pt>
                  <c:pt idx="69">
                    <c:v>0.14379999999999998</c:v>
                  </c:pt>
                  <c:pt idx="70">
                    <c:v>0.14579999999999999</c:v>
                  </c:pt>
                  <c:pt idx="71">
                    <c:v>0.14759999999999998</c:v>
                  </c:pt>
                  <c:pt idx="72">
                    <c:v>0.15049999999999999</c:v>
                  </c:pt>
                  <c:pt idx="73">
                    <c:v>0.1525</c:v>
                  </c:pt>
                  <c:pt idx="74">
                    <c:v>0.15289999999999998</c:v>
                  </c:pt>
                  <c:pt idx="75">
                    <c:v>0.15289999999999998</c:v>
                  </c:pt>
                  <c:pt idx="76">
                    <c:v>0.15289999999999998</c:v>
                  </c:pt>
                  <c:pt idx="77">
                    <c:v>0.154</c:v>
                  </c:pt>
                  <c:pt idx="78">
                    <c:v>0.15719999999999998</c:v>
                  </c:pt>
                  <c:pt idx="79">
                    <c:v>0.1583</c:v>
                  </c:pt>
                  <c:pt idx="80">
                    <c:v>0.15969999999999998</c:v>
                  </c:pt>
                  <c:pt idx="81">
                    <c:v>0.15989999999999999</c:v>
                  </c:pt>
                  <c:pt idx="82">
                    <c:v>0.15989999999999999</c:v>
                  </c:pt>
                  <c:pt idx="83">
                    <c:v>0.1613</c:v>
                  </c:pt>
                  <c:pt idx="84">
                    <c:v>0.16239999999999999</c:v>
                  </c:pt>
                  <c:pt idx="85">
                    <c:v>0.1656</c:v>
                  </c:pt>
                  <c:pt idx="86">
                    <c:v>0.16889999999999999</c:v>
                  </c:pt>
                  <c:pt idx="87">
                    <c:v>0.1719</c:v>
                  </c:pt>
                  <c:pt idx="88">
                    <c:v>0.17529999999999998</c:v>
                  </c:pt>
                  <c:pt idx="89">
                    <c:v>0.17809999999999998</c:v>
                  </c:pt>
                  <c:pt idx="90">
                    <c:v>0.18089999999999998</c:v>
                  </c:pt>
                  <c:pt idx="91">
                    <c:v>0.18409999999999999</c:v>
                  </c:pt>
                  <c:pt idx="92">
                    <c:v>0.186</c:v>
                  </c:pt>
                  <c:pt idx="93">
                    <c:v>0.189</c:v>
                  </c:pt>
                  <c:pt idx="94">
                    <c:v>0.1905</c:v>
                  </c:pt>
                  <c:pt idx="95">
                    <c:v>0.19269999999999998</c:v>
                  </c:pt>
                  <c:pt idx="96">
                    <c:v>0.19319999999999998</c:v>
                  </c:pt>
                  <c:pt idx="97">
                    <c:v>0.19319999999999998</c:v>
                  </c:pt>
                  <c:pt idx="98">
                    <c:v>0.1946</c:v>
                  </c:pt>
                  <c:pt idx="99">
                    <c:v>0.19669999999999999</c:v>
                  </c:pt>
                  <c:pt idx="100">
                    <c:v>0.19729999999999998</c:v>
                  </c:pt>
                  <c:pt idx="101">
                    <c:v>0.19849999999999998</c:v>
                  </c:pt>
                  <c:pt idx="102">
                    <c:v>0.19889999999999999</c:v>
                  </c:pt>
                  <c:pt idx="103">
                    <c:v>0.2009</c:v>
                  </c:pt>
                  <c:pt idx="104">
                    <c:v>0.2087</c:v>
                  </c:pt>
                  <c:pt idx="105">
                    <c:v>0.21279999999999999</c:v>
                  </c:pt>
                  <c:pt idx="106">
                    <c:v>0.2223</c:v>
                  </c:pt>
                  <c:pt idx="107">
                    <c:v>0.2266</c:v>
                  </c:pt>
                  <c:pt idx="108">
                    <c:v>0.22669999999999998</c:v>
                  </c:pt>
                  <c:pt idx="109">
                    <c:v>0.23039999999999999</c:v>
                  </c:pt>
                  <c:pt idx="110">
                    <c:v>0.2392</c:v>
                  </c:pt>
                  <c:pt idx="111">
                    <c:v>0.24109999999999998</c:v>
                  </c:pt>
                  <c:pt idx="112">
                    <c:v>0.24139999999999998</c:v>
                  </c:pt>
                  <c:pt idx="113">
                    <c:v>0.25229999999999997</c:v>
                  </c:pt>
                  <c:pt idx="114">
                    <c:v>0.25440000000000002</c:v>
                  </c:pt>
                  <c:pt idx="115">
                    <c:v>0.25569999999999998</c:v>
                  </c:pt>
                  <c:pt idx="116">
                    <c:v>0.25700000000000001</c:v>
                  </c:pt>
                  <c:pt idx="117">
                    <c:v>0.25689999999999996</c:v>
                  </c:pt>
                  <c:pt idx="118">
                    <c:v>0.25969999999999999</c:v>
                  </c:pt>
                  <c:pt idx="119">
                    <c:v>0.26250000000000001</c:v>
                  </c:pt>
                  <c:pt idx="120">
                    <c:v>0.26539999999999997</c:v>
                  </c:pt>
                  <c:pt idx="121">
                    <c:v>0.26689999999999997</c:v>
                  </c:pt>
                  <c:pt idx="122">
                    <c:v>0.26850000000000002</c:v>
                  </c:pt>
                  <c:pt idx="123">
                    <c:v>0.27010000000000001</c:v>
                  </c:pt>
                  <c:pt idx="124">
                    <c:v>0.27249999999999996</c:v>
                  </c:pt>
                  <c:pt idx="125">
                    <c:v>0.27260000000000001</c:v>
                  </c:pt>
                  <c:pt idx="126">
                    <c:v>0.2752</c:v>
                  </c:pt>
                  <c:pt idx="127">
                    <c:v>0.27529999999999999</c:v>
                  </c:pt>
                  <c:pt idx="128">
                    <c:v>0.2772</c:v>
                  </c:pt>
                  <c:pt idx="129">
                    <c:v>0.27789999999999998</c:v>
                  </c:pt>
                  <c:pt idx="130">
                    <c:v>0.28249999999999997</c:v>
                  </c:pt>
                  <c:pt idx="131">
                    <c:v>0.28559999999999997</c:v>
                  </c:pt>
                  <c:pt idx="132">
                    <c:v>0.28789999999999999</c:v>
                  </c:pt>
                  <c:pt idx="133">
                    <c:v>0.29059999999999997</c:v>
                  </c:pt>
                  <c:pt idx="134">
                    <c:v>0.29809999999999998</c:v>
                  </c:pt>
                  <c:pt idx="135">
                    <c:v>0.2999</c:v>
                  </c:pt>
                  <c:pt idx="136">
                    <c:v>0.3014</c:v>
                  </c:pt>
                  <c:pt idx="137">
                    <c:v>0.30280000000000001</c:v>
                  </c:pt>
                  <c:pt idx="138">
                    <c:v>0.30309999999999998</c:v>
                  </c:pt>
                  <c:pt idx="139">
                    <c:v>0.30380000000000001</c:v>
                  </c:pt>
                  <c:pt idx="140">
                    <c:v>0.30399999999999999</c:v>
                  </c:pt>
                  <c:pt idx="141">
                    <c:v>0.30219999999999997</c:v>
                  </c:pt>
                  <c:pt idx="142">
                    <c:v>0.30169999999999997</c:v>
                  </c:pt>
                  <c:pt idx="143">
                    <c:v>0.30169999999999997</c:v>
                  </c:pt>
                  <c:pt idx="144">
                    <c:v>0.30169999999999997</c:v>
                  </c:pt>
                  <c:pt idx="145">
                    <c:v>0.30409999999999998</c:v>
                  </c:pt>
                  <c:pt idx="146">
                    <c:v>0.30449999999999999</c:v>
                  </c:pt>
                  <c:pt idx="147">
                    <c:v>0.30509999999999998</c:v>
                  </c:pt>
                  <c:pt idx="148">
                    <c:v>0.30499999999999999</c:v>
                  </c:pt>
                  <c:pt idx="149">
                    <c:v>0.30690000000000001</c:v>
                  </c:pt>
                  <c:pt idx="150">
                    <c:v>0.30829999999999996</c:v>
                  </c:pt>
                  <c:pt idx="151">
                    <c:v>0.30979999999999996</c:v>
                  </c:pt>
                  <c:pt idx="152">
                    <c:v>0.31090000000000001</c:v>
                  </c:pt>
                  <c:pt idx="153">
                    <c:v>0.31240000000000001</c:v>
                  </c:pt>
                  <c:pt idx="154">
                    <c:v>0.31340000000000001</c:v>
                  </c:pt>
                  <c:pt idx="155">
                    <c:v>0.3145</c:v>
                  </c:pt>
                  <c:pt idx="156">
                    <c:v>0.31469999999999998</c:v>
                  </c:pt>
                  <c:pt idx="157">
                    <c:v>0.31779999999999997</c:v>
                  </c:pt>
                  <c:pt idx="158">
                    <c:v>0.3206</c:v>
                  </c:pt>
                  <c:pt idx="159">
                    <c:v>0.3206</c:v>
                  </c:pt>
                  <c:pt idx="160">
                    <c:v>0.32300000000000001</c:v>
                  </c:pt>
                  <c:pt idx="161">
                    <c:v>0.32529999999999998</c:v>
                  </c:pt>
                  <c:pt idx="162">
                    <c:v>0.32650000000000001</c:v>
                  </c:pt>
                  <c:pt idx="163">
                    <c:v>0.32750000000000001</c:v>
                  </c:pt>
                  <c:pt idx="164">
                    <c:v>0.3306</c:v>
                  </c:pt>
                  <c:pt idx="165">
                    <c:v>0.33199999999999996</c:v>
                  </c:pt>
                  <c:pt idx="166">
                    <c:v>0.33299999999999996</c:v>
                  </c:pt>
                  <c:pt idx="167">
                    <c:v>0.33599999999999997</c:v>
                  </c:pt>
                  <c:pt idx="168">
                    <c:v>0.33929999999999999</c:v>
                  </c:pt>
                  <c:pt idx="169">
                    <c:v>0.34289999999999998</c:v>
                  </c:pt>
                  <c:pt idx="170">
                    <c:v>0.34809999999999997</c:v>
                  </c:pt>
                  <c:pt idx="171">
                    <c:v>0.34970000000000001</c:v>
                  </c:pt>
                  <c:pt idx="172">
                    <c:v>0.35120000000000001</c:v>
                  </c:pt>
                  <c:pt idx="173">
                    <c:v>0.35320000000000001</c:v>
                  </c:pt>
                  <c:pt idx="174">
                    <c:v>0.36119999999999997</c:v>
                  </c:pt>
                  <c:pt idx="175">
                    <c:v>0.3634</c:v>
                  </c:pt>
                  <c:pt idx="176">
                    <c:v>0.36649999999999999</c:v>
                  </c:pt>
                  <c:pt idx="177">
                    <c:v>0.37029999999999996</c:v>
                  </c:pt>
                  <c:pt idx="178">
                    <c:v>0.373</c:v>
                  </c:pt>
                  <c:pt idx="179">
                    <c:v>0.37929999999999997</c:v>
                  </c:pt>
                  <c:pt idx="180">
                    <c:v>0.38029999999999997</c:v>
                  </c:pt>
                  <c:pt idx="181">
                    <c:v>0.38069999999999998</c:v>
                  </c:pt>
                  <c:pt idx="182">
                    <c:v>0.38129999999999997</c:v>
                  </c:pt>
                  <c:pt idx="183">
                    <c:v>0.3821</c:v>
                  </c:pt>
                  <c:pt idx="184">
                    <c:v>0.38429999999999997</c:v>
                  </c:pt>
                  <c:pt idx="185">
                    <c:v>0.38489999999999996</c:v>
                  </c:pt>
                  <c:pt idx="186">
                    <c:v>0.38579999999999998</c:v>
                  </c:pt>
                  <c:pt idx="187">
                    <c:v>0.3901</c:v>
                  </c:pt>
                  <c:pt idx="188">
                    <c:v>0.39089999999999997</c:v>
                  </c:pt>
                  <c:pt idx="189">
                    <c:v>0.39229999999999998</c:v>
                  </c:pt>
                  <c:pt idx="190">
                    <c:v>0.39289999999999997</c:v>
                  </c:pt>
                  <c:pt idx="191">
                    <c:v>0.39269999999999999</c:v>
                  </c:pt>
                  <c:pt idx="192">
                    <c:v>0.3931</c:v>
                  </c:pt>
                  <c:pt idx="193">
                    <c:v>0.39279999999999998</c:v>
                  </c:pt>
                  <c:pt idx="194">
                    <c:v>0.39279999999999998</c:v>
                  </c:pt>
                </c:numCache>
              </c:numRef>
            </c:plus>
            <c:minus>
              <c:numRef>
                <c:f>'2'!$Q$34:$Q$228</c:f>
                <c:numCache>
                  <c:formatCode>General</c:formatCode>
                  <c:ptCount val="195"/>
                  <c:pt idx="0">
                    <c:v>-7.8899999999999998E-2</c:v>
                  </c:pt>
                  <c:pt idx="1">
                    <c:v>-7.5700000000000003E-2</c:v>
                  </c:pt>
                  <c:pt idx="2">
                    <c:v>-6.9600000000000009E-2</c:v>
                  </c:pt>
                  <c:pt idx="3">
                    <c:v>-6.4700000000000008E-2</c:v>
                  </c:pt>
                  <c:pt idx="4">
                    <c:v>-5.3200000000000004E-2</c:v>
                  </c:pt>
                  <c:pt idx="5">
                    <c:v>-5.04E-2</c:v>
                  </c:pt>
                  <c:pt idx="6">
                    <c:v>-4.7400000000000005E-2</c:v>
                  </c:pt>
                  <c:pt idx="7">
                    <c:v>-4.3300000000000005E-2</c:v>
                  </c:pt>
                  <c:pt idx="8">
                    <c:v>-4.0900000000000006E-2</c:v>
                  </c:pt>
                  <c:pt idx="9">
                    <c:v>-4.0300000000000002E-2</c:v>
                  </c:pt>
                  <c:pt idx="10">
                    <c:v>-3.7900000000000003E-2</c:v>
                  </c:pt>
                  <c:pt idx="11">
                    <c:v>-3.6400000000000002E-2</c:v>
                  </c:pt>
                  <c:pt idx="12">
                    <c:v>-3.27E-2</c:v>
                  </c:pt>
                  <c:pt idx="13">
                    <c:v>-3.0800000000000001E-2</c:v>
                  </c:pt>
                  <c:pt idx="14">
                    <c:v>-0.03</c:v>
                  </c:pt>
                  <c:pt idx="15">
                    <c:v>-2.8000000000000001E-2</c:v>
                  </c:pt>
                  <c:pt idx="16">
                    <c:v>-2.6200000000000001E-2</c:v>
                  </c:pt>
                  <c:pt idx="17">
                    <c:v>-2.24E-2</c:v>
                  </c:pt>
                  <c:pt idx="18">
                    <c:v>-1.8200000000000001E-2</c:v>
                  </c:pt>
                  <c:pt idx="19">
                    <c:v>-1.67E-2</c:v>
                  </c:pt>
                  <c:pt idx="20">
                    <c:v>-1.3899999999999999E-2</c:v>
                  </c:pt>
                  <c:pt idx="21">
                    <c:v>-1.09E-2</c:v>
                  </c:pt>
                  <c:pt idx="22">
                    <c:v>-6.4000000000000003E-3</c:v>
                  </c:pt>
                  <c:pt idx="23">
                    <c:v>-2.0999999999999999E-3</c:v>
                  </c:pt>
                  <c:pt idx="24">
                    <c:v>2.1999999999999997E-3</c:v>
                  </c:pt>
                  <c:pt idx="25">
                    <c:v>4.4000000000000003E-3</c:v>
                  </c:pt>
                  <c:pt idx="26">
                    <c:v>5.8999999999999999E-3</c:v>
                  </c:pt>
                  <c:pt idx="27">
                    <c:v>1.01E-2</c:v>
                  </c:pt>
                  <c:pt idx="28">
                    <c:v>1.1399999999999999E-2</c:v>
                  </c:pt>
                  <c:pt idx="29">
                    <c:v>1.2499999999999999E-2</c:v>
                  </c:pt>
                  <c:pt idx="30">
                    <c:v>1.29E-2</c:v>
                  </c:pt>
                  <c:pt idx="31">
                    <c:v>1.8499999999999999E-2</c:v>
                  </c:pt>
                  <c:pt idx="32">
                    <c:v>2.1299999999999999E-2</c:v>
                  </c:pt>
                  <c:pt idx="33">
                    <c:v>2.41E-2</c:v>
                  </c:pt>
                  <c:pt idx="34">
                    <c:v>2.5599999999999998E-2</c:v>
                  </c:pt>
                  <c:pt idx="35">
                    <c:v>2.9499999999999998E-2</c:v>
                  </c:pt>
                  <c:pt idx="36">
                    <c:v>3.2100000000000004E-2</c:v>
                  </c:pt>
                  <c:pt idx="37">
                    <c:v>3.5100000000000006E-2</c:v>
                  </c:pt>
                  <c:pt idx="38">
                    <c:v>3.6700000000000003E-2</c:v>
                  </c:pt>
                  <c:pt idx="39">
                    <c:v>4.1700000000000001E-2</c:v>
                  </c:pt>
                  <c:pt idx="40">
                    <c:v>4.7300000000000002E-2</c:v>
                  </c:pt>
                  <c:pt idx="41">
                    <c:v>5.0900000000000001E-2</c:v>
                  </c:pt>
                  <c:pt idx="42">
                    <c:v>6.2300000000000001E-2</c:v>
                  </c:pt>
                  <c:pt idx="43">
                    <c:v>6.4799999999999996E-2</c:v>
                  </c:pt>
                  <c:pt idx="44">
                    <c:v>6.6100000000000006E-2</c:v>
                  </c:pt>
                  <c:pt idx="45">
                    <c:v>7.0199999999999999E-2</c:v>
                  </c:pt>
                  <c:pt idx="46">
                    <c:v>7.4400000000000008E-2</c:v>
                  </c:pt>
                  <c:pt idx="47">
                    <c:v>7.6100000000000001E-2</c:v>
                  </c:pt>
                  <c:pt idx="48">
                    <c:v>7.8800000000000009E-2</c:v>
                  </c:pt>
                  <c:pt idx="49">
                    <c:v>8.1000000000000003E-2</c:v>
                  </c:pt>
                  <c:pt idx="50">
                    <c:v>8.9700000000000002E-2</c:v>
                  </c:pt>
                  <c:pt idx="51">
                    <c:v>9.5399999999999999E-2</c:v>
                  </c:pt>
                  <c:pt idx="52">
                    <c:v>0.10290000000000001</c:v>
                  </c:pt>
                  <c:pt idx="53">
                    <c:v>0.107</c:v>
                  </c:pt>
                  <c:pt idx="54">
                    <c:v>0.111</c:v>
                  </c:pt>
                  <c:pt idx="55">
                    <c:v>0.11270000000000001</c:v>
                  </c:pt>
                  <c:pt idx="56">
                    <c:v>0.115</c:v>
                  </c:pt>
                  <c:pt idx="57">
                    <c:v>0.1163</c:v>
                  </c:pt>
                  <c:pt idx="58">
                    <c:v>0.1176</c:v>
                  </c:pt>
                  <c:pt idx="59">
                    <c:v>0.11890000000000001</c:v>
                  </c:pt>
                  <c:pt idx="60">
                    <c:v>0.1206</c:v>
                  </c:pt>
                  <c:pt idx="61">
                    <c:v>0.1221</c:v>
                  </c:pt>
                  <c:pt idx="62">
                    <c:v>0.1249</c:v>
                  </c:pt>
                  <c:pt idx="63">
                    <c:v>0.12899999999999998</c:v>
                  </c:pt>
                  <c:pt idx="64">
                    <c:v>0.13139999999999999</c:v>
                  </c:pt>
                  <c:pt idx="65">
                    <c:v>0.1346</c:v>
                  </c:pt>
                  <c:pt idx="66">
                    <c:v>0.1361</c:v>
                  </c:pt>
                  <c:pt idx="67">
                    <c:v>0.14019999999999999</c:v>
                  </c:pt>
                  <c:pt idx="68">
                    <c:v>0.14159999999999998</c:v>
                  </c:pt>
                  <c:pt idx="69">
                    <c:v>0.14379999999999998</c:v>
                  </c:pt>
                  <c:pt idx="70">
                    <c:v>0.14579999999999999</c:v>
                  </c:pt>
                  <c:pt idx="71">
                    <c:v>0.14759999999999998</c:v>
                  </c:pt>
                  <c:pt idx="72">
                    <c:v>0.15049999999999999</c:v>
                  </c:pt>
                  <c:pt idx="73">
                    <c:v>0.1525</c:v>
                  </c:pt>
                  <c:pt idx="74">
                    <c:v>0.15289999999999998</c:v>
                  </c:pt>
                  <c:pt idx="75">
                    <c:v>0.15289999999999998</c:v>
                  </c:pt>
                  <c:pt idx="76">
                    <c:v>0.15289999999999998</c:v>
                  </c:pt>
                  <c:pt idx="77">
                    <c:v>0.154</c:v>
                  </c:pt>
                  <c:pt idx="78">
                    <c:v>0.15719999999999998</c:v>
                  </c:pt>
                  <c:pt idx="79">
                    <c:v>0.1583</c:v>
                  </c:pt>
                  <c:pt idx="80">
                    <c:v>0.15969999999999998</c:v>
                  </c:pt>
                  <c:pt idx="81">
                    <c:v>0.15989999999999999</c:v>
                  </c:pt>
                  <c:pt idx="82">
                    <c:v>0.15989999999999999</c:v>
                  </c:pt>
                  <c:pt idx="83">
                    <c:v>0.1613</c:v>
                  </c:pt>
                  <c:pt idx="84">
                    <c:v>0.16239999999999999</c:v>
                  </c:pt>
                  <c:pt idx="85">
                    <c:v>0.1656</c:v>
                  </c:pt>
                  <c:pt idx="86">
                    <c:v>0.16889999999999999</c:v>
                  </c:pt>
                  <c:pt idx="87">
                    <c:v>0.1719</c:v>
                  </c:pt>
                  <c:pt idx="88">
                    <c:v>0.17529999999999998</c:v>
                  </c:pt>
                  <c:pt idx="89">
                    <c:v>0.17809999999999998</c:v>
                  </c:pt>
                  <c:pt idx="90">
                    <c:v>0.18089999999999998</c:v>
                  </c:pt>
                  <c:pt idx="91">
                    <c:v>0.18409999999999999</c:v>
                  </c:pt>
                  <c:pt idx="92">
                    <c:v>0.186</c:v>
                  </c:pt>
                  <c:pt idx="93">
                    <c:v>0.189</c:v>
                  </c:pt>
                  <c:pt idx="94">
                    <c:v>0.1905</c:v>
                  </c:pt>
                  <c:pt idx="95">
                    <c:v>0.19269999999999998</c:v>
                  </c:pt>
                  <c:pt idx="96">
                    <c:v>0.19319999999999998</c:v>
                  </c:pt>
                  <c:pt idx="97">
                    <c:v>0.19319999999999998</c:v>
                  </c:pt>
                  <c:pt idx="98">
                    <c:v>0.1946</c:v>
                  </c:pt>
                  <c:pt idx="99">
                    <c:v>0.19669999999999999</c:v>
                  </c:pt>
                  <c:pt idx="100">
                    <c:v>0.19729999999999998</c:v>
                  </c:pt>
                  <c:pt idx="101">
                    <c:v>0.19849999999999998</c:v>
                  </c:pt>
                  <c:pt idx="102">
                    <c:v>0.19889999999999999</c:v>
                  </c:pt>
                  <c:pt idx="103">
                    <c:v>0.2009</c:v>
                  </c:pt>
                  <c:pt idx="104">
                    <c:v>0.2087</c:v>
                  </c:pt>
                  <c:pt idx="105">
                    <c:v>0.21279999999999999</c:v>
                  </c:pt>
                  <c:pt idx="106">
                    <c:v>0.2223</c:v>
                  </c:pt>
                  <c:pt idx="107">
                    <c:v>0.2266</c:v>
                  </c:pt>
                  <c:pt idx="108">
                    <c:v>0.22669999999999998</c:v>
                  </c:pt>
                  <c:pt idx="109">
                    <c:v>0.23039999999999999</c:v>
                  </c:pt>
                  <c:pt idx="110">
                    <c:v>0.2392</c:v>
                  </c:pt>
                  <c:pt idx="111">
                    <c:v>0.24109999999999998</c:v>
                  </c:pt>
                  <c:pt idx="112">
                    <c:v>0.24139999999999998</c:v>
                  </c:pt>
                  <c:pt idx="113">
                    <c:v>0.25229999999999997</c:v>
                  </c:pt>
                  <c:pt idx="114">
                    <c:v>0.25440000000000002</c:v>
                  </c:pt>
                  <c:pt idx="115">
                    <c:v>0.25569999999999998</c:v>
                  </c:pt>
                  <c:pt idx="116">
                    <c:v>0.25700000000000001</c:v>
                  </c:pt>
                  <c:pt idx="117">
                    <c:v>0.25689999999999996</c:v>
                  </c:pt>
                  <c:pt idx="118">
                    <c:v>0.25969999999999999</c:v>
                  </c:pt>
                  <c:pt idx="119">
                    <c:v>0.26250000000000001</c:v>
                  </c:pt>
                  <c:pt idx="120">
                    <c:v>0.26539999999999997</c:v>
                  </c:pt>
                  <c:pt idx="121">
                    <c:v>0.26689999999999997</c:v>
                  </c:pt>
                  <c:pt idx="122">
                    <c:v>0.26850000000000002</c:v>
                  </c:pt>
                  <c:pt idx="123">
                    <c:v>0.27010000000000001</c:v>
                  </c:pt>
                  <c:pt idx="124">
                    <c:v>0.27249999999999996</c:v>
                  </c:pt>
                  <c:pt idx="125">
                    <c:v>0.27260000000000001</c:v>
                  </c:pt>
                  <c:pt idx="126">
                    <c:v>0.2752</c:v>
                  </c:pt>
                  <c:pt idx="127">
                    <c:v>0.27529999999999999</c:v>
                  </c:pt>
                  <c:pt idx="128">
                    <c:v>0.2772</c:v>
                  </c:pt>
                  <c:pt idx="129">
                    <c:v>0.27789999999999998</c:v>
                  </c:pt>
                  <c:pt idx="130">
                    <c:v>0.28249999999999997</c:v>
                  </c:pt>
                  <c:pt idx="131">
                    <c:v>0.28559999999999997</c:v>
                  </c:pt>
                  <c:pt idx="132">
                    <c:v>0.28789999999999999</c:v>
                  </c:pt>
                  <c:pt idx="133">
                    <c:v>0.29059999999999997</c:v>
                  </c:pt>
                  <c:pt idx="134">
                    <c:v>0.29809999999999998</c:v>
                  </c:pt>
                  <c:pt idx="135">
                    <c:v>0.2999</c:v>
                  </c:pt>
                  <c:pt idx="136">
                    <c:v>0.3014</c:v>
                  </c:pt>
                  <c:pt idx="137">
                    <c:v>0.30280000000000001</c:v>
                  </c:pt>
                  <c:pt idx="138">
                    <c:v>0.30309999999999998</c:v>
                  </c:pt>
                  <c:pt idx="139">
                    <c:v>0.30380000000000001</c:v>
                  </c:pt>
                  <c:pt idx="140">
                    <c:v>0.30399999999999999</c:v>
                  </c:pt>
                  <c:pt idx="141">
                    <c:v>0.30219999999999997</c:v>
                  </c:pt>
                  <c:pt idx="142">
                    <c:v>0.30169999999999997</c:v>
                  </c:pt>
                  <c:pt idx="143">
                    <c:v>0.30169999999999997</c:v>
                  </c:pt>
                  <c:pt idx="144">
                    <c:v>0.30169999999999997</c:v>
                  </c:pt>
                  <c:pt idx="145">
                    <c:v>0.30409999999999998</c:v>
                  </c:pt>
                  <c:pt idx="146">
                    <c:v>0.30449999999999999</c:v>
                  </c:pt>
                  <c:pt idx="147">
                    <c:v>0.30509999999999998</c:v>
                  </c:pt>
                  <c:pt idx="148">
                    <c:v>0.30499999999999999</c:v>
                  </c:pt>
                  <c:pt idx="149">
                    <c:v>0.30690000000000001</c:v>
                  </c:pt>
                  <c:pt idx="150">
                    <c:v>0.30829999999999996</c:v>
                  </c:pt>
                  <c:pt idx="151">
                    <c:v>0.30979999999999996</c:v>
                  </c:pt>
                  <c:pt idx="152">
                    <c:v>0.31090000000000001</c:v>
                  </c:pt>
                  <c:pt idx="153">
                    <c:v>0.31240000000000001</c:v>
                  </c:pt>
                  <c:pt idx="154">
                    <c:v>0.31340000000000001</c:v>
                  </c:pt>
                  <c:pt idx="155">
                    <c:v>0.3145</c:v>
                  </c:pt>
                  <c:pt idx="156">
                    <c:v>0.31469999999999998</c:v>
                  </c:pt>
                  <c:pt idx="157">
                    <c:v>0.31779999999999997</c:v>
                  </c:pt>
                  <c:pt idx="158">
                    <c:v>0.3206</c:v>
                  </c:pt>
                  <c:pt idx="159">
                    <c:v>0.3206</c:v>
                  </c:pt>
                  <c:pt idx="160">
                    <c:v>0.32300000000000001</c:v>
                  </c:pt>
                  <c:pt idx="161">
                    <c:v>0.32529999999999998</c:v>
                  </c:pt>
                  <c:pt idx="162">
                    <c:v>0.32650000000000001</c:v>
                  </c:pt>
                  <c:pt idx="163">
                    <c:v>0.32750000000000001</c:v>
                  </c:pt>
                  <c:pt idx="164">
                    <c:v>0.3306</c:v>
                  </c:pt>
                  <c:pt idx="165">
                    <c:v>0.33199999999999996</c:v>
                  </c:pt>
                  <c:pt idx="166">
                    <c:v>0.33299999999999996</c:v>
                  </c:pt>
                  <c:pt idx="167">
                    <c:v>0.33599999999999997</c:v>
                  </c:pt>
                  <c:pt idx="168">
                    <c:v>0.33929999999999999</c:v>
                  </c:pt>
                  <c:pt idx="169">
                    <c:v>0.34289999999999998</c:v>
                  </c:pt>
                  <c:pt idx="170">
                    <c:v>0.34809999999999997</c:v>
                  </c:pt>
                  <c:pt idx="171">
                    <c:v>0.34970000000000001</c:v>
                  </c:pt>
                  <c:pt idx="172">
                    <c:v>0.35120000000000001</c:v>
                  </c:pt>
                  <c:pt idx="173">
                    <c:v>0.35320000000000001</c:v>
                  </c:pt>
                  <c:pt idx="174">
                    <c:v>0.36119999999999997</c:v>
                  </c:pt>
                  <c:pt idx="175">
                    <c:v>0.3634</c:v>
                  </c:pt>
                  <c:pt idx="176">
                    <c:v>0.36649999999999999</c:v>
                  </c:pt>
                  <c:pt idx="177">
                    <c:v>0.37029999999999996</c:v>
                  </c:pt>
                  <c:pt idx="178">
                    <c:v>0.373</c:v>
                  </c:pt>
                  <c:pt idx="179">
                    <c:v>0.37929999999999997</c:v>
                  </c:pt>
                  <c:pt idx="180">
                    <c:v>0.38029999999999997</c:v>
                  </c:pt>
                  <c:pt idx="181">
                    <c:v>0.38069999999999998</c:v>
                  </c:pt>
                  <c:pt idx="182">
                    <c:v>0.38129999999999997</c:v>
                  </c:pt>
                  <c:pt idx="183">
                    <c:v>0.3821</c:v>
                  </c:pt>
                  <c:pt idx="184">
                    <c:v>0.38429999999999997</c:v>
                  </c:pt>
                  <c:pt idx="185">
                    <c:v>0.38489999999999996</c:v>
                  </c:pt>
                  <c:pt idx="186">
                    <c:v>0.38579999999999998</c:v>
                  </c:pt>
                  <c:pt idx="187">
                    <c:v>0.3901</c:v>
                  </c:pt>
                  <c:pt idx="188">
                    <c:v>0.39089999999999997</c:v>
                  </c:pt>
                  <c:pt idx="189">
                    <c:v>0.39229999999999998</c:v>
                  </c:pt>
                  <c:pt idx="190">
                    <c:v>0.39289999999999997</c:v>
                  </c:pt>
                  <c:pt idx="191">
                    <c:v>0.39269999999999999</c:v>
                  </c:pt>
                  <c:pt idx="192">
                    <c:v>0.3931</c:v>
                  </c:pt>
                  <c:pt idx="193">
                    <c:v>0.39279999999999998</c:v>
                  </c:pt>
                  <c:pt idx="194">
                    <c:v>0.39279999999999998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'2'!$S$34:$S$228</c:f>
                <c:numCache>
                  <c:formatCode>General</c:formatCode>
                  <c:ptCount val="195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</c:numCache>
              </c:numRef>
            </c:plus>
            <c:minus>
              <c:numRef>
                <c:f>'2'!$S$34:$S$228</c:f>
                <c:numCache>
                  <c:formatCode>General</c:formatCode>
                  <c:ptCount val="195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'2'!$P$34:$P$228</c:f>
              <c:numCache>
                <c:formatCode>General</c:formatCode>
                <c:ptCount val="195"/>
                <c:pt idx="0">
                  <c:v>-99.300003051757798</c:v>
                </c:pt>
                <c:pt idx="1">
                  <c:v>-95.300003051757798</c:v>
                </c:pt>
                <c:pt idx="2">
                  <c:v>-87.699996948242202</c:v>
                </c:pt>
                <c:pt idx="3">
                  <c:v>-81.5</c:v>
                </c:pt>
                <c:pt idx="4">
                  <c:v>-67.199996948242202</c:v>
                </c:pt>
                <c:pt idx="5">
                  <c:v>-63.700000762939503</c:v>
                </c:pt>
                <c:pt idx="6">
                  <c:v>-59.900001525878899</c:v>
                </c:pt>
                <c:pt idx="7">
                  <c:v>-54.799999237060497</c:v>
                </c:pt>
                <c:pt idx="8">
                  <c:v>-51.799999237060497</c:v>
                </c:pt>
                <c:pt idx="9">
                  <c:v>-51</c:v>
                </c:pt>
                <c:pt idx="10">
                  <c:v>-48</c:v>
                </c:pt>
                <c:pt idx="11">
                  <c:v>-46.099998474121101</c:v>
                </c:pt>
                <c:pt idx="12">
                  <c:v>-41.540000915527301</c:v>
                </c:pt>
                <c:pt idx="13">
                  <c:v>-39.169998168945298</c:v>
                </c:pt>
                <c:pt idx="14">
                  <c:v>-38.220001220703097</c:v>
                </c:pt>
                <c:pt idx="15">
                  <c:v>-35.659999847412102</c:v>
                </c:pt>
                <c:pt idx="16">
                  <c:v>-33.439998626708999</c:v>
                </c:pt>
                <c:pt idx="17">
                  <c:v>-28.610000610351602</c:v>
                </c:pt>
                <c:pt idx="18">
                  <c:v>-23.440000534057599</c:v>
                </c:pt>
                <c:pt idx="19">
                  <c:v>-21.590000152587901</c:v>
                </c:pt>
                <c:pt idx="20">
                  <c:v>-18.090000152587901</c:v>
                </c:pt>
                <c:pt idx="21">
                  <c:v>-14.310000419616699</c:v>
                </c:pt>
                <c:pt idx="22">
                  <c:v>-8.6099996566772496</c:v>
                </c:pt>
                <c:pt idx="23">
                  <c:v>-3.2400000095367401</c:v>
                </c:pt>
                <c:pt idx="24">
                  <c:v>1.9400000572204601</c:v>
                </c:pt>
                <c:pt idx="25">
                  <c:v>4.75</c:v>
                </c:pt>
                <c:pt idx="26">
                  <c:v>6.5300002098083496</c:v>
                </c:pt>
                <c:pt idx="27">
                  <c:v>11.8400001525879</c:v>
                </c:pt>
                <c:pt idx="28">
                  <c:v>13.5200004577637</c:v>
                </c:pt>
                <c:pt idx="29">
                  <c:v>14.800000190734901</c:v>
                </c:pt>
                <c:pt idx="30">
                  <c:v>15.300000190734901</c:v>
                </c:pt>
                <c:pt idx="31">
                  <c:v>22.299999237060501</c:v>
                </c:pt>
                <c:pt idx="32">
                  <c:v>25.829999923706101</c:v>
                </c:pt>
                <c:pt idx="33">
                  <c:v>29.350000381469702</c:v>
                </c:pt>
                <c:pt idx="34">
                  <c:v>31.190000534057599</c:v>
                </c:pt>
                <c:pt idx="35">
                  <c:v>36.080001831054702</c:v>
                </c:pt>
                <c:pt idx="36">
                  <c:v>39.389999389648402</c:v>
                </c:pt>
                <c:pt idx="37">
                  <c:v>43.119998931884801</c:v>
                </c:pt>
                <c:pt idx="38">
                  <c:v>45.139999389648402</c:v>
                </c:pt>
                <c:pt idx="39">
                  <c:v>51.389999389648402</c:v>
                </c:pt>
                <c:pt idx="40">
                  <c:v>58.299999237060497</c:v>
                </c:pt>
                <c:pt idx="41">
                  <c:v>62.900001525878899</c:v>
                </c:pt>
                <c:pt idx="42">
                  <c:v>77.099998474121094</c:v>
                </c:pt>
                <c:pt idx="43">
                  <c:v>80.199996948242202</c:v>
                </c:pt>
                <c:pt idx="44">
                  <c:v>81.800003051757798</c:v>
                </c:pt>
                <c:pt idx="45">
                  <c:v>87</c:v>
                </c:pt>
                <c:pt idx="46">
                  <c:v>92.199996948242202</c:v>
                </c:pt>
                <c:pt idx="47">
                  <c:v>94.400001525878906</c:v>
                </c:pt>
                <c:pt idx="48">
                  <c:v>97.699996948242202</c:v>
                </c:pt>
                <c:pt idx="49">
                  <c:v>100.5</c:v>
                </c:pt>
                <c:pt idx="50">
                  <c:v>111.300003051758</c:v>
                </c:pt>
                <c:pt idx="51">
                  <c:v>118.5</c:v>
                </c:pt>
                <c:pt idx="52">
                  <c:v>127.800003051758</c:v>
                </c:pt>
                <c:pt idx="53">
                  <c:v>133</c:v>
                </c:pt>
                <c:pt idx="54">
                  <c:v>138</c:v>
                </c:pt>
                <c:pt idx="55">
                  <c:v>140.10000610351599</c:v>
                </c:pt>
                <c:pt idx="56">
                  <c:v>143</c:v>
                </c:pt>
                <c:pt idx="57">
                  <c:v>144.60000610351599</c:v>
                </c:pt>
                <c:pt idx="58">
                  <c:v>146.19999694824199</c:v>
                </c:pt>
                <c:pt idx="59">
                  <c:v>147.80000305175801</c:v>
                </c:pt>
                <c:pt idx="60">
                  <c:v>150</c:v>
                </c:pt>
                <c:pt idx="61">
                  <c:v>151.80000305175801</c:v>
                </c:pt>
                <c:pt idx="62">
                  <c:v>155.39999389648401</c:v>
                </c:pt>
                <c:pt idx="63">
                  <c:v>160.5</c:v>
                </c:pt>
                <c:pt idx="64">
                  <c:v>163.5</c:v>
                </c:pt>
                <c:pt idx="65">
                  <c:v>167.5</c:v>
                </c:pt>
                <c:pt idx="66">
                  <c:v>169.30000305175801</c:v>
                </c:pt>
                <c:pt idx="67">
                  <c:v>174.5</c:v>
                </c:pt>
                <c:pt idx="68">
                  <c:v>176.19999694824199</c:v>
                </c:pt>
                <c:pt idx="69">
                  <c:v>179</c:v>
                </c:pt>
                <c:pt idx="70">
                  <c:v>181.5</c:v>
                </c:pt>
                <c:pt idx="71">
                  <c:v>183.69999694824199</c:v>
                </c:pt>
                <c:pt idx="72">
                  <c:v>187.39999389648401</c:v>
                </c:pt>
                <c:pt idx="73">
                  <c:v>189.89999389648401</c:v>
                </c:pt>
                <c:pt idx="74">
                  <c:v>190.30000305175801</c:v>
                </c:pt>
                <c:pt idx="75">
                  <c:v>190.30000305175801</c:v>
                </c:pt>
                <c:pt idx="76">
                  <c:v>190.39999389648401</c:v>
                </c:pt>
                <c:pt idx="77">
                  <c:v>191.69999694824199</c:v>
                </c:pt>
                <c:pt idx="78">
                  <c:v>195.69999694824199</c:v>
                </c:pt>
                <c:pt idx="79">
                  <c:v>197.10000610351599</c:v>
                </c:pt>
                <c:pt idx="80">
                  <c:v>198.89999389648401</c:v>
                </c:pt>
                <c:pt idx="81">
                  <c:v>199.10000610351599</c:v>
                </c:pt>
                <c:pt idx="82">
                  <c:v>199.10000610351599</c:v>
                </c:pt>
                <c:pt idx="83">
                  <c:v>200.89999389648401</c:v>
                </c:pt>
                <c:pt idx="84">
                  <c:v>202.19999694824199</c:v>
                </c:pt>
                <c:pt idx="85">
                  <c:v>206.19999694824199</c:v>
                </c:pt>
                <c:pt idx="86">
                  <c:v>210.30000305175801</c:v>
                </c:pt>
                <c:pt idx="87">
                  <c:v>214.10000610351599</c:v>
                </c:pt>
                <c:pt idx="88">
                  <c:v>218.30000305175801</c:v>
                </c:pt>
                <c:pt idx="89">
                  <c:v>221.80000305175801</c:v>
                </c:pt>
                <c:pt idx="90">
                  <c:v>225.39999389648401</c:v>
                </c:pt>
                <c:pt idx="91">
                  <c:v>229.30000305175801</c:v>
                </c:pt>
                <c:pt idx="92">
                  <c:v>231.69999694824199</c:v>
                </c:pt>
                <c:pt idx="93">
                  <c:v>235.5</c:v>
                </c:pt>
                <c:pt idx="94">
                  <c:v>237.39999389648401</c:v>
                </c:pt>
                <c:pt idx="95">
                  <c:v>240.10000610351599</c:v>
                </c:pt>
                <c:pt idx="96">
                  <c:v>240.69999694824199</c:v>
                </c:pt>
                <c:pt idx="97">
                  <c:v>240.69999694824199</c:v>
                </c:pt>
                <c:pt idx="98">
                  <c:v>242.5</c:v>
                </c:pt>
                <c:pt idx="99">
                  <c:v>245.10000610351599</c:v>
                </c:pt>
                <c:pt idx="100">
                  <c:v>245.89999389648401</c:v>
                </c:pt>
                <c:pt idx="101">
                  <c:v>247.30000305175801</c:v>
                </c:pt>
                <c:pt idx="102">
                  <c:v>247.80000305175801</c:v>
                </c:pt>
                <c:pt idx="103">
                  <c:v>250.39999389648401</c:v>
                </c:pt>
                <c:pt idx="104">
                  <c:v>260.10000610351602</c:v>
                </c:pt>
                <c:pt idx="105">
                  <c:v>265.20001220703102</c:v>
                </c:pt>
                <c:pt idx="106">
                  <c:v>277.10000610351602</c:v>
                </c:pt>
                <c:pt idx="107">
                  <c:v>282.5</c:v>
                </c:pt>
                <c:pt idx="108">
                  <c:v>282.60000610351602</c:v>
                </c:pt>
                <c:pt idx="109">
                  <c:v>287.20001220703102</c:v>
                </c:pt>
                <c:pt idx="110">
                  <c:v>298.20001220703102</c:v>
                </c:pt>
                <c:pt idx="111">
                  <c:v>300.60000610351602</c:v>
                </c:pt>
                <c:pt idx="112">
                  <c:v>301</c:v>
                </c:pt>
                <c:pt idx="113">
                  <c:v>314.60000610351602</c:v>
                </c:pt>
                <c:pt idx="114">
                  <c:v>317.20001220703102</c:v>
                </c:pt>
                <c:pt idx="115">
                  <c:v>318.79998779296898</c:v>
                </c:pt>
                <c:pt idx="116">
                  <c:v>320.5</c:v>
                </c:pt>
                <c:pt idx="117">
                  <c:v>320.39999389648398</c:v>
                </c:pt>
                <c:pt idx="118">
                  <c:v>323.79998779296898</c:v>
                </c:pt>
                <c:pt idx="119">
                  <c:v>327.39999389648398</c:v>
                </c:pt>
                <c:pt idx="120">
                  <c:v>331</c:v>
                </c:pt>
                <c:pt idx="121">
                  <c:v>332.79998779296898</c:v>
                </c:pt>
                <c:pt idx="122">
                  <c:v>334.89999389648398</c:v>
                </c:pt>
                <c:pt idx="123">
                  <c:v>336.79998779296898</c:v>
                </c:pt>
                <c:pt idx="124">
                  <c:v>339.79998779296898</c:v>
                </c:pt>
                <c:pt idx="125">
                  <c:v>340</c:v>
                </c:pt>
                <c:pt idx="126">
                  <c:v>343.20001220703102</c:v>
                </c:pt>
                <c:pt idx="127">
                  <c:v>343.29998779296898</c:v>
                </c:pt>
                <c:pt idx="128">
                  <c:v>345.70001220703102</c:v>
                </c:pt>
                <c:pt idx="129">
                  <c:v>346.60000610351602</c:v>
                </c:pt>
                <c:pt idx="130">
                  <c:v>352.39999389648398</c:v>
                </c:pt>
                <c:pt idx="131">
                  <c:v>356.20001220703102</c:v>
                </c:pt>
                <c:pt idx="132">
                  <c:v>359.10000610351602</c:v>
                </c:pt>
                <c:pt idx="133">
                  <c:v>362.5</c:v>
                </c:pt>
                <c:pt idx="134">
                  <c:v>371.79998779296898</c:v>
                </c:pt>
                <c:pt idx="135">
                  <c:v>374.10000610351602</c:v>
                </c:pt>
                <c:pt idx="136">
                  <c:v>376</c:v>
                </c:pt>
                <c:pt idx="137">
                  <c:v>377.70001220703102</c:v>
                </c:pt>
                <c:pt idx="138">
                  <c:v>378.10000610351602</c:v>
                </c:pt>
                <c:pt idx="139">
                  <c:v>379</c:v>
                </c:pt>
                <c:pt idx="140">
                  <c:v>379.20001220703102</c:v>
                </c:pt>
                <c:pt idx="141">
                  <c:v>377</c:v>
                </c:pt>
                <c:pt idx="142">
                  <c:v>376.29998779296898</c:v>
                </c:pt>
                <c:pt idx="143">
                  <c:v>376.39999389648398</c:v>
                </c:pt>
                <c:pt idx="144">
                  <c:v>376.39999389648398</c:v>
                </c:pt>
                <c:pt idx="145">
                  <c:v>379.39999389648398</c:v>
                </c:pt>
                <c:pt idx="146">
                  <c:v>379.79998779296898</c:v>
                </c:pt>
                <c:pt idx="147">
                  <c:v>380.60000610351602</c:v>
                </c:pt>
                <c:pt idx="148">
                  <c:v>380.5</c:v>
                </c:pt>
                <c:pt idx="149">
                  <c:v>382.79998779296898</c:v>
                </c:pt>
                <c:pt idx="150">
                  <c:v>384.60000610351602</c:v>
                </c:pt>
                <c:pt idx="151">
                  <c:v>386.5</c:v>
                </c:pt>
                <c:pt idx="152">
                  <c:v>387.79998779296898</c:v>
                </c:pt>
                <c:pt idx="153">
                  <c:v>389.70001220703102</c:v>
                </c:pt>
                <c:pt idx="154">
                  <c:v>391</c:v>
                </c:pt>
                <c:pt idx="155">
                  <c:v>392.39999389648398</c:v>
                </c:pt>
                <c:pt idx="156">
                  <c:v>392.60000610351602</c:v>
                </c:pt>
                <c:pt idx="157">
                  <c:v>396.5</c:v>
                </c:pt>
                <c:pt idx="158">
                  <c:v>400</c:v>
                </c:pt>
                <c:pt idx="159">
                  <c:v>400</c:v>
                </c:pt>
                <c:pt idx="160">
                  <c:v>403</c:v>
                </c:pt>
                <c:pt idx="161">
                  <c:v>405.79998779296898</c:v>
                </c:pt>
                <c:pt idx="162">
                  <c:v>407.29998779296898</c:v>
                </c:pt>
                <c:pt idx="163">
                  <c:v>408.60000610351602</c:v>
                </c:pt>
                <c:pt idx="164">
                  <c:v>412.5</c:v>
                </c:pt>
                <c:pt idx="165">
                  <c:v>414.20001220703102</c:v>
                </c:pt>
                <c:pt idx="166">
                  <c:v>415.5</c:v>
                </c:pt>
                <c:pt idx="167">
                  <c:v>419.20001220703102</c:v>
                </c:pt>
                <c:pt idx="168">
                  <c:v>423.29998779296898</c:v>
                </c:pt>
                <c:pt idx="169">
                  <c:v>427.89999389648398</c:v>
                </c:pt>
                <c:pt idx="170">
                  <c:v>434.29998779296898</c:v>
                </c:pt>
                <c:pt idx="171">
                  <c:v>436.29998779296898</c:v>
                </c:pt>
                <c:pt idx="172">
                  <c:v>438.20001220703102</c:v>
                </c:pt>
                <c:pt idx="173">
                  <c:v>440.70001220703102</c:v>
                </c:pt>
                <c:pt idx="174">
                  <c:v>450.70001220703102</c:v>
                </c:pt>
                <c:pt idx="175">
                  <c:v>453.5</c:v>
                </c:pt>
                <c:pt idx="176">
                  <c:v>457.39999389648398</c:v>
                </c:pt>
                <c:pt idx="177">
                  <c:v>462.10000610351602</c:v>
                </c:pt>
                <c:pt idx="178">
                  <c:v>465.5</c:v>
                </c:pt>
                <c:pt idx="179">
                  <c:v>473.39999389648398</c:v>
                </c:pt>
                <c:pt idx="180">
                  <c:v>474.60000610351602</c:v>
                </c:pt>
                <c:pt idx="181">
                  <c:v>475.10000610351602</c:v>
                </c:pt>
                <c:pt idx="182">
                  <c:v>475.79998779296898</c:v>
                </c:pt>
                <c:pt idx="183">
                  <c:v>476.89999389648398</c:v>
                </c:pt>
                <c:pt idx="184">
                  <c:v>479.60000610351602</c:v>
                </c:pt>
                <c:pt idx="185">
                  <c:v>480.39999389648398</c:v>
                </c:pt>
                <c:pt idx="186">
                  <c:v>481.5</c:v>
                </c:pt>
                <c:pt idx="187">
                  <c:v>486.89999389648398</c:v>
                </c:pt>
                <c:pt idx="188">
                  <c:v>487.79998779296898</c:v>
                </c:pt>
                <c:pt idx="189">
                  <c:v>489.60000610351602</c:v>
                </c:pt>
                <c:pt idx="190">
                  <c:v>490.29998779296898</c:v>
                </c:pt>
                <c:pt idx="191">
                  <c:v>490.10000610351602</c:v>
                </c:pt>
                <c:pt idx="192">
                  <c:v>490.60000610351602</c:v>
                </c:pt>
                <c:pt idx="193">
                  <c:v>490.20001220703102</c:v>
                </c:pt>
                <c:pt idx="194">
                  <c:v>490.20001220703102</c:v>
                </c:pt>
              </c:numCache>
            </c:numRef>
          </c:xVal>
          <c:yVal>
            <c:numRef>
              <c:f>'2'!$R$34:$R$228</c:f>
              <c:numCache>
                <c:formatCode>General</c:formatCode>
                <c:ptCount val="195"/>
                <c:pt idx="0">
                  <c:v>-0.24886000156402599</c:v>
                </c:pt>
                <c:pt idx="1">
                  <c:v>-0.24886000156402599</c:v>
                </c:pt>
                <c:pt idx="2">
                  <c:v>-0.24884000420570401</c:v>
                </c:pt>
                <c:pt idx="3">
                  <c:v>-0.248830005526543</c:v>
                </c:pt>
                <c:pt idx="4">
                  <c:v>-0.248779997229576</c:v>
                </c:pt>
                <c:pt idx="5">
                  <c:v>-0.248779997229576</c:v>
                </c:pt>
                <c:pt idx="6">
                  <c:v>-0.24876999855041501</c:v>
                </c:pt>
                <c:pt idx="7">
                  <c:v>-0.248759999871254</c:v>
                </c:pt>
                <c:pt idx="8">
                  <c:v>-0.248759999871254</c:v>
                </c:pt>
                <c:pt idx="9">
                  <c:v>-0.248759999871254</c:v>
                </c:pt>
                <c:pt idx="10">
                  <c:v>-0.248759999871254</c:v>
                </c:pt>
                <c:pt idx="11">
                  <c:v>-0.248759999871254</c:v>
                </c:pt>
                <c:pt idx="12">
                  <c:v>-0.24875000119209301</c:v>
                </c:pt>
                <c:pt idx="13">
                  <c:v>-0.24875000119209301</c:v>
                </c:pt>
                <c:pt idx="14">
                  <c:v>-0.24874000251293199</c:v>
                </c:pt>
                <c:pt idx="15">
                  <c:v>-0.24874000251293199</c:v>
                </c:pt>
                <c:pt idx="16">
                  <c:v>-0.24874000251293199</c:v>
                </c:pt>
                <c:pt idx="17">
                  <c:v>-0.24874000251293199</c:v>
                </c:pt>
                <c:pt idx="18">
                  <c:v>-0.24874000251293199</c:v>
                </c:pt>
                <c:pt idx="19">
                  <c:v>-0.248730003833771</c:v>
                </c:pt>
                <c:pt idx="20">
                  <c:v>-0.248730003833771</c:v>
                </c:pt>
                <c:pt idx="21">
                  <c:v>-0.24872000515461001</c:v>
                </c:pt>
                <c:pt idx="22">
                  <c:v>-0.248710006475449</c:v>
                </c:pt>
                <c:pt idx="23">
                  <c:v>-0.24869999289512601</c:v>
                </c:pt>
                <c:pt idx="24">
                  <c:v>-0.24868999421596499</c:v>
                </c:pt>
                <c:pt idx="25">
                  <c:v>-0.248679995536804</c:v>
                </c:pt>
                <c:pt idx="26">
                  <c:v>-0.24866999685764299</c:v>
                </c:pt>
                <c:pt idx="27">
                  <c:v>-0.248659998178482</c:v>
                </c:pt>
                <c:pt idx="28">
                  <c:v>-0.24864999949932101</c:v>
                </c:pt>
                <c:pt idx="29">
                  <c:v>-0.24864999949932101</c:v>
                </c:pt>
                <c:pt idx="30">
                  <c:v>-0.24864999949932101</c:v>
                </c:pt>
                <c:pt idx="31">
                  <c:v>-0.24864999949932101</c:v>
                </c:pt>
                <c:pt idx="32">
                  <c:v>-0.24864000082016</c:v>
                </c:pt>
                <c:pt idx="33">
                  <c:v>-0.24864000082016</c:v>
                </c:pt>
                <c:pt idx="34">
                  <c:v>-0.24863000214099901</c:v>
                </c:pt>
                <c:pt idx="35">
                  <c:v>-0.24862000346183799</c:v>
                </c:pt>
                <c:pt idx="36">
                  <c:v>-0.248610004782677</c:v>
                </c:pt>
                <c:pt idx="37">
                  <c:v>-0.24860000610351601</c:v>
                </c:pt>
                <c:pt idx="38">
                  <c:v>-0.248590007424355</c:v>
                </c:pt>
                <c:pt idx="39">
                  <c:v>-0.24857999384403201</c:v>
                </c:pt>
                <c:pt idx="40">
                  <c:v>-0.24856999516487099</c:v>
                </c:pt>
                <c:pt idx="41">
                  <c:v>-0.24854999780654899</c:v>
                </c:pt>
                <c:pt idx="42">
                  <c:v>-0.24850000441074399</c:v>
                </c:pt>
                <c:pt idx="43">
                  <c:v>-0.24848000705242201</c:v>
                </c:pt>
                <c:pt idx="44">
                  <c:v>-0.24845999479293801</c:v>
                </c:pt>
                <c:pt idx="45">
                  <c:v>-0.24844999611377699</c:v>
                </c:pt>
                <c:pt idx="46">
                  <c:v>-0.24842999875545499</c:v>
                </c:pt>
                <c:pt idx="47">
                  <c:v>-0.248400002717972</c:v>
                </c:pt>
                <c:pt idx="48">
                  <c:v>-0.24839000403881101</c:v>
                </c:pt>
                <c:pt idx="49">
                  <c:v>-0.24838000535964999</c:v>
                </c:pt>
                <c:pt idx="50">
                  <c:v>-0.248349994421005</c:v>
                </c:pt>
                <c:pt idx="51">
                  <c:v>-0.24830999970436099</c:v>
                </c:pt>
                <c:pt idx="52">
                  <c:v>-0.24819999933242801</c:v>
                </c:pt>
                <c:pt idx="53">
                  <c:v>-0.24817000329494501</c:v>
                </c:pt>
                <c:pt idx="54">
                  <c:v>-0.24811999499797799</c:v>
                </c:pt>
                <c:pt idx="55">
                  <c:v>-0.24808000028133401</c:v>
                </c:pt>
                <c:pt idx="56">
                  <c:v>-0.24804000556469</c:v>
                </c:pt>
                <c:pt idx="57">
                  <c:v>-0.24800999462604501</c:v>
                </c:pt>
                <c:pt idx="58">
                  <c:v>-0.24797999858856201</c:v>
                </c:pt>
                <c:pt idx="59">
                  <c:v>-0.24796000123024001</c:v>
                </c:pt>
                <c:pt idx="60">
                  <c:v>-0.24793000519275701</c:v>
                </c:pt>
                <c:pt idx="61">
                  <c:v>-0.24790999293327301</c:v>
                </c:pt>
                <c:pt idx="62">
                  <c:v>-0.24788999557495101</c:v>
                </c:pt>
                <c:pt idx="63">
                  <c:v>-0.24775999784469599</c:v>
                </c:pt>
                <c:pt idx="64">
                  <c:v>-0.24772000312805201</c:v>
                </c:pt>
                <c:pt idx="65">
                  <c:v>-0.24769000709056899</c:v>
                </c:pt>
                <c:pt idx="66">
                  <c:v>-0.24763999879360199</c:v>
                </c:pt>
                <c:pt idx="67">
                  <c:v>-0.24747000634670299</c:v>
                </c:pt>
                <c:pt idx="68">
                  <c:v>-0.247439995408058</c:v>
                </c:pt>
                <c:pt idx="69">
                  <c:v>-0.247419998049736</c:v>
                </c:pt>
                <c:pt idx="70">
                  <c:v>-0.24738000333309201</c:v>
                </c:pt>
                <c:pt idx="71">
                  <c:v>-0.247319996356964</c:v>
                </c:pt>
                <c:pt idx="72">
                  <c:v>-0.24721999466419201</c:v>
                </c:pt>
                <c:pt idx="73">
                  <c:v>-0.247130006551743</c:v>
                </c:pt>
                <c:pt idx="74">
                  <c:v>-0.247060000896454</c:v>
                </c:pt>
                <c:pt idx="75">
                  <c:v>-0.24702000617980999</c:v>
                </c:pt>
                <c:pt idx="76">
                  <c:v>-0.247009992599487</c:v>
                </c:pt>
                <c:pt idx="77">
                  <c:v>-0.247009992599487</c:v>
                </c:pt>
                <c:pt idx="78">
                  <c:v>-0.24686999619007099</c:v>
                </c:pt>
                <c:pt idx="79">
                  <c:v>-0.24683000147342701</c:v>
                </c:pt>
                <c:pt idx="80">
                  <c:v>-0.24680000543594399</c:v>
                </c:pt>
                <c:pt idx="81">
                  <c:v>-0.246749997138977</c:v>
                </c:pt>
                <c:pt idx="82">
                  <c:v>-0.246720001101494</c:v>
                </c:pt>
                <c:pt idx="83">
                  <c:v>-0.24668000638484999</c:v>
                </c:pt>
                <c:pt idx="84">
                  <c:v>-0.246649995446205</c:v>
                </c:pt>
                <c:pt idx="85">
                  <c:v>-0.24641999602317799</c:v>
                </c:pt>
                <c:pt idx="86">
                  <c:v>-0.24635000526905099</c:v>
                </c:pt>
                <c:pt idx="87">
                  <c:v>-0.24605999886989599</c:v>
                </c:pt>
                <c:pt idx="88">
                  <c:v>-0.245790004730225</c:v>
                </c:pt>
                <c:pt idx="89">
                  <c:v>-0.24556000530719799</c:v>
                </c:pt>
                <c:pt idx="90">
                  <c:v>-0.24532000720500899</c:v>
                </c:pt>
                <c:pt idx="91">
                  <c:v>-0.24505999684333801</c:v>
                </c:pt>
                <c:pt idx="92">
                  <c:v>-0.24503000080585499</c:v>
                </c:pt>
                <c:pt idx="93">
                  <c:v>-0.24460999667644501</c:v>
                </c:pt>
                <c:pt idx="94">
                  <c:v>-0.244589999318123</c:v>
                </c:pt>
                <c:pt idx="95">
                  <c:v>-0.24434000253677399</c:v>
                </c:pt>
                <c:pt idx="96">
                  <c:v>-0.244279995560646</c:v>
                </c:pt>
                <c:pt idx="97">
                  <c:v>-0.244230002164841</c:v>
                </c:pt>
                <c:pt idx="98">
                  <c:v>-0.24414999783039101</c:v>
                </c:pt>
                <c:pt idx="99">
                  <c:v>-0.24390999972820299</c:v>
                </c:pt>
                <c:pt idx="100">
                  <c:v>-0.24369999766349801</c:v>
                </c:pt>
                <c:pt idx="101">
                  <c:v>-0.24365000426769301</c:v>
                </c:pt>
                <c:pt idx="102">
                  <c:v>-0.243589997291565</c:v>
                </c:pt>
                <c:pt idx="103">
                  <c:v>-0.24307000637054399</c:v>
                </c:pt>
                <c:pt idx="104">
                  <c:v>-0.242149993777275</c:v>
                </c:pt>
                <c:pt idx="105">
                  <c:v>-0.24161000549793199</c:v>
                </c:pt>
                <c:pt idx="106">
                  <c:v>-0.23973000049591101</c:v>
                </c:pt>
                <c:pt idx="107">
                  <c:v>-0.23867000639438599</c:v>
                </c:pt>
                <c:pt idx="108">
                  <c:v>-0.238659992814064</c:v>
                </c:pt>
                <c:pt idx="109">
                  <c:v>-0.23739999532699599</c:v>
                </c:pt>
                <c:pt idx="110">
                  <c:v>-0.23524999618530301</c:v>
                </c:pt>
                <c:pt idx="111">
                  <c:v>-0.23454999923706099</c:v>
                </c:pt>
                <c:pt idx="112">
                  <c:v>-0.23454999923706099</c:v>
                </c:pt>
                <c:pt idx="113">
                  <c:v>-0.22999000549316401</c:v>
                </c:pt>
                <c:pt idx="114">
                  <c:v>-0.22947999835014299</c:v>
                </c:pt>
                <c:pt idx="115">
                  <c:v>-0.22882999479770699</c:v>
                </c:pt>
                <c:pt idx="116">
                  <c:v>-0.22819000482559201</c:v>
                </c:pt>
                <c:pt idx="117">
                  <c:v>-0.22819000482559201</c:v>
                </c:pt>
                <c:pt idx="118">
                  <c:v>-0.226689994335175</c:v>
                </c:pt>
                <c:pt idx="119">
                  <c:v>-0.22520999610424</c:v>
                </c:pt>
                <c:pt idx="120">
                  <c:v>-0.22330999374389601</c:v>
                </c:pt>
                <c:pt idx="121">
                  <c:v>-0.22274999320507</c:v>
                </c:pt>
                <c:pt idx="122">
                  <c:v>-0.22190000116825101</c:v>
                </c:pt>
                <c:pt idx="123">
                  <c:v>-0.221070006489754</c:v>
                </c:pt>
                <c:pt idx="124">
                  <c:v>-0.219400003552437</c:v>
                </c:pt>
                <c:pt idx="125">
                  <c:v>-0.21938000619411499</c:v>
                </c:pt>
                <c:pt idx="126">
                  <c:v>-0.217789992690086</c:v>
                </c:pt>
                <c:pt idx="127">
                  <c:v>-0.21773000061511999</c:v>
                </c:pt>
                <c:pt idx="128">
                  <c:v>-0.216380000114441</c:v>
                </c:pt>
                <c:pt idx="129">
                  <c:v>-0.21584999561309801</c:v>
                </c:pt>
                <c:pt idx="130">
                  <c:v>-0.21186999976634999</c:v>
                </c:pt>
                <c:pt idx="131">
                  <c:v>-0.209659993648529</c:v>
                </c:pt>
                <c:pt idx="132">
                  <c:v>-0.20784999430179599</c:v>
                </c:pt>
                <c:pt idx="133">
                  <c:v>-0.20502999424934401</c:v>
                </c:pt>
                <c:pt idx="134">
                  <c:v>-0.19688999652862499</c:v>
                </c:pt>
                <c:pt idx="135">
                  <c:v>-0.19463999569415999</c:v>
                </c:pt>
                <c:pt idx="136">
                  <c:v>-0.19344000518321999</c:v>
                </c:pt>
                <c:pt idx="137">
                  <c:v>-0.19145999848842599</c:v>
                </c:pt>
                <c:pt idx="138">
                  <c:v>-0.19098000228404999</c:v>
                </c:pt>
                <c:pt idx="139">
                  <c:v>-0.18995000422000899</c:v>
                </c:pt>
                <c:pt idx="140">
                  <c:v>-0.18993000686168701</c:v>
                </c:pt>
                <c:pt idx="141">
                  <c:v>-0.191520005464554</c:v>
                </c:pt>
                <c:pt idx="142">
                  <c:v>-0.192839995026588</c:v>
                </c:pt>
                <c:pt idx="143">
                  <c:v>-0.192860007286072</c:v>
                </c:pt>
                <c:pt idx="144">
                  <c:v>-0.192880004644394</c:v>
                </c:pt>
                <c:pt idx="145">
                  <c:v>-0.18984000384807601</c:v>
                </c:pt>
                <c:pt idx="146">
                  <c:v>-0.18919000029563901</c:v>
                </c:pt>
                <c:pt idx="147">
                  <c:v>-0.18859000504016901</c:v>
                </c:pt>
                <c:pt idx="148">
                  <c:v>-0.188529998064041</c:v>
                </c:pt>
                <c:pt idx="149">
                  <c:v>-0.18573999404907199</c:v>
                </c:pt>
                <c:pt idx="150">
                  <c:v>-0.183699995279312</c:v>
                </c:pt>
                <c:pt idx="151">
                  <c:v>-0.18192000687122301</c:v>
                </c:pt>
                <c:pt idx="152">
                  <c:v>-0.18035000562667799</c:v>
                </c:pt>
                <c:pt idx="153">
                  <c:v>-0.17801000177860299</c:v>
                </c:pt>
                <c:pt idx="154">
                  <c:v>-0.17617000639438599</c:v>
                </c:pt>
                <c:pt idx="155">
                  <c:v>-0.17493000626564001</c:v>
                </c:pt>
                <c:pt idx="156">
                  <c:v>-0.174290001392365</c:v>
                </c:pt>
                <c:pt idx="157">
                  <c:v>-0.17073999345302601</c:v>
                </c:pt>
                <c:pt idx="158">
                  <c:v>-0.16547000408172599</c:v>
                </c:pt>
                <c:pt idx="159">
                  <c:v>-0.165099993348122</c:v>
                </c:pt>
                <c:pt idx="160">
                  <c:v>-0.15982000529766099</c:v>
                </c:pt>
                <c:pt idx="161">
                  <c:v>-0.15736000239849099</c:v>
                </c:pt>
                <c:pt idx="162">
                  <c:v>-0.15523999929428101</c:v>
                </c:pt>
                <c:pt idx="163">
                  <c:v>-0.15312999486923201</c:v>
                </c:pt>
                <c:pt idx="164">
                  <c:v>-0.14544999599456801</c:v>
                </c:pt>
                <c:pt idx="165">
                  <c:v>-0.14427000284194899</c:v>
                </c:pt>
                <c:pt idx="166">
                  <c:v>-0.14188000559806799</c:v>
                </c:pt>
                <c:pt idx="167">
                  <c:v>-0.13594999909400901</c:v>
                </c:pt>
                <c:pt idx="168">
                  <c:v>-0.128849998116493</c:v>
                </c:pt>
                <c:pt idx="169">
                  <c:v>-0.11986000090837499</c:v>
                </c:pt>
                <c:pt idx="170">
                  <c:v>-0.105669997632504</c:v>
                </c:pt>
                <c:pt idx="171">
                  <c:v>-0.101590000092983</c:v>
                </c:pt>
                <c:pt idx="172">
                  <c:v>-9.7630001604556996E-2</c:v>
                </c:pt>
                <c:pt idx="173">
                  <c:v>-9.1719999909400898E-2</c:v>
                </c:pt>
                <c:pt idx="174">
                  <c:v>-6.7319996654987294E-2</c:v>
                </c:pt>
                <c:pt idx="175">
                  <c:v>-5.9300001710653298E-2</c:v>
                </c:pt>
                <c:pt idx="176">
                  <c:v>-4.8569999635219602E-2</c:v>
                </c:pt>
                <c:pt idx="177">
                  <c:v>-3.4979999065399198E-2</c:v>
                </c:pt>
                <c:pt idx="178">
                  <c:v>-2.68300008028746E-2</c:v>
                </c:pt>
                <c:pt idx="179">
                  <c:v>-1.0999999940395401E-3</c:v>
                </c:pt>
                <c:pt idx="180">
                  <c:v>9.2999998014420303E-4</c:v>
                </c:pt>
                <c:pt idx="181">
                  <c:v>2.2599999792873898E-3</c:v>
                </c:pt>
                <c:pt idx="182">
                  <c:v>4.67999977990985E-3</c:v>
                </c:pt>
                <c:pt idx="183">
                  <c:v>9.1599998995661701E-3</c:v>
                </c:pt>
                <c:pt idx="184">
                  <c:v>1.7920000478625301E-2</c:v>
                </c:pt>
                <c:pt idx="185">
                  <c:v>1.94000005722046E-2</c:v>
                </c:pt>
                <c:pt idx="186">
                  <c:v>2.3259999230504001E-2</c:v>
                </c:pt>
                <c:pt idx="187">
                  <c:v>4.1669998317956897E-2</c:v>
                </c:pt>
                <c:pt idx="188">
                  <c:v>4.6149998903274501E-2</c:v>
                </c:pt>
                <c:pt idx="189">
                  <c:v>4.9729999154806102E-2</c:v>
                </c:pt>
                <c:pt idx="190">
                  <c:v>5.3890001028776197E-2</c:v>
                </c:pt>
                <c:pt idx="191">
                  <c:v>5.2949998527765302E-2</c:v>
                </c:pt>
                <c:pt idx="192">
                  <c:v>5.5819999426603303E-2</c:v>
                </c:pt>
                <c:pt idx="193">
                  <c:v>5.3419999778270701E-2</c:v>
                </c:pt>
                <c:pt idx="194">
                  <c:v>5.3169999271631199E-2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8B2-4B73-892A-D428728E043A}"/>
            </c:ext>
          </c:extLst>
        </c:ser>
        <c:ser>
          <c:idx val="4"/>
          <c:order val="4"/>
          <c:tx>
            <c:v>Pomiar 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'2'!$V$34:$V$273</c:f>
                <c:numCache>
                  <c:formatCode>General</c:formatCode>
                  <c:ptCount val="240"/>
                  <c:pt idx="0">
                    <c:v>-8.3500000000000005E-2</c:v>
                  </c:pt>
                  <c:pt idx="1">
                    <c:v>-8.3500000000000005E-2</c:v>
                  </c:pt>
                  <c:pt idx="2">
                    <c:v>-8.3400000000000002E-2</c:v>
                  </c:pt>
                  <c:pt idx="3">
                    <c:v>-8.1900000000000001E-2</c:v>
                  </c:pt>
                  <c:pt idx="4">
                    <c:v>-7.9200000000000007E-2</c:v>
                  </c:pt>
                  <c:pt idx="5">
                    <c:v>-7.7899999999999997E-2</c:v>
                  </c:pt>
                  <c:pt idx="6">
                    <c:v>-7.7399999999999997E-2</c:v>
                  </c:pt>
                  <c:pt idx="7">
                    <c:v>-7.640000000000001E-2</c:v>
                  </c:pt>
                  <c:pt idx="8">
                    <c:v>-7.6100000000000001E-2</c:v>
                  </c:pt>
                  <c:pt idx="9">
                    <c:v>-7.4900000000000008E-2</c:v>
                  </c:pt>
                  <c:pt idx="10">
                    <c:v>-7.3999999999999996E-2</c:v>
                  </c:pt>
                  <c:pt idx="11">
                    <c:v>-7.2099999999999997E-2</c:v>
                  </c:pt>
                  <c:pt idx="12">
                    <c:v>-7.1199999999999999E-2</c:v>
                  </c:pt>
                  <c:pt idx="13">
                    <c:v>-6.8400000000000002E-2</c:v>
                  </c:pt>
                  <c:pt idx="14">
                    <c:v>-6.5799999999999997E-2</c:v>
                  </c:pt>
                  <c:pt idx="15">
                    <c:v>-6.4299999999999996E-2</c:v>
                  </c:pt>
                  <c:pt idx="16">
                    <c:v>-6.25E-2</c:v>
                  </c:pt>
                  <c:pt idx="17">
                    <c:v>-6.2E-2</c:v>
                  </c:pt>
                  <c:pt idx="18">
                    <c:v>-5.96E-2</c:v>
                  </c:pt>
                  <c:pt idx="19">
                    <c:v>-5.9300000000000005E-2</c:v>
                  </c:pt>
                  <c:pt idx="20">
                    <c:v>-5.8300000000000005E-2</c:v>
                  </c:pt>
                  <c:pt idx="21">
                    <c:v>-5.7500000000000002E-2</c:v>
                  </c:pt>
                  <c:pt idx="22">
                    <c:v>-5.6800000000000003E-2</c:v>
                  </c:pt>
                  <c:pt idx="23">
                    <c:v>-5.5E-2</c:v>
                  </c:pt>
                  <c:pt idx="24">
                    <c:v>-5.2700000000000004E-2</c:v>
                  </c:pt>
                  <c:pt idx="25">
                    <c:v>-5.11E-2</c:v>
                  </c:pt>
                  <c:pt idx="26">
                    <c:v>-4.9600000000000005E-2</c:v>
                  </c:pt>
                  <c:pt idx="27">
                    <c:v>-4.8100000000000004E-2</c:v>
                  </c:pt>
                  <c:pt idx="28">
                    <c:v>-4.5600000000000002E-2</c:v>
                  </c:pt>
                  <c:pt idx="29">
                    <c:v>-4.5600000000000002E-2</c:v>
                  </c:pt>
                  <c:pt idx="30">
                    <c:v>-4.36E-2</c:v>
                  </c:pt>
                  <c:pt idx="31">
                    <c:v>-4.0800000000000003E-2</c:v>
                  </c:pt>
                  <c:pt idx="32">
                    <c:v>-0.04</c:v>
                  </c:pt>
                  <c:pt idx="33">
                    <c:v>-3.8400000000000004E-2</c:v>
                  </c:pt>
                  <c:pt idx="34">
                    <c:v>-3.5900000000000001E-2</c:v>
                  </c:pt>
                  <c:pt idx="35">
                    <c:v>-3.5800000000000005E-2</c:v>
                  </c:pt>
                  <c:pt idx="36">
                    <c:v>-3.4200000000000001E-2</c:v>
                  </c:pt>
                  <c:pt idx="37">
                    <c:v>-3.2800000000000003E-2</c:v>
                  </c:pt>
                  <c:pt idx="38">
                    <c:v>-3.1600000000000003E-2</c:v>
                  </c:pt>
                  <c:pt idx="39">
                    <c:v>-3.0099999999999998E-2</c:v>
                  </c:pt>
                  <c:pt idx="40">
                    <c:v>-2.46E-2</c:v>
                  </c:pt>
                  <c:pt idx="41">
                    <c:v>-2.18E-2</c:v>
                  </c:pt>
                  <c:pt idx="42">
                    <c:v>-1.9400000000000001E-2</c:v>
                  </c:pt>
                  <c:pt idx="43">
                    <c:v>-1.8699999999999998E-2</c:v>
                  </c:pt>
                  <c:pt idx="44">
                    <c:v>-1.6299999999999999E-2</c:v>
                  </c:pt>
                  <c:pt idx="45">
                    <c:v>-1.21E-2</c:v>
                  </c:pt>
                  <c:pt idx="46">
                    <c:v>-1.0699999999999999E-2</c:v>
                  </c:pt>
                  <c:pt idx="47">
                    <c:v>-1.0699999999999999E-2</c:v>
                  </c:pt>
                  <c:pt idx="48">
                    <c:v>-9.2999999999999992E-3</c:v>
                  </c:pt>
                  <c:pt idx="49">
                    <c:v>-2.1999999999999997E-3</c:v>
                  </c:pt>
                  <c:pt idx="50">
                    <c:v>-2.0000000000000001E-4</c:v>
                  </c:pt>
                  <c:pt idx="51">
                    <c:v>3.0999999999999999E-3</c:v>
                  </c:pt>
                  <c:pt idx="52">
                    <c:v>4.8999999999999998E-3</c:v>
                  </c:pt>
                  <c:pt idx="53">
                    <c:v>9.5999999999999992E-3</c:v>
                  </c:pt>
                  <c:pt idx="54">
                    <c:v>1.32E-2</c:v>
                  </c:pt>
                  <c:pt idx="55">
                    <c:v>1.43E-2</c:v>
                  </c:pt>
                  <c:pt idx="56">
                    <c:v>1.6199999999999999E-2</c:v>
                  </c:pt>
                  <c:pt idx="57">
                    <c:v>1.7399999999999999E-2</c:v>
                  </c:pt>
                  <c:pt idx="58">
                    <c:v>1.89E-2</c:v>
                  </c:pt>
                  <c:pt idx="59">
                    <c:v>2.1299999999999999E-2</c:v>
                  </c:pt>
                  <c:pt idx="60">
                    <c:v>2.46E-2</c:v>
                  </c:pt>
                  <c:pt idx="61">
                    <c:v>2.8299999999999999E-2</c:v>
                  </c:pt>
                  <c:pt idx="62">
                    <c:v>3.6400000000000002E-2</c:v>
                  </c:pt>
                  <c:pt idx="63">
                    <c:v>5.04E-2</c:v>
                  </c:pt>
                  <c:pt idx="64">
                    <c:v>5.1000000000000004E-2</c:v>
                  </c:pt>
                  <c:pt idx="65">
                    <c:v>5.2400000000000002E-2</c:v>
                  </c:pt>
                  <c:pt idx="66">
                    <c:v>5.2400000000000002E-2</c:v>
                  </c:pt>
                  <c:pt idx="67">
                    <c:v>5.5100000000000003E-2</c:v>
                  </c:pt>
                  <c:pt idx="68">
                    <c:v>5.5200000000000006E-2</c:v>
                  </c:pt>
                  <c:pt idx="69">
                    <c:v>5.7200000000000001E-2</c:v>
                  </c:pt>
                  <c:pt idx="70">
                    <c:v>6.0100000000000001E-2</c:v>
                  </c:pt>
                  <c:pt idx="71">
                    <c:v>6.2800000000000009E-2</c:v>
                  </c:pt>
                  <c:pt idx="72">
                    <c:v>6.4899999999999999E-2</c:v>
                  </c:pt>
                  <c:pt idx="73">
                    <c:v>6.6299999999999998E-2</c:v>
                  </c:pt>
                  <c:pt idx="74">
                    <c:v>6.7699999999999996E-2</c:v>
                  </c:pt>
                  <c:pt idx="75">
                    <c:v>6.9100000000000009E-2</c:v>
                  </c:pt>
                  <c:pt idx="76">
                    <c:v>7.0500000000000007E-2</c:v>
                  </c:pt>
                  <c:pt idx="77">
                    <c:v>7.7399999999999997E-2</c:v>
                  </c:pt>
                  <c:pt idx="78">
                    <c:v>7.8899999999999998E-2</c:v>
                  </c:pt>
                  <c:pt idx="79">
                    <c:v>8.09E-2</c:v>
                  </c:pt>
                  <c:pt idx="80">
                    <c:v>8.3000000000000004E-2</c:v>
                  </c:pt>
                  <c:pt idx="81">
                    <c:v>8.8000000000000009E-2</c:v>
                  </c:pt>
                  <c:pt idx="82">
                    <c:v>8.8599999999999998E-2</c:v>
                  </c:pt>
                  <c:pt idx="83">
                    <c:v>0.09</c:v>
                  </c:pt>
                  <c:pt idx="84">
                    <c:v>9.1400000000000009E-2</c:v>
                  </c:pt>
                  <c:pt idx="85">
                    <c:v>9.4500000000000001E-2</c:v>
                  </c:pt>
                  <c:pt idx="86">
                    <c:v>9.6600000000000005E-2</c:v>
                  </c:pt>
                  <c:pt idx="87">
                    <c:v>9.7100000000000006E-2</c:v>
                  </c:pt>
                  <c:pt idx="88">
                    <c:v>9.9600000000000008E-2</c:v>
                  </c:pt>
                  <c:pt idx="89">
                    <c:v>9.98E-2</c:v>
                  </c:pt>
                  <c:pt idx="90">
                    <c:v>0.10050000000000001</c:v>
                  </c:pt>
                  <c:pt idx="91">
                    <c:v>0.10390000000000001</c:v>
                  </c:pt>
                  <c:pt idx="92">
                    <c:v>0.10630000000000001</c:v>
                  </c:pt>
                  <c:pt idx="93">
                    <c:v>0.10970000000000001</c:v>
                  </c:pt>
                  <c:pt idx="94">
                    <c:v>0.11310000000000001</c:v>
                  </c:pt>
                  <c:pt idx="95">
                    <c:v>0.1139</c:v>
                  </c:pt>
                  <c:pt idx="96">
                    <c:v>0.11650000000000001</c:v>
                  </c:pt>
                  <c:pt idx="97">
                    <c:v>0.1192</c:v>
                  </c:pt>
                  <c:pt idx="98">
                    <c:v>0.1237</c:v>
                  </c:pt>
                  <c:pt idx="99">
                    <c:v>0.12470000000000001</c:v>
                  </c:pt>
                  <c:pt idx="100">
                    <c:v>0.12619999999999998</c:v>
                  </c:pt>
                  <c:pt idx="101">
                    <c:v>0.13049999999999998</c:v>
                  </c:pt>
                  <c:pt idx="102">
                    <c:v>0.13669999999999999</c:v>
                  </c:pt>
                  <c:pt idx="103">
                    <c:v>0.13879999999999998</c:v>
                  </c:pt>
                  <c:pt idx="104">
                    <c:v>0.13879999999999998</c:v>
                  </c:pt>
                  <c:pt idx="105">
                    <c:v>0.13929999999999998</c:v>
                  </c:pt>
                  <c:pt idx="106">
                    <c:v>0.14019999999999999</c:v>
                  </c:pt>
                  <c:pt idx="107">
                    <c:v>0.14159999999999998</c:v>
                  </c:pt>
                  <c:pt idx="108">
                    <c:v>0.14479999999999998</c:v>
                  </c:pt>
                  <c:pt idx="109">
                    <c:v>0.14889999999999998</c:v>
                  </c:pt>
                  <c:pt idx="110">
                    <c:v>0.1517</c:v>
                  </c:pt>
                  <c:pt idx="111">
                    <c:v>0.15439999999999998</c:v>
                  </c:pt>
                  <c:pt idx="112">
                    <c:v>0.15759999999999999</c:v>
                  </c:pt>
                  <c:pt idx="113">
                    <c:v>0.15839999999999999</c:v>
                  </c:pt>
                  <c:pt idx="114">
                    <c:v>0.1598</c:v>
                  </c:pt>
                  <c:pt idx="115">
                    <c:v>0.16119999999999998</c:v>
                  </c:pt>
                  <c:pt idx="116">
                    <c:v>0.16139999999999999</c:v>
                  </c:pt>
                  <c:pt idx="117">
                    <c:v>0.16259999999999999</c:v>
                  </c:pt>
                  <c:pt idx="118">
                    <c:v>0.16259999999999999</c:v>
                  </c:pt>
                  <c:pt idx="119">
                    <c:v>0.16679999999999998</c:v>
                  </c:pt>
                  <c:pt idx="120">
                    <c:v>0.16949999999999998</c:v>
                  </c:pt>
                  <c:pt idx="121">
                    <c:v>0.17019999999999999</c:v>
                  </c:pt>
                  <c:pt idx="122">
                    <c:v>0.17129999999999998</c:v>
                  </c:pt>
                  <c:pt idx="123">
                    <c:v>0.17229999999999998</c:v>
                  </c:pt>
                  <c:pt idx="124">
                    <c:v>0.17309999999999998</c:v>
                  </c:pt>
                  <c:pt idx="125">
                    <c:v>0.17399999999999999</c:v>
                  </c:pt>
                  <c:pt idx="126">
                    <c:v>0.17509999999999998</c:v>
                  </c:pt>
                  <c:pt idx="127">
                    <c:v>0.17649999999999999</c:v>
                  </c:pt>
                  <c:pt idx="128">
                    <c:v>0.17899999999999999</c:v>
                  </c:pt>
                  <c:pt idx="129">
                    <c:v>0.18059999999999998</c:v>
                  </c:pt>
                  <c:pt idx="130">
                    <c:v>0.18439999999999998</c:v>
                  </c:pt>
                  <c:pt idx="131">
                    <c:v>0.18479999999999999</c:v>
                  </c:pt>
                  <c:pt idx="132">
                    <c:v>0.18479999999999999</c:v>
                  </c:pt>
                  <c:pt idx="133">
                    <c:v>0.18479999999999999</c:v>
                  </c:pt>
                  <c:pt idx="134">
                    <c:v>0.18609999999999999</c:v>
                  </c:pt>
                  <c:pt idx="135">
                    <c:v>0.1875</c:v>
                  </c:pt>
                  <c:pt idx="136">
                    <c:v>0.19219999999999998</c:v>
                  </c:pt>
                  <c:pt idx="137">
                    <c:v>0.1961</c:v>
                  </c:pt>
                  <c:pt idx="138">
                    <c:v>0.19949999999999998</c:v>
                  </c:pt>
                  <c:pt idx="139">
                    <c:v>0.2009</c:v>
                  </c:pt>
                  <c:pt idx="140">
                    <c:v>0.20359999999999998</c:v>
                  </c:pt>
                  <c:pt idx="141">
                    <c:v>0.20499999999999999</c:v>
                  </c:pt>
                  <c:pt idx="142">
                    <c:v>0.20899999999999999</c:v>
                  </c:pt>
                  <c:pt idx="143">
                    <c:v>0.20949999999999999</c:v>
                  </c:pt>
                  <c:pt idx="144">
                    <c:v>0.21129999999999999</c:v>
                  </c:pt>
                  <c:pt idx="145">
                    <c:v>0.21289999999999998</c:v>
                  </c:pt>
                  <c:pt idx="146">
                    <c:v>0.2137</c:v>
                  </c:pt>
                  <c:pt idx="147">
                    <c:v>0.21509999999999999</c:v>
                  </c:pt>
                  <c:pt idx="148">
                    <c:v>0.21509999999999999</c:v>
                  </c:pt>
                  <c:pt idx="149">
                    <c:v>0.2165</c:v>
                  </c:pt>
                  <c:pt idx="150">
                    <c:v>0.21779999999999999</c:v>
                  </c:pt>
                  <c:pt idx="151">
                    <c:v>0.21879999999999999</c:v>
                  </c:pt>
                  <c:pt idx="152">
                    <c:v>0.21929999999999999</c:v>
                  </c:pt>
                  <c:pt idx="153">
                    <c:v>0.22289999999999999</c:v>
                  </c:pt>
                  <c:pt idx="154">
                    <c:v>0.22469999999999998</c:v>
                  </c:pt>
                  <c:pt idx="155">
                    <c:v>0.22599999999999998</c:v>
                  </c:pt>
                  <c:pt idx="156">
                    <c:v>0.22599999999999998</c:v>
                  </c:pt>
                  <c:pt idx="157">
                    <c:v>0.23419999999999999</c:v>
                  </c:pt>
                  <c:pt idx="158">
                    <c:v>0.2369</c:v>
                  </c:pt>
                  <c:pt idx="159">
                    <c:v>0.2389</c:v>
                  </c:pt>
                  <c:pt idx="160">
                    <c:v>0.23959999999999998</c:v>
                  </c:pt>
                  <c:pt idx="161">
                    <c:v>0.24149999999999999</c:v>
                  </c:pt>
                  <c:pt idx="162">
                    <c:v>0.2422</c:v>
                  </c:pt>
                  <c:pt idx="163">
                    <c:v>0.24349999999999999</c:v>
                  </c:pt>
                  <c:pt idx="164">
                    <c:v>0.24399999999999999</c:v>
                  </c:pt>
                  <c:pt idx="165">
                    <c:v>0.2475</c:v>
                  </c:pt>
                  <c:pt idx="166">
                    <c:v>0.2475</c:v>
                  </c:pt>
                  <c:pt idx="167">
                    <c:v>0.2475</c:v>
                  </c:pt>
                  <c:pt idx="168">
                    <c:v>0.24889999999999998</c:v>
                  </c:pt>
                  <c:pt idx="169">
                    <c:v>0.2505</c:v>
                  </c:pt>
                  <c:pt idx="170">
                    <c:v>0.25669999999999998</c:v>
                  </c:pt>
                  <c:pt idx="171">
                    <c:v>0.26079999999999998</c:v>
                  </c:pt>
                  <c:pt idx="172">
                    <c:v>0.27299999999999996</c:v>
                  </c:pt>
                  <c:pt idx="173">
                    <c:v>0.27710000000000001</c:v>
                  </c:pt>
                  <c:pt idx="174">
                    <c:v>0.28170000000000001</c:v>
                  </c:pt>
                  <c:pt idx="175">
                    <c:v>0.2843</c:v>
                  </c:pt>
                  <c:pt idx="176">
                    <c:v>0.28770000000000001</c:v>
                  </c:pt>
                  <c:pt idx="177">
                    <c:v>0.28999999999999998</c:v>
                  </c:pt>
                  <c:pt idx="178">
                    <c:v>0.29409999999999997</c:v>
                  </c:pt>
                  <c:pt idx="179">
                    <c:v>0.29549999999999998</c:v>
                  </c:pt>
                  <c:pt idx="180">
                    <c:v>0.29819999999999997</c:v>
                  </c:pt>
                  <c:pt idx="181">
                    <c:v>0.30049999999999999</c:v>
                  </c:pt>
                  <c:pt idx="182">
                    <c:v>0.30180000000000001</c:v>
                  </c:pt>
                  <c:pt idx="183">
                    <c:v>0.30280000000000001</c:v>
                  </c:pt>
                  <c:pt idx="184">
                    <c:v>0.3039</c:v>
                  </c:pt>
                  <c:pt idx="185">
                    <c:v>0.3039</c:v>
                  </c:pt>
                  <c:pt idx="186">
                    <c:v>0.30409999999999998</c:v>
                  </c:pt>
                  <c:pt idx="187">
                    <c:v>0.30609999999999998</c:v>
                  </c:pt>
                  <c:pt idx="188">
                    <c:v>0.30759999999999998</c:v>
                  </c:pt>
                  <c:pt idx="189">
                    <c:v>0.30969999999999998</c:v>
                  </c:pt>
                  <c:pt idx="190">
                    <c:v>0.31119999999999998</c:v>
                  </c:pt>
                  <c:pt idx="191">
                    <c:v>0.31129999999999997</c:v>
                  </c:pt>
                  <c:pt idx="192">
                    <c:v>0.31229999999999997</c:v>
                  </c:pt>
                  <c:pt idx="193">
                    <c:v>0.3145</c:v>
                  </c:pt>
                  <c:pt idx="194">
                    <c:v>0.31609999999999999</c:v>
                  </c:pt>
                  <c:pt idx="195">
                    <c:v>0.32289999999999996</c:v>
                  </c:pt>
                  <c:pt idx="196">
                    <c:v>0.32289999999999996</c:v>
                  </c:pt>
                  <c:pt idx="197">
                    <c:v>0.32489999999999997</c:v>
                  </c:pt>
                  <c:pt idx="198">
                    <c:v>0.32529999999999998</c:v>
                  </c:pt>
                  <c:pt idx="199">
                    <c:v>0.33660000000000001</c:v>
                  </c:pt>
                  <c:pt idx="200">
                    <c:v>0.34099999999999997</c:v>
                  </c:pt>
                  <c:pt idx="201">
                    <c:v>0.34570000000000001</c:v>
                  </c:pt>
                  <c:pt idx="202">
                    <c:v>0.34670000000000001</c:v>
                  </c:pt>
                  <c:pt idx="203">
                    <c:v>0.34759999999999996</c:v>
                  </c:pt>
                  <c:pt idx="204">
                    <c:v>0.34789999999999999</c:v>
                  </c:pt>
                  <c:pt idx="205">
                    <c:v>0.3493</c:v>
                  </c:pt>
                  <c:pt idx="206">
                    <c:v>0.35039999999999999</c:v>
                  </c:pt>
                  <c:pt idx="207">
                    <c:v>0.35239999999999999</c:v>
                  </c:pt>
                  <c:pt idx="208">
                    <c:v>0.3538</c:v>
                  </c:pt>
                  <c:pt idx="209">
                    <c:v>0.35399999999999998</c:v>
                  </c:pt>
                  <c:pt idx="210">
                    <c:v>0.35899999999999999</c:v>
                  </c:pt>
                  <c:pt idx="211">
                    <c:v>0.36109999999999998</c:v>
                  </c:pt>
                  <c:pt idx="212">
                    <c:v>0.36219999999999997</c:v>
                  </c:pt>
                  <c:pt idx="213">
                    <c:v>0.36319999999999997</c:v>
                  </c:pt>
                  <c:pt idx="214">
                    <c:v>0.36469999999999997</c:v>
                  </c:pt>
                  <c:pt idx="215">
                    <c:v>0.36609999999999998</c:v>
                  </c:pt>
                  <c:pt idx="216">
                    <c:v>0.36719999999999997</c:v>
                  </c:pt>
                  <c:pt idx="217">
                    <c:v>0.36759999999999998</c:v>
                  </c:pt>
                  <c:pt idx="218">
                    <c:v>0.36769999999999997</c:v>
                  </c:pt>
                  <c:pt idx="219">
                    <c:v>0.3679</c:v>
                  </c:pt>
                  <c:pt idx="220">
                    <c:v>0.36809999999999998</c:v>
                  </c:pt>
                  <c:pt idx="221">
                    <c:v>0.3679</c:v>
                  </c:pt>
                  <c:pt idx="222">
                    <c:v>0.36929999999999996</c:v>
                  </c:pt>
                  <c:pt idx="223">
                    <c:v>0.36940000000000001</c:v>
                  </c:pt>
                  <c:pt idx="224">
                    <c:v>0.3695</c:v>
                  </c:pt>
                  <c:pt idx="225">
                    <c:v>0.36899999999999999</c:v>
                  </c:pt>
                  <c:pt idx="226">
                    <c:v>0.37029999999999996</c:v>
                  </c:pt>
                  <c:pt idx="227">
                    <c:v>0.37169999999999997</c:v>
                  </c:pt>
                  <c:pt idx="228">
                    <c:v>0.372</c:v>
                  </c:pt>
                  <c:pt idx="229">
                    <c:v>0.37240000000000001</c:v>
                  </c:pt>
                  <c:pt idx="230">
                    <c:v>0.37309999999999999</c:v>
                  </c:pt>
                  <c:pt idx="231">
                    <c:v>0.3745</c:v>
                  </c:pt>
                  <c:pt idx="232">
                    <c:v>0.37559999999999999</c:v>
                  </c:pt>
                  <c:pt idx="233">
                    <c:v>0.3765</c:v>
                  </c:pt>
                  <c:pt idx="234">
                    <c:v>0.3765</c:v>
                  </c:pt>
                  <c:pt idx="235">
                    <c:v>0.37709999999999999</c:v>
                  </c:pt>
                  <c:pt idx="236">
                    <c:v>0.37759999999999999</c:v>
                  </c:pt>
                  <c:pt idx="237">
                    <c:v>0.37840000000000001</c:v>
                  </c:pt>
                  <c:pt idx="238">
                    <c:v>0.378</c:v>
                  </c:pt>
                  <c:pt idx="239">
                    <c:v>0.37809999999999999</c:v>
                  </c:pt>
                </c:numCache>
              </c:numRef>
            </c:plus>
            <c:minus>
              <c:numRef>
                <c:f>'2'!$V$34:$V$273</c:f>
                <c:numCache>
                  <c:formatCode>General</c:formatCode>
                  <c:ptCount val="240"/>
                  <c:pt idx="0">
                    <c:v>-8.3500000000000005E-2</c:v>
                  </c:pt>
                  <c:pt idx="1">
                    <c:v>-8.3500000000000005E-2</c:v>
                  </c:pt>
                  <c:pt idx="2">
                    <c:v>-8.3400000000000002E-2</c:v>
                  </c:pt>
                  <c:pt idx="3">
                    <c:v>-8.1900000000000001E-2</c:v>
                  </c:pt>
                  <c:pt idx="4">
                    <c:v>-7.9200000000000007E-2</c:v>
                  </c:pt>
                  <c:pt idx="5">
                    <c:v>-7.7899999999999997E-2</c:v>
                  </c:pt>
                  <c:pt idx="6">
                    <c:v>-7.7399999999999997E-2</c:v>
                  </c:pt>
                  <c:pt idx="7">
                    <c:v>-7.640000000000001E-2</c:v>
                  </c:pt>
                  <c:pt idx="8">
                    <c:v>-7.6100000000000001E-2</c:v>
                  </c:pt>
                  <c:pt idx="9">
                    <c:v>-7.4900000000000008E-2</c:v>
                  </c:pt>
                  <c:pt idx="10">
                    <c:v>-7.3999999999999996E-2</c:v>
                  </c:pt>
                  <c:pt idx="11">
                    <c:v>-7.2099999999999997E-2</c:v>
                  </c:pt>
                  <c:pt idx="12">
                    <c:v>-7.1199999999999999E-2</c:v>
                  </c:pt>
                  <c:pt idx="13">
                    <c:v>-6.8400000000000002E-2</c:v>
                  </c:pt>
                  <c:pt idx="14">
                    <c:v>-6.5799999999999997E-2</c:v>
                  </c:pt>
                  <c:pt idx="15">
                    <c:v>-6.4299999999999996E-2</c:v>
                  </c:pt>
                  <c:pt idx="16">
                    <c:v>-6.25E-2</c:v>
                  </c:pt>
                  <c:pt idx="17">
                    <c:v>-6.2E-2</c:v>
                  </c:pt>
                  <c:pt idx="18">
                    <c:v>-5.96E-2</c:v>
                  </c:pt>
                  <c:pt idx="19">
                    <c:v>-5.9300000000000005E-2</c:v>
                  </c:pt>
                  <c:pt idx="20">
                    <c:v>-5.8300000000000005E-2</c:v>
                  </c:pt>
                  <c:pt idx="21">
                    <c:v>-5.7500000000000002E-2</c:v>
                  </c:pt>
                  <c:pt idx="22">
                    <c:v>-5.6800000000000003E-2</c:v>
                  </c:pt>
                  <c:pt idx="23">
                    <c:v>-5.5E-2</c:v>
                  </c:pt>
                  <c:pt idx="24">
                    <c:v>-5.2700000000000004E-2</c:v>
                  </c:pt>
                  <c:pt idx="25">
                    <c:v>-5.11E-2</c:v>
                  </c:pt>
                  <c:pt idx="26">
                    <c:v>-4.9600000000000005E-2</c:v>
                  </c:pt>
                  <c:pt idx="27">
                    <c:v>-4.8100000000000004E-2</c:v>
                  </c:pt>
                  <c:pt idx="28">
                    <c:v>-4.5600000000000002E-2</c:v>
                  </c:pt>
                  <c:pt idx="29">
                    <c:v>-4.5600000000000002E-2</c:v>
                  </c:pt>
                  <c:pt idx="30">
                    <c:v>-4.36E-2</c:v>
                  </c:pt>
                  <c:pt idx="31">
                    <c:v>-4.0800000000000003E-2</c:v>
                  </c:pt>
                  <c:pt idx="32">
                    <c:v>-0.04</c:v>
                  </c:pt>
                  <c:pt idx="33">
                    <c:v>-3.8400000000000004E-2</c:v>
                  </c:pt>
                  <c:pt idx="34">
                    <c:v>-3.5900000000000001E-2</c:v>
                  </c:pt>
                  <c:pt idx="35">
                    <c:v>-3.5800000000000005E-2</c:v>
                  </c:pt>
                  <c:pt idx="36">
                    <c:v>-3.4200000000000001E-2</c:v>
                  </c:pt>
                  <c:pt idx="37">
                    <c:v>-3.2800000000000003E-2</c:v>
                  </c:pt>
                  <c:pt idx="38">
                    <c:v>-3.1600000000000003E-2</c:v>
                  </c:pt>
                  <c:pt idx="39">
                    <c:v>-3.0099999999999998E-2</c:v>
                  </c:pt>
                  <c:pt idx="40">
                    <c:v>-2.46E-2</c:v>
                  </c:pt>
                  <c:pt idx="41">
                    <c:v>-2.18E-2</c:v>
                  </c:pt>
                  <c:pt idx="42">
                    <c:v>-1.9400000000000001E-2</c:v>
                  </c:pt>
                  <c:pt idx="43">
                    <c:v>-1.8699999999999998E-2</c:v>
                  </c:pt>
                  <c:pt idx="44">
                    <c:v>-1.6299999999999999E-2</c:v>
                  </c:pt>
                  <c:pt idx="45">
                    <c:v>-1.21E-2</c:v>
                  </c:pt>
                  <c:pt idx="46">
                    <c:v>-1.0699999999999999E-2</c:v>
                  </c:pt>
                  <c:pt idx="47">
                    <c:v>-1.0699999999999999E-2</c:v>
                  </c:pt>
                  <c:pt idx="48">
                    <c:v>-9.2999999999999992E-3</c:v>
                  </c:pt>
                  <c:pt idx="49">
                    <c:v>-2.1999999999999997E-3</c:v>
                  </c:pt>
                  <c:pt idx="50">
                    <c:v>-2.0000000000000001E-4</c:v>
                  </c:pt>
                  <c:pt idx="51">
                    <c:v>3.0999999999999999E-3</c:v>
                  </c:pt>
                  <c:pt idx="52">
                    <c:v>4.8999999999999998E-3</c:v>
                  </c:pt>
                  <c:pt idx="53">
                    <c:v>9.5999999999999992E-3</c:v>
                  </c:pt>
                  <c:pt idx="54">
                    <c:v>1.32E-2</c:v>
                  </c:pt>
                  <c:pt idx="55">
                    <c:v>1.43E-2</c:v>
                  </c:pt>
                  <c:pt idx="56">
                    <c:v>1.6199999999999999E-2</c:v>
                  </c:pt>
                  <c:pt idx="57">
                    <c:v>1.7399999999999999E-2</c:v>
                  </c:pt>
                  <c:pt idx="58">
                    <c:v>1.89E-2</c:v>
                  </c:pt>
                  <c:pt idx="59">
                    <c:v>2.1299999999999999E-2</c:v>
                  </c:pt>
                  <c:pt idx="60">
                    <c:v>2.46E-2</c:v>
                  </c:pt>
                  <c:pt idx="61">
                    <c:v>2.8299999999999999E-2</c:v>
                  </c:pt>
                  <c:pt idx="62">
                    <c:v>3.6400000000000002E-2</c:v>
                  </c:pt>
                  <c:pt idx="63">
                    <c:v>5.04E-2</c:v>
                  </c:pt>
                  <c:pt idx="64">
                    <c:v>5.1000000000000004E-2</c:v>
                  </c:pt>
                  <c:pt idx="65">
                    <c:v>5.2400000000000002E-2</c:v>
                  </c:pt>
                  <c:pt idx="66">
                    <c:v>5.2400000000000002E-2</c:v>
                  </c:pt>
                  <c:pt idx="67">
                    <c:v>5.5100000000000003E-2</c:v>
                  </c:pt>
                  <c:pt idx="68">
                    <c:v>5.5200000000000006E-2</c:v>
                  </c:pt>
                  <c:pt idx="69">
                    <c:v>5.7200000000000001E-2</c:v>
                  </c:pt>
                  <c:pt idx="70">
                    <c:v>6.0100000000000001E-2</c:v>
                  </c:pt>
                  <c:pt idx="71">
                    <c:v>6.2800000000000009E-2</c:v>
                  </c:pt>
                  <c:pt idx="72">
                    <c:v>6.4899999999999999E-2</c:v>
                  </c:pt>
                  <c:pt idx="73">
                    <c:v>6.6299999999999998E-2</c:v>
                  </c:pt>
                  <c:pt idx="74">
                    <c:v>6.7699999999999996E-2</c:v>
                  </c:pt>
                  <c:pt idx="75">
                    <c:v>6.9100000000000009E-2</c:v>
                  </c:pt>
                  <c:pt idx="76">
                    <c:v>7.0500000000000007E-2</c:v>
                  </c:pt>
                  <c:pt idx="77">
                    <c:v>7.7399999999999997E-2</c:v>
                  </c:pt>
                  <c:pt idx="78">
                    <c:v>7.8899999999999998E-2</c:v>
                  </c:pt>
                  <c:pt idx="79">
                    <c:v>8.09E-2</c:v>
                  </c:pt>
                  <c:pt idx="80">
                    <c:v>8.3000000000000004E-2</c:v>
                  </c:pt>
                  <c:pt idx="81">
                    <c:v>8.8000000000000009E-2</c:v>
                  </c:pt>
                  <c:pt idx="82">
                    <c:v>8.8599999999999998E-2</c:v>
                  </c:pt>
                  <c:pt idx="83">
                    <c:v>0.09</c:v>
                  </c:pt>
                  <c:pt idx="84">
                    <c:v>9.1400000000000009E-2</c:v>
                  </c:pt>
                  <c:pt idx="85">
                    <c:v>9.4500000000000001E-2</c:v>
                  </c:pt>
                  <c:pt idx="86">
                    <c:v>9.6600000000000005E-2</c:v>
                  </c:pt>
                  <c:pt idx="87">
                    <c:v>9.7100000000000006E-2</c:v>
                  </c:pt>
                  <c:pt idx="88">
                    <c:v>9.9600000000000008E-2</c:v>
                  </c:pt>
                  <c:pt idx="89">
                    <c:v>9.98E-2</c:v>
                  </c:pt>
                  <c:pt idx="90">
                    <c:v>0.10050000000000001</c:v>
                  </c:pt>
                  <c:pt idx="91">
                    <c:v>0.10390000000000001</c:v>
                  </c:pt>
                  <c:pt idx="92">
                    <c:v>0.10630000000000001</c:v>
                  </c:pt>
                  <c:pt idx="93">
                    <c:v>0.10970000000000001</c:v>
                  </c:pt>
                  <c:pt idx="94">
                    <c:v>0.11310000000000001</c:v>
                  </c:pt>
                  <c:pt idx="95">
                    <c:v>0.1139</c:v>
                  </c:pt>
                  <c:pt idx="96">
                    <c:v>0.11650000000000001</c:v>
                  </c:pt>
                  <c:pt idx="97">
                    <c:v>0.1192</c:v>
                  </c:pt>
                  <c:pt idx="98">
                    <c:v>0.1237</c:v>
                  </c:pt>
                  <c:pt idx="99">
                    <c:v>0.12470000000000001</c:v>
                  </c:pt>
                  <c:pt idx="100">
                    <c:v>0.12619999999999998</c:v>
                  </c:pt>
                  <c:pt idx="101">
                    <c:v>0.13049999999999998</c:v>
                  </c:pt>
                  <c:pt idx="102">
                    <c:v>0.13669999999999999</c:v>
                  </c:pt>
                  <c:pt idx="103">
                    <c:v>0.13879999999999998</c:v>
                  </c:pt>
                  <c:pt idx="104">
                    <c:v>0.13879999999999998</c:v>
                  </c:pt>
                  <c:pt idx="105">
                    <c:v>0.13929999999999998</c:v>
                  </c:pt>
                  <c:pt idx="106">
                    <c:v>0.14019999999999999</c:v>
                  </c:pt>
                  <c:pt idx="107">
                    <c:v>0.14159999999999998</c:v>
                  </c:pt>
                  <c:pt idx="108">
                    <c:v>0.14479999999999998</c:v>
                  </c:pt>
                  <c:pt idx="109">
                    <c:v>0.14889999999999998</c:v>
                  </c:pt>
                  <c:pt idx="110">
                    <c:v>0.1517</c:v>
                  </c:pt>
                  <c:pt idx="111">
                    <c:v>0.15439999999999998</c:v>
                  </c:pt>
                  <c:pt idx="112">
                    <c:v>0.15759999999999999</c:v>
                  </c:pt>
                  <c:pt idx="113">
                    <c:v>0.15839999999999999</c:v>
                  </c:pt>
                  <c:pt idx="114">
                    <c:v>0.1598</c:v>
                  </c:pt>
                  <c:pt idx="115">
                    <c:v>0.16119999999999998</c:v>
                  </c:pt>
                  <c:pt idx="116">
                    <c:v>0.16139999999999999</c:v>
                  </c:pt>
                  <c:pt idx="117">
                    <c:v>0.16259999999999999</c:v>
                  </c:pt>
                  <c:pt idx="118">
                    <c:v>0.16259999999999999</c:v>
                  </c:pt>
                  <c:pt idx="119">
                    <c:v>0.16679999999999998</c:v>
                  </c:pt>
                  <c:pt idx="120">
                    <c:v>0.16949999999999998</c:v>
                  </c:pt>
                  <c:pt idx="121">
                    <c:v>0.17019999999999999</c:v>
                  </c:pt>
                  <c:pt idx="122">
                    <c:v>0.17129999999999998</c:v>
                  </c:pt>
                  <c:pt idx="123">
                    <c:v>0.17229999999999998</c:v>
                  </c:pt>
                  <c:pt idx="124">
                    <c:v>0.17309999999999998</c:v>
                  </c:pt>
                  <c:pt idx="125">
                    <c:v>0.17399999999999999</c:v>
                  </c:pt>
                  <c:pt idx="126">
                    <c:v>0.17509999999999998</c:v>
                  </c:pt>
                  <c:pt idx="127">
                    <c:v>0.17649999999999999</c:v>
                  </c:pt>
                  <c:pt idx="128">
                    <c:v>0.17899999999999999</c:v>
                  </c:pt>
                  <c:pt idx="129">
                    <c:v>0.18059999999999998</c:v>
                  </c:pt>
                  <c:pt idx="130">
                    <c:v>0.18439999999999998</c:v>
                  </c:pt>
                  <c:pt idx="131">
                    <c:v>0.18479999999999999</c:v>
                  </c:pt>
                  <c:pt idx="132">
                    <c:v>0.18479999999999999</c:v>
                  </c:pt>
                  <c:pt idx="133">
                    <c:v>0.18479999999999999</c:v>
                  </c:pt>
                  <c:pt idx="134">
                    <c:v>0.18609999999999999</c:v>
                  </c:pt>
                  <c:pt idx="135">
                    <c:v>0.1875</c:v>
                  </c:pt>
                  <c:pt idx="136">
                    <c:v>0.19219999999999998</c:v>
                  </c:pt>
                  <c:pt idx="137">
                    <c:v>0.1961</c:v>
                  </c:pt>
                  <c:pt idx="138">
                    <c:v>0.19949999999999998</c:v>
                  </c:pt>
                  <c:pt idx="139">
                    <c:v>0.2009</c:v>
                  </c:pt>
                  <c:pt idx="140">
                    <c:v>0.20359999999999998</c:v>
                  </c:pt>
                  <c:pt idx="141">
                    <c:v>0.20499999999999999</c:v>
                  </c:pt>
                  <c:pt idx="142">
                    <c:v>0.20899999999999999</c:v>
                  </c:pt>
                  <c:pt idx="143">
                    <c:v>0.20949999999999999</c:v>
                  </c:pt>
                  <c:pt idx="144">
                    <c:v>0.21129999999999999</c:v>
                  </c:pt>
                  <c:pt idx="145">
                    <c:v>0.21289999999999998</c:v>
                  </c:pt>
                  <c:pt idx="146">
                    <c:v>0.2137</c:v>
                  </c:pt>
                  <c:pt idx="147">
                    <c:v>0.21509999999999999</c:v>
                  </c:pt>
                  <c:pt idx="148">
                    <c:v>0.21509999999999999</c:v>
                  </c:pt>
                  <c:pt idx="149">
                    <c:v>0.2165</c:v>
                  </c:pt>
                  <c:pt idx="150">
                    <c:v>0.21779999999999999</c:v>
                  </c:pt>
                  <c:pt idx="151">
                    <c:v>0.21879999999999999</c:v>
                  </c:pt>
                  <c:pt idx="152">
                    <c:v>0.21929999999999999</c:v>
                  </c:pt>
                  <c:pt idx="153">
                    <c:v>0.22289999999999999</c:v>
                  </c:pt>
                  <c:pt idx="154">
                    <c:v>0.22469999999999998</c:v>
                  </c:pt>
                  <c:pt idx="155">
                    <c:v>0.22599999999999998</c:v>
                  </c:pt>
                  <c:pt idx="156">
                    <c:v>0.22599999999999998</c:v>
                  </c:pt>
                  <c:pt idx="157">
                    <c:v>0.23419999999999999</c:v>
                  </c:pt>
                  <c:pt idx="158">
                    <c:v>0.2369</c:v>
                  </c:pt>
                  <c:pt idx="159">
                    <c:v>0.2389</c:v>
                  </c:pt>
                  <c:pt idx="160">
                    <c:v>0.23959999999999998</c:v>
                  </c:pt>
                  <c:pt idx="161">
                    <c:v>0.24149999999999999</c:v>
                  </c:pt>
                  <c:pt idx="162">
                    <c:v>0.2422</c:v>
                  </c:pt>
                  <c:pt idx="163">
                    <c:v>0.24349999999999999</c:v>
                  </c:pt>
                  <c:pt idx="164">
                    <c:v>0.24399999999999999</c:v>
                  </c:pt>
                  <c:pt idx="165">
                    <c:v>0.2475</c:v>
                  </c:pt>
                  <c:pt idx="166">
                    <c:v>0.2475</c:v>
                  </c:pt>
                  <c:pt idx="167">
                    <c:v>0.2475</c:v>
                  </c:pt>
                  <c:pt idx="168">
                    <c:v>0.24889999999999998</c:v>
                  </c:pt>
                  <c:pt idx="169">
                    <c:v>0.2505</c:v>
                  </c:pt>
                  <c:pt idx="170">
                    <c:v>0.25669999999999998</c:v>
                  </c:pt>
                  <c:pt idx="171">
                    <c:v>0.26079999999999998</c:v>
                  </c:pt>
                  <c:pt idx="172">
                    <c:v>0.27299999999999996</c:v>
                  </c:pt>
                  <c:pt idx="173">
                    <c:v>0.27710000000000001</c:v>
                  </c:pt>
                  <c:pt idx="174">
                    <c:v>0.28170000000000001</c:v>
                  </c:pt>
                  <c:pt idx="175">
                    <c:v>0.2843</c:v>
                  </c:pt>
                  <c:pt idx="176">
                    <c:v>0.28770000000000001</c:v>
                  </c:pt>
                  <c:pt idx="177">
                    <c:v>0.28999999999999998</c:v>
                  </c:pt>
                  <c:pt idx="178">
                    <c:v>0.29409999999999997</c:v>
                  </c:pt>
                  <c:pt idx="179">
                    <c:v>0.29549999999999998</c:v>
                  </c:pt>
                  <c:pt idx="180">
                    <c:v>0.29819999999999997</c:v>
                  </c:pt>
                  <c:pt idx="181">
                    <c:v>0.30049999999999999</c:v>
                  </c:pt>
                  <c:pt idx="182">
                    <c:v>0.30180000000000001</c:v>
                  </c:pt>
                  <c:pt idx="183">
                    <c:v>0.30280000000000001</c:v>
                  </c:pt>
                  <c:pt idx="184">
                    <c:v>0.3039</c:v>
                  </c:pt>
                  <c:pt idx="185">
                    <c:v>0.3039</c:v>
                  </c:pt>
                  <c:pt idx="186">
                    <c:v>0.30409999999999998</c:v>
                  </c:pt>
                  <c:pt idx="187">
                    <c:v>0.30609999999999998</c:v>
                  </c:pt>
                  <c:pt idx="188">
                    <c:v>0.30759999999999998</c:v>
                  </c:pt>
                  <c:pt idx="189">
                    <c:v>0.30969999999999998</c:v>
                  </c:pt>
                  <c:pt idx="190">
                    <c:v>0.31119999999999998</c:v>
                  </c:pt>
                  <c:pt idx="191">
                    <c:v>0.31129999999999997</c:v>
                  </c:pt>
                  <c:pt idx="192">
                    <c:v>0.31229999999999997</c:v>
                  </c:pt>
                  <c:pt idx="193">
                    <c:v>0.3145</c:v>
                  </c:pt>
                  <c:pt idx="194">
                    <c:v>0.31609999999999999</c:v>
                  </c:pt>
                  <c:pt idx="195">
                    <c:v>0.32289999999999996</c:v>
                  </c:pt>
                  <c:pt idx="196">
                    <c:v>0.32289999999999996</c:v>
                  </c:pt>
                  <c:pt idx="197">
                    <c:v>0.32489999999999997</c:v>
                  </c:pt>
                  <c:pt idx="198">
                    <c:v>0.32529999999999998</c:v>
                  </c:pt>
                  <c:pt idx="199">
                    <c:v>0.33660000000000001</c:v>
                  </c:pt>
                  <c:pt idx="200">
                    <c:v>0.34099999999999997</c:v>
                  </c:pt>
                  <c:pt idx="201">
                    <c:v>0.34570000000000001</c:v>
                  </c:pt>
                  <c:pt idx="202">
                    <c:v>0.34670000000000001</c:v>
                  </c:pt>
                  <c:pt idx="203">
                    <c:v>0.34759999999999996</c:v>
                  </c:pt>
                  <c:pt idx="204">
                    <c:v>0.34789999999999999</c:v>
                  </c:pt>
                  <c:pt idx="205">
                    <c:v>0.3493</c:v>
                  </c:pt>
                  <c:pt idx="206">
                    <c:v>0.35039999999999999</c:v>
                  </c:pt>
                  <c:pt idx="207">
                    <c:v>0.35239999999999999</c:v>
                  </c:pt>
                  <c:pt idx="208">
                    <c:v>0.3538</c:v>
                  </c:pt>
                  <c:pt idx="209">
                    <c:v>0.35399999999999998</c:v>
                  </c:pt>
                  <c:pt idx="210">
                    <c:v>0.35899999999999999</c:v>
                  </c:pt>
                  <c:pt idx="211">
                    <c:v>0.36109999999999998</c:v>
                  </c:pt>
                  <c:pt idx="212">
                    <c:v>0.36219999999999997</c:v>
                  </c:pt>
                  <c:pt idx="213">
                    <c:v>0.36319999999999997</c:v>
                  </c:pt>
                  <c:pt idx="214">
                    <c:v>0.36469999999999997</c:v>
                  </c:pt>
                  <c:pt idx="215">
                    <c:v>0.36609999999999998</c:v>
                  </c:pt>
                  <c:pt idx="216">
                    <c:v>0.36719999999999997</c:v>
                  </c:pt>
                  <c:pt idx="217">
                    <c:v>0.36759999999999998</c:v>
                  </c:pt>
                  <c:pt idx="218">
                    <c:v>0.36769999999999997</c:v>
                  </c:pt>
                  <c:pt idx="219">
                    <c:v>0.3679</c:v>
                  </c:pt>
                  <c:pt idx="220">
                    <c:v>0.36809999999999998</c:v>
                  </c:pt>
                  <c:pt idx="221">
                    <c:v>0.3679</c:v>
                  </c:pt>
                  <c:pt idx="222">
                    <c:v>0.36929999999999996</c:v>
                  </c:pt>
                  <c:pt idx="223">
                    <c:v>0.36940000000000001</c:v>
                  </c:pt>
                  <c:pt idx="224">
                    <c:v>0.3695</c:v>
                  </c:pt>
                  <c:pt idx="225">
                    <c:v>0.36899999999999999</c:v>
                  </c:pt>
                  <c:pt idx="226">
                    <c:v>0.37029999999999996</c:v>
                  </c:pt>
                  <c:pt idx="227">
                    <c:v>0.37169999999999997</c:v>
                  </c:pt>
                  <c:pt idx="228">
                    <c:v>0.372</c:v>
                  </c:pt>
                  <c:pt idx="229">
                    <c:v>0.37240000000000001</c:v>
                  </c:pt>
                  <c:pt idx="230">
                    <c:v>0.37309999999999999</c:v>
                  </c:pt>
                  <c:pt idx="231">
                    <c:v>0.3745</c:v>
                  </c:pt>
                  <c:pt idx="232">
                    <c:v>0.37559999999999999</c:v>
                  </c:pt>
                  <c:pt idx="233">
                    <c:v>0.3765</c:v>
                  </c:pt>
                  <c:pt idx="234">
                    <c:v>0.3765</c:v>
                  </c:pt>
                  <c:pt idx="235">
                    <c:v>0.37709999999999999</c:v>
                  </c:pt>
                  <c:pt idx="236">
                    <c:v>0.37759999999999999</c:v>
                  </c:pt>
                  <c:pt idx="237">
                    <c:v>0.37840000000000001</c:v>
                  </c:pt>
                  <c:pt idx="238">
                    <c:v>0.378</c:v>
                  </c:pt>
                  <c:pt idx="239">
                    <c:v>0.37809999999999999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'2'!$X$34:$X$273</c:f>
                <c:numCache>
                  <c:formatCode>General</c:formatCode>
                  <c:ptCount val="240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  <c:pt idx="195">
                    <c:v>5.8000000000000005E-3</c:v>
                  </c:pt>
                  <c:pt idx="196">
                    <c:v>5.8000000000000005E-3</c:v>
                  </c:pt>
                  <c:pt idx="197">
                    <c:v>5.8000000000000005E-3</c:v>
                  </c:pt>
                  <c:pt idx="198">
                    <c:v>5.8000000000000005E-3</c:v>
                  </c:pt>
                  <c:pt idx="199">
                    <c:v>5.8000000000000005E-3</c:v>
                  </c:pt>
                  <c:pt idx="200">
                    <c:v>5.8000000000000005E-3</c:v>
                  </c:pt>
                  <c:pt idx="201">
                    <c:v>5.8000000000000005E-3</c:v>
                  </c:pt>
                  <c:pt idx="202">
                    <c:v>5.8000000000000005E-3</c:v>
                  </c:pt>
                  <c:pt idx="203">
                    <c:v>5.8000000000000005E-3</c:v>
                  </c:pt>
                  <c:pt idx="204">
                    <c:v>5.8000000000000005E-3</c:v>
                  </c:pt>
                  <c:pt idx="205">
                    <c:v>5.8000000000000005E-3</c:v>
                  </c:pt>
                  <c:pt idx="206">
                    <c:v>5.8000000000000005E-3</c:v>
                  </c:pt>
                  <c:pt idx="207">
                    <c:v>5.8000000000000005E-3</c:v>
                  </c:pt>
                  <c:pt idx="208">
                    <c:v>5.8000000000000005E-3</c:v>
                  </c:pt>
                  <c:pt idx="209">
                    <c:v>5.8000000000000005E-3</c:v>
                  </c:pt>
                  <c:pt idx="210">
                    <c:v>5.8000000000000005E-3</c:v>
                  </c:pt>
                  <c:pt idx="211">
                    <c:v>5.8000000000000005E-3</c:v>
                  </c:pt>
                  <c:pt idx="212">
                    <c:v>5.8000000000000005E-3</c:v>
                  </c:pt>
                  <c:pt idx="213">
                    <c:v>5.8000000000000005E-3</c:v>
                  </c:pt>
                  <c:pt idx="214">
                    <c:v>5.8000000000000005E-3</c:v>
                  </c:pt>
                  <c:pt idx="215">
                    <c:v>5.8000000000000005E-3</c:v>
                  </c:pt>
                  <c:pt idx="216">
                    <c:v>5.8000000000000005E-3</c:v>
                  </c:pt>
                  <c:pt idx="217">
                    <c:v>5.8000000000000005E-3</c:v>
                  </c:pt>
                  <c:pt idx="218">
                    <c:v>5.8000000000000005E-3</c:v>
                  </c:pt>
                  <c:pt idx="219">
                    <c:v>5.8000000000000005E-3</c:v>
                  </c:pt>
                  <c:pt idx="220">
                    <c:v>5.8000000000000005E-3</c:v>
                  </c:pt>
                  <c:pt idx="221">
                    <c:v>5.8000000000000005E-3</c:v>
                  </c:pt>
                  <c:pt idx="222">
                    <c:v>5.8000000000000005E-3</c:v>
                  </c:pt>
                  <c:pt idx="223">
                    <c:v>5.8000000000000005E-3</c:v>
                  </c:pt>
                  <c:pt idx="224">
                    <c:v>5.8000000000000005E-3</c:v>
                  </c:pt>
                  <c:pt idx="225">
                    <c:v>5.8000000000000005E-3</c:v>
                  </c:pt>
                  <c:pt idx="226">
                    <c:v>5.8000000000000005E-3</c:v>
                  </c:pt>
                  <c:pt idx="227">
                    <c:v>5.8000000000000005E-3</c:v>
                  </c:pt>
                  <c:pt idx="228">
                    <c:v>5.8000000000000005E-3</c:v>
                  </c:pt>
                  <c:pt idx="229">
                    <c:v>5.8000000000000005E-3</c:v>
                  </c:pt>
                  <c:pt idx="230">
                    <c:v>5.8000000000000005E-3</c:v>
                  </c:pt>
                  <c:pt idx="231">
                    <c:v>5.8000000000000005E-3</c:v>
                  </c:pt>
                  <c:pt idx="232">
                    <c:v>5.8000000000000005E-3</c:v>
                  </c:pt>
                  <c:pt idx="233">
                    <c:v>5.8000000000000005E-3</c:v>
                  </c:pt>
                  <c:pt idx="234">
                    <c:v>5.8000000000000005E-3</c:v>
                  </c:pt>
                  <c:pt idx="235">
                    <c:v>5.8000000000000005E-3</c:v>
                  </c:pt>
                  <c:pt idx="236">
                    <c:v>5.8000000000000005E-3</c:v>
                  </c:pt>
                  <c:pt idx="237">
                    <c:v>5.8000000000000005E-3</c:v>
                  </c:pt>
                  <c:pt idx="238">
                    <c:v>5.8000000000000005E-3</c:v>
                  </c:pt>
                  <c:pt idx="239">
                    <c:v>5.8000000000000005E-3</c:v>
                  </c:pt>
                </c:numCache>
              </c:numRef>
            </c:plus>
            <c:minus>
              <c:numRef>
                <c:f>'2'!$X$34:$X$273</c:f>
                <c:numCache>
                  <c:formatCode>General</c:formatCode>
                  <c:ptCount val="240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  <c:pt idx="158">
                    <c:v>5.8000000000000005E-3</c:v>
                  </c:pt>
                  <c:pt idx="159">
                    <c:v>5.8000000000000005E-3</c:v>
                  </c:pt>
                  <c:pt idx="160">
                    <c:v>5.8000000000000005E-3</c:v>
                  </c:pt>
                  <c:pt idx="161">
                    <c:v>5.8000000000000005E-3</c:v>
                  </c:pt>
                  <c:pt idx="162">
                    <c:v>5.8000000000000005E-3</c:v>
                  </c:pt>
                  <c:pt idx="163">
                    <c:v>5.8000000000000005E-3</c:v>
                  </c:pt>
                  <c:pt idx="164">
                    <c:v>5.8000000000000005E-3</c:v>
                  </c:pt>
                  <c:pt idx="165">
                    <c:v>5.8000000000000005E-3</c:v>
                  </c:pt>
                  <c:pt idx="166">
                    <c:v>5.8000000000000005E-3</c:v>
                  </c:pt>
                  <c:pt idx="167">
                    <c:v>5.8000000000000005E-3</c:v>
                  </c:pt>
                  <c:pt idx="168">
                    <c:v>5.8000000000000005E-3</c:v>
                  </c:pt>
                  <c:pt idx="169">
                    <c:v>5.8000000000000005E-3</c:v>
                  </c:pt>
                  <c:pt idx="170">
                    <c:v>5.8000000000000005E-3</c:v>
                  </c:pt>
                  <c:pt idx="171">
                    <c:v>5.8000000000000005E-3</c:v>
                  </c:pt>
                  <c:pt idx="172">
                    <c:v>5.8000000000000005E-3</c:v>
                  </c:pt>
                  <c:pt idx="173">
                    <c:v>5.8000000000000005E-3</c:v>
                  </c:pt>
                  <c:pt idx="174">
                    <c:v>5.8000000000000005E-3</c:v>
                  </c:pt>
                  <c:pt idx="175">
                    <c:v>5.8000000000000005E-3</c:v>
                  </c:pt>
                  <c:pt idx="176">
                    <c:v>5.8000000000000005E-3</c:v>
                  </c:pt>
                  <c:pt idx="177">
                    <c:v>5.8000000000000005E-3</c:v>
                  </c:pt>
                  <c:pt idx="178">
                    <c:v>5.8000000000000005E-3</c:v>
                  </c:pt>
                  <c:pt idx="179">
                    <c:v>5.8000000000000005E-3</c:v>
                  </c:pt>
                  <c:pt idx="180">
                    <c:v>5.8000000000000005E-3</c:v>
                  </c:pt>
                  <c:pt idx="181">
                    <c:v>5.8000000000000005E-3</c:v>
                  </c:pt>
                  <c:pt idx="182">
                    <c:v>5.8000000000000005E-3</c:v>
                  </c:pt>
                  <c:pt idx="183">
                    <c:v>5.8000000000000005E-3</c:v>
                  </c:pt>
                  <c:pt idx="184">
                    <c:v>5.8000000000000005E-3</c:v>
                  </c:pt>
                  <c:pt idx="185">
                    <c:v>5.8000000000000005E-3</c:v>
                  </c:pt>
                  <c:pt idx="186">
                    <c:v>5.8000000000000005E-3</c:v>
                  </c:pt>
                  <c:pt idx="187">
                    <c:v>5.8000000000000005E-3</c:v>
                  </c:pt>
                  <c:pt idx="188">
                    <c:v>5.8000000000000005E-3</c:v>
                  </c:pt>
                  <c:pt idx="189">
                    <c:v>5.8000000000000005E-3</c:v>
                  </c:pt>
                  <c:pt idx="190">
                    <c:v>5.8000000000000005E-3</c:v>
                  </c:pt>
                  <c:pt idx="191">
                    <c:v>5.8000000000000005E-3</c:v>
                  </c:pt>
                  <c:pt idx="192">
                    <c:v>5.8000000000000005E-3</c:v>
                  </c:pt>
                  <c:pt idx="193">
                    <c:v>5.8000000000000005E-3</c:v>
                  </c:pt>
                  <c:pt idx="194">
                    <c:v>5.8000000000000005E-3</c:v>
                  </c:pt>
                  <c:pt idx="195">
                    <c:v>5.8000000000000005E-3</c:v>
                  </c:pt>
                  <c:pt idx="196">
                    <c:v>5.8000000000000005E-3</c:v>
                  </c:pt>
                  <c:pt idx="197">
                    <c:v>5.8000000000000005E-3</c:v>
                  </c:pt>
                  <c:pt idx="198">
                    <c:v>5.8000000000000005E-3</c:v>
                  </c:pt>
                  <c:pt idx="199">
                    <c:v>5.8000000000000005E-3</c:v>
                  </c:pt>
                  <c:pt idx="200">
                    <c:v>5.8000000000000005E-3</c:v>
                  </c:pt>
                  <c:pt idx="201">
                    <c:v>5.8000000000000005E-3</c:v>
                  </c:pt>
                  <c:pt idx="202">
                    <c:v>5.8000000000000005E-3</c:v>
                  </c:pt>
                  <c:pt idx="203">
                    <c:v>5.8000000000000005E-3</c:v>
                  </c:pt>
                  <c:pt idx="204">
                    <c:v>5.8000000000000005E-3</c:v>
                  </c:pt>
                  <c:pt idx="205">
                    <c:v>5.8000000000000005E-3</c:v>
                  </c:pt>
                  <c:pt idx="206">
                    <c:v>5.8000000000000005E-3</c:v>
                  </c:pt>
                  <c:pt idx="207">
                    <c:v>5.8000000000000005E-3</c:v>
                  </c:pt>
                  <c:pt idx="208">
                    <c:v>5.8000000000000005E-3</c:v>
                  </c:pt>
                  <c:pt idx="209">
                    <c:v>5.8000000000000005E-3</c:v>
                  </c:pt>
                  <c:pt idx="210">
                    <c:v>5.8000000000000005E-3</c:v>
                  </c:pt>
                  <c:pt idx="211">
                    <c:v>5.8000000000000005E-3</c:v>
                  </c:pt>
                  <c:pt idx="212">
                    <c:v>5.8000000000000005E-3</c:v>
                  </c:pt>
                  <c:pt idx="213">
                    <c:v>5.8000000000000005E-3</c:v>
                  </c:pt>
                  <c:pt idx="214">
                    <c:v>5.8000000000000005E-3</c:v>
                  </c:pt>
                  <c:pt idx="215">
                    <c:v>5.8000000000000005E-3</c:v>
                  </c:pt>
                  <c:pt idx="216">
                    <c:v>5.8000000000000005E-3</c:v>
                  </c:pt>
                  <c:pt idx="217">
                    <c:v>5.8000000000000005E-3</c:v>
                  </c:pt>
                  <c:pt idx="218">
                    <c:v>5.8000000000000005E-3</c:v>
                  </c:pt>
                  <c:pt idx="219">
                    <c:v>5.8000000000000005E-3</c:v>
                  </c:pt>
                  <c:pt idx="220">
                    <c:v>5.8000000000000005E-3</c:v>
                  </c:pt>
                  <c:pt idx="221">
                    <c:v>5.8000000000000005E-3</c:v>
                  </c:pt>
                  <c:pt idx="222">
                    <c:v>5.8000000000000005E-3</c:v>
                  </c:pt>
                  <c:pt idx="223">
                    <c:v>5.8000000000000005E-3</c:v>
                  </c:pt>
                  <c:pt idx="224">
                    <c:v>5.8000000000000005E-3</c:v>
                  </c:pt>
                  <c:pt idx="225">
                    <c:v>5.8000000000000005E-3</c:v>
                  </c:pt>
                  <c:pt idx="226">
                    <c:v>5.8000000000000005E-3</c:v>
                  </c:pt>
                  <c:pt idx="227">
                    <c:v>5.8000000000000005E-3</c:v>
                  </c:pt>
                  <c:pt idx="228">
                    <c:v>5.8000000000000005E-3</c:v>
                  </c:pt>
                  <c:pt idx="229">
                    <c:v>5.8000000000000005E-3</c:v>
                  </c:pt>
                  <c:pt idx="230">
                    <c:v>5.8000000000000005E-3</c:v>
                  </c:pt>
                  <c:pt idx="231">
                    <c:v>5.8000000000000005E-3</c:v>
                  </c:pt>
                  <c:pt idx="232">
                    <c:v>5.8000000000000005E-3</c:v>
                  </c:pt>
                  <c:pt idx="233">
                    <c:v>5.8000000000000005E-3</c:v>
                  </c:pt>
                  <c:pt idx="234">
                    <c:v>5.8000000000000005E-3</c:v>
                  </c:pt>
                  <c:pt idx="235">
                    <c:v>5.8000000000000005E-3</c:v>
                  </c:pt>
                  <c:pt idx="236">
                    <c:v>5.8000000000000005E-3</c:v>
                  </c:pt>
                  <c:pt idx="237">
                    <c:v>5.8000000000000005E-3</c:v>
                  </c:pt>
                  <c:pt idx="238">
                    <c:v>5.8000000000000005E-3</c:v>
                  </c:pt>
                  <c:pt idx="239">
                    <c:v>5.8000000000000005E-3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'2'!$U$34:$U$273</c:f>
              <c:numCache>
                <c:formatCode>General</c:formatCode>
                <c:ptCount val="240"/>
                <c:pt idx="0">
                  <c:v>-105</c:v>
                </c:pt>
                <c:pt idx="1">
                  <c:v>-105</c:v>
                </c:pt>
                <c:pt idx="2">
                  <c:v>-104.90000152587901</c:v>
                </c:pt>
                <c:pt idx="3">
                  <c:v>-103</c:v>
                </c:pt>
                <c:pt idx="4">
                  <c:v>-99.699996948242202</c:v>
                </c:pt>
                <c:pt idx="5">
                  <c:v>-98</c:v>
                </c:pt>
                <c:pt idx="6">
                  <c:v>-97.400001525878906</c:v>
                </c:pt>
                <c:pt idx="7">
                  <c:v>-96.199996948242202</c:v>
                </c:pt>
                <c:pt idx="8">
                  <c:v>-95.800003051757798</c:v>
                </c:pt>
                <c:pt idx="9">
                  <c:v>-94.300003051757798</c:v>
                </c:pt>
                <c:pt idx="10">
                  <c:v>-93.099998474121094</c:v>
                </c:pt>
                <c:pt idx="11">
                  <c:v>-90.800003051757798</c:v>
                </c:pt>
                <c:pt idx="12">
                  <c:v>-89.699996948242202</c:v>
                </c:pt>
                <c:pt idx="13">
                  <c:v>-86.099998474121094</c:v>
                </c:pt>
                <c:pt idx="14">
                  <c:v>-82.900001525878906</c:v>
                </c:pt>
                <c:pt idx="15">
                  <c:v>-81</c:v>
                </c:pt>
                <c:pt idx="16">
                  <c:v>-78.800003051757798</c:v>
                </c:pt>
                <c:pt idx="17">
                  <c:v>-78.199996948242202</c:v>
                </c:pt>
                <c:pt idx="18">
                  <c:v>-75.199996948242202</c:v>
                </c:pt>
                <c:pt idx="19">
                  <c:v>-74.800003051757798</c:v>
                </c:pt>
                <c:pt idx="20">
                  <c:v>-73.5</c:v>
                </c:pt>
                <c:pt idx="21">
                  <c:v>-72.5</c:v>
                </c:pt>
                <c:pt idx="22">
                  <c:v>-71.599998474121094</c:v>
                </c:pt>
                <c:pt idx="23">
                  <c:v>-69.400001525878906</c:v>
                </c:pt>
                <c:pt idx="24">
                  <c:v>-66.5</c:v>
                </c:pt>
                <c:pt idx="25">
                  <c:v>-64.5</c:v>
                </c:pt>
                <c:pt idx="26">
                  <c:v>-62.599998474121101</c:v>
                </c:pt>
                <c:pt idx="27">
                  <c:v>-60.799999237060497</c:v>
                </c:pt>
                <c:pt idx="28">
                  <c:v>-57.700000762939503</c:v>
                </c:pt>
                <c:pt idx="29">
                  <c:v>-57.700000762939503</c:v>
                </c:pt>
                <c:pt idx="30">
                  <c:v>-55.200000762939503</c:v>
                </c:pt>
                <c:pt idx="31">
                  <c:v>-51.700000762939503</c:v>
                </c:pt>
                <c:pt idx="32">
                  <c:v>-50.599998474121101</c:v>
                </c:pt>
                <c:pt idx="33">
                  <c:v>-48.599998474121101</c:v>
                </c:pt>
                <c:pt idx="34">
                  <c:v>-45.5</c:v>
                </c:pt>
                <c:pt idx="35">
                  <c:v>-45.400001525878899</c:v>
                </c:pt>
                <c:pt idx="36">
                  <c:v>-43.380001068115199</c:v>
                </c:pt>
                <c:pt idx="37">
                  <c:v>-41.700000762939503</c:v>
                </c:pt>
                <c:pt idx="38">
                  <c:v>-40.180000305175803</c:v>
                </c:pt>
                <c:pt idx="39">
                  <c:v>-38.299999237060497</c:v>
                </c:pt>
                <c:pt idx="40">
                  <c:v>-31.409999847412099</c:v>
                </c:pt>
                <c:pt idx="41">
                  <c:v>-27.950000762939499</c:v>
                </c:pt>
                <c:pt idx="42">
                  <c:v>-24.950000762939499</c:v>
                </c:pt>
                <c:pt idx="43">
                  <c:v>-24</c:v>
                </c:pt>
                <c:pt idx="44">
                  <c:v>-20.9799995422363</c:v>
                </c:pt>
                <c:pt idx="45">
                  <c:v>-15.7399997711182</c:v>
                </c:pt>
                <c:pt idx="46">
                  <c:v>-14</c:v>
                </c:pt>
                <c:pt idx="47">
                  <c:v>-13.9899997711182</c:v>
                </c:pt>
                <c:pt idx="48">
                  <c:v>-12.25</c:v>
                </c:pt>
                <c:pt idx="49">
                  <c:v>-3.4700000286102299</c:v>
                </c:pt>
                <c:pt idx="50">
                  <c:v>-0.85000002384185802</c:v>
                </c:pt>
                <c:pt idx="51">
                  <c:v>3.0899999141693102</c:v>
                </c:pt>
                <c:pt idx="52">
                  <c:v>5.3400001525878897</c:v>
                </c:pt>
                <c:pt idx="53">
                  <c:v>11.2299995422363</c:v>
                </c:pt>
                <c:pt idx="54">
                  <c:v>15.7700004577637</c:v>
                </c:pt>
                <c:pt idx="55">
                  <c:v>17.069999694824201</c:v>
                </c:pt>
                <c:pt idx="56">
                  <c:v>19.5200004577637</c:v>
                </c:pt>
                <c:pt idx="57">
                  <c:v>21.0100002288818</c:v>
                </c:pt>
                <c:pt idx="58">
                  <c:v>22.790000915527301</c:v>
                </c:pt>
                <c:pt idx="59">
                  <c:v>25.899999618530298</c:v>
                </c:pt>
                <c:pt idx="60">
                  <c:v>29.909999847412099</c:v>
                </c:pt>
                <c:pt idx="61">
                  <c:v>34.540000915527301</c:v>
                </c:pt>
                <c:pt idx="62">
                  <c:v>44.75</c:v>
                </c:pt>
                <c:pt idx="63">
                  <c:v>62.200000762939503</c:v>
                </c:pt>
                <c:pt idx="64">
                  <c:v>63</c:v>
                </c:pt>
                <c:pt idx="65">
                  <c:v>64.699996948242202</c:v>
                </c:pt>
                <c:pt idx="66">
                  <c:v>64.699996948242202</c:v>
                </c:pt>
                <c:pt idx="67">
                  <c:v>68.099998474121094</c:v>
                </c:pt>
                <c:pt idx="68">
                  <c:v>68.199996948242202</c:v>
                </c:pt>
                <c:pt idx="69">
                  <c:v>70.699996948242202</c:v>
                </c:pt>
                <c:pt idx="70">
                  <c:v>74.300003051757798</c:v>
                </c:pt>
                <c:pt idx="71">
                  <c:v>77.699996948242202</c:v>
                </c:pt>
                <c:pt idx="72">
                  <c:v>80.300003051757798</c:v>
                </c:pt>
                <c:pt idx="73">
                  <c:v>82.099998474121094</c:v>
                </c:pt>
                <c:pt idx="74">
                  <c:v>83.800003051757798</c:v>
                </c:pt>
                <c:pt idx="75">
                  <c:v>85.599998474121094</c:v>
                </c:pt>
                <c:pt idx="76">
                  <c:v>87.300003051757798</c:v>
                </c:pt>
                <c:pt idx="77">
                  <c:v>96</c:v>
                </c:pt>
                <c:pt idx="78">
                  <c:v>97.800003051757798</c:v>
                </c:pt>
                <c:pt idx="79">
                  <c:v>100.300003051758</c:v>
                </c:pt>
                <c:pt idx="80">
                  <c:v>103</c:v>
                </c:pt>
                <c:pt idx="81">
                  <c:v>109.199996948242</c:v>
                </c:pt>
                <c:pt idx="82">
                  <c:v>110</c:v>
                </c:pt>
                <c:pt idx="83">
                  <c:v>111.699996948242</c:v>
                </c:pt>
                <c:pt idx="84">
                  <c:v>113.5</c:v>
                </c:pt>
                <c:pt idx="85">
                  <c:v>117.300003051758</c:v>
                </c:pt>
                <c:pt idx="86">
                  <c:v>120</c:v>
                </c:pt>
                <c:pt idx="87">
                  <c:v>120.59999847412099</c:v>
                </c:pt>
                <c:pt idx="88">
                  <c:v>123.699996948242</c:v>
                </c:pt>
                <c:pt idx="89">
                  <c:v>124</c:v>
                </c:pt>
                <c:pt idx="90">
                  <c:v>124.800003051758</c:v>
                </c:pt>
                <c:pt idx="91">
                  <c:v>129.10000610351599</c:v>
                </c:pt>
                <c:pt idx="92">
                  <c:v>132.10000610351599</c:v>
                </c:pt>
                <c:pt idx="93">
                  <c:v>136.30000305175801</c:v>
                </c:pt>
                <c:pt idx="94">
                  <c:v>140.60000610351599</c:v>
                </c:pt>
                <c:pt idx="95">
                  <c:v>141.60000610351599</c:v>
                </c:pt>
                <c:pt idx="96">
                  <c:v>144.80000305175801</c:v>
                </c:pt>
                <c:pt idx="97">
                  <c:v>148.19999694824199</c:v>
                </c:pt>
                <c:pt idx="98">
                  <c:v>153.80000305175801</c:v>
                </c:pt>
                <c:pt idx="99">
                  <c:v>155.10000610351599</c:v>
                </c:pt>
                <c:pt idx="100">
                  <c:v>157</c:v>
                </c:pt>
                <c:pt idx="101">
                  <c:v>162.39999389648401</c:v>
                </c:pt>
                <c:pt idx="102">
                  <c:v>170.10000610351599</c:v>
                </c:pt>
                <c:pt idx="103">
                  <c:v>172.69999694824199</c:v>
                </c:pt>
                <c:pt idx="104">
                  <c:v>172.69999694824199</c:v>
                </c:pt>
                <c:pt idx="105">
                  <c:v>173.30000305175801</c:v>
                </c:pt>
                <c:pt idx="106">
                  <c:v>174.5</c:v>
                </c:pt>
                <c:pt idx="107">
                  <c:v>176.19999694824199</c:v>
                </c:pt>
                <c:pt idx="108">
                  <c:v>180.19999694824199</c:v>
                </c:pt>
                <c:pt idx="109">
                  <c:v>185.39999389648401</c:v>
                </c:pt>
                <c:pt idx="110">
                  <c:v>188.80000305175801</c:v>
                </c:pt>
                <c:pt idx="111">
                  <c:v>192.19999694824199</c:v>
                </c:pt>
                <c:pt idx="112">
                  <c:v>196.19999694824199</c:v>
                </c:pt>
                <c:pt idx="113">
                  <c:v>197.19999694824199</c:v>
                </c:pt>
                <c:pt idx="114">
                  <c:v>199</c:v>
                </c:pt>
                <c:pt idx="115">
                  <c:v>200.69999694824199</c:v>
                </c:pt>
                <c:pt idx="116">
                  <c:v>201</c:v>
                </c:pt>
                <c:pt idx="117">
                  <c:v>202.5</c:v>
                </c:pt>
                <c:pt idx="118">
                  <c:v>202.5</c:v>
                </c:pt>
                <c:pt idx="119">
                  <c:v>207.69999694824199</c:v>
                </c:pt>
                <c:pt idx="120">
                  <c:v>211.10000610351599</c:v>
                </c:pt>
                <c:pt idx="121">
                  <c:v>212</c:v>
                </c:pt>
                <c:pt idx="122">
                  <c:v>213.30000305175801</c:v>
                </c:pt>
                <c:pt idx="123">
                  <c:v>214.60000610351599</c:v>
                </c:pt>
                <c:pt idx="124">
                  <c:v>215.60000610351599</c:v>
                </c:pt>
                <c:pt idx="125">
                  <c:v>216.69999694824199</c:v>
                </c:pt>
                <c:pt idx="126">
                  <c:v>218.10000610351599</c:v>
                </c:pt>
                <c:pt idx="127">
                  <c:v>219.80000305175801</c:v>
                </c:pt>
                <c:pt idx="128">
                  <c:v>223</c:v>
                </c:pt>
                <c:pt idx="129">
                  <c:v>225</c:v>
                </c:pt>
                <c:pt idx="130">
                  <c:v>229.69999694824199</c:v>
                </c:pt>
                <c:pt idx="131">
                  <c:v>230.19999694824199</c:v>
                </c:pt>
                <c:pt idx="132">
                  <c:v>230.19999694824199</c:v>
                </c:pt>
                <c:pt idx="133">
                  <c:v>230.19999694824199</c:v>
                </c:pt>
                <c:pt idx="134">
                  <c:v>231.89999389648401</c:v>
                </c:pt>
                <c:pt idx="135">
                  <c:v>233.60000610351599</c:v>
                </c:pt>
                <c:pt idx="136">
                  <c:v>239.5</c:v>
                </c:pt>
                <c:pt idx="137">
                  <c:v>244.30000305175801</c:v>
                </c:pt>
                <c:pt idx="138">
                  <c:v>248.60000610351599</c:v>
                </c:pt>
                <c:pt idx="139">
                  <c:v>250.39999389648401</c:v>
                </c:pt>
                <c:pt idx="140">
                  <c:v>253.69999694824199</c:v>
                </c:pt>
                <c:pt idx="141">
                  <c:v>255.5</c:v>
                </c:pt>
                <c:pt idx="142">
                  <c:v>260.5</c:v>
                </c:pt>
                <c:pt idx="143">
                  <c:v>261.10000610351602</c:v>
                </c:pt>
                <c:pt idx="144">
                  <c:v>263.29998779296898</c:v>
                </c:pt>
                <c:pt idx="145">
                  <c:v>265.29998779296898</c:v>
                </c:pt>
                <c:pt idx="146">
                  <c:v>266.39999389648398</c:v>
                </c:pt>
                <c:pt idx="147">
                  <c:v>268.10000610351602</c:v>
                </c:pt>
                <c:pt idx="148">
                  <c:v>268.10000610351602</c:v>
                </c:pt>
                <c:pt idx="149">
                  <c:v>269.79998779296898</c:v>
                </c:pt>
                <c:pt idx="150">
                  <c:v>271.5</c:v>
                </c:pt>
                <c:pt idx="151">
                  <c:v>272.70001220703102</c:v>
                </c:pt>
                <c:pt idx="152">
                  <c:v>273.39999389648398</c:v>
                </c:pt>
                <c:pt idx="153">
                  <c:v>277.79998779296898</c:v>
                </c:pt>
                <c:pt idx="154">
                  <c:v>280.10000610351602</c:v>
                </c:pt>
                <c:pt idx="155">
                  <c:v>281.70001220703102</c:v>
                </c:pt>
                <c:pt idx="156">
                  <c:v>281.70001220703102</c:v>
                </c:pt>
                <c:pt idx="157">
                  <c:v>292</c:v>
                </c:pt>
                <c:pt idx="158">
                  <c:v>295.29998779296898</c:v>
                </c:pt>
                <c:pt idx="159">
                  <c:v>297.79998779296898</c:v>
                </c:pt>
                <c:pt idx="160">
                  <c:v>298.70001220703102</c:v>
                </c:pt>
                <c:pt idx="161">
                  <c:v>301.10000610351602</c:v>
                </c:pt>
                <c:pt idx="162">
                  <c:v>302</c:v>
                </c:pt>
                <c:pt idx="163">
                  <c:v>303.60000610351602</c:v>
                </c:pt>
                <c:pt idx="164">
                  <c:v>304.20001220703102</c:v>
                </c:pt>
                <c:pt idx="165">
                  <c:v>308.60000610351602</c:v>
                </c:pt>
                <c:pt idx="166">
                  <c:v>308.60000610351602</c:v>
                </c:pt>
                <c:pt idx="167">
                  <c:v>308.60000610351602</c:v>
                </c:pt>
                <c:pt idx="168">
                  <c:v>310.29998779296898</c:v>
                </c:pt>
                <c:pt idx="169">
                  <c:v>312.29998779296898</c:v>
                </c:pt>
                <c:pt idx="170">
                  <c:v>320.10000610351602</c:v>
                </c:pt>
                <c:pt idx="171">
                  <c:v>325.20001220703102</c:v>
                </c:pt>
                <c:pt idx="172">
                  <c:v>340.5</c:v>
                </c:pt>
                <c:pt idx="173">
                  <c:v>345.60000610351602</c:v>
                </c:pt>
                <c:pt idx="174">
                  <c:v>351.29998779296898</c:v>
                </c:pt>
                <c:pt idx="175">
                  <c:v>354.60000610351602</c:v>
                </c:pt>
                <c:pt idx="176">
                  <c:v>358.89999389648398</c:v>
                </c:pt>
                <c:pt idx="177">
                  <c:v>361.70001220703102</c:v>
                </c:pt>
                <c:pt idx="178">
                  <c:v>366.79998779296898</c:v>
                </c:pt>
                <c:pt idx="179">
                  <c:v>368.60000610351602</c:v>
                </c:pt>
                <c:pt idx="180">
                  <c:v>372</c:v>
                </c:pt>
                <c:pt idx="181">
                  <c:v>374.79998779296898</c:v>
                </c:pt>
                <c:pt idx="182">
                  <c:v>376.5</c:v>
                </c:pt>
                <c:pt idx="183">
                  <c:v>377.70001220703102</c:v>
                </c:pt>
                <c:pt idx="184">
                  <c:v>379.10000610351602</c:v>
                </c:pt>
                <c:pt idx="185">
                  <c:v>379.10000610351602</c:v>
                </c:pt>
                <c:pt idx="186">
                  <c:v>379.29998779296898</c:v>
                </c:pt>
                <c:pt idx="187">
                  <c:v>381.89999389648398</c:v>
                </c:pt>
                <c:pt idx="188">
                  <c:v>383.70001220703102</c:v>
                </c:pt>
                <c:pt idx="189">
                  <c:v>386.39999389648398</c:v>
                </c:pt>
                <c:pt idx="190">
                  <c:v>388.20001220703102</c:v>
                </c:pt>
                <c:pt idx="191">
                  <c:v>388.29998779296898</c:v>
                </c:pt>
                <c:pt idx="192">
                  <c:v>389.60000610351602</c:v>
                </c:pt>
                <c:pt idx="193">
                  <c:v>392.39999389648398</c:v>
                </c:pt>
                <c:pt idx="194">
                  <c:v>394.29998779296898</c:v>
                </c:pt>
                <c:pt idx="195">
                  <c:v>402.89999389648398</c:v>
                </c:pt>
                <c:pt idx="196">
                  <c:v>402.79998779296898</c:v>
                </c:pt>
                <c:pt idx="197">
                  <c:v>405.29998779296898</c:v>
                </c:pt>
                <c:pt idx="198">
                  <c:v>405.89999389648398</c:v>
                </c:pt>
                <c:pt idx="199">
                  <c:v>420</c:v>
                </c:pt>
                <c:pt idx="200">
                  <c:v>425.5</c:v>
                </c:pt>
                <c:pt idx="201">
                  <c:v>431.29998779296898</c:v>
                </c:pt>
                <c:pt idx="202">
                  <c:v>432.60000610351602</c:v>
                </c:pt>
                <c:pt idx="203">
                  <c:v>433.70001220703102</c:v>
                </c:pt>
                <c:pt idx="204">
                  <c:v>434.10000610351602</c:v>
                </c:pt>
                <c:pt idx="205">
                  <c:v>435.79998779296898</c:v>
                </c:pt>
                <c:pt idx="206">
                  <c:v>437.20001220703102</c:v>
                </c:pt>
                <c:pt idx="207">
                  <c:v>439.70001220703102</c:v>
                </c:pt>
                <c:pt idx="208">
                  <c:v>441.5</c:v>
                </c:pt>
                <c:pt idx="209">
                  <c:v>441.70001220703102</c:v>
                </c:pt>
                <c:pt idx="210">
                  <c:v>448</c:v>
                </c:pt>
                <c:pt idx="211">
                  <c:v>450.60000610351602</c:v>
                </c:pt>
                <c:pt idx="212">
                  <c:v>452</c:v>
                </c:pt>
                <c:pt idx="213">
                  <c:v>453.20001220703102</c:v>
                </c:pt>
                <c:pt idx="214">
                  <c:v>455.10000610351602</c:v>
                </c:pt>
                <c:pt idx="215">
                  <c:v>456.79998779296898</c:v>
                </c:pt>
                <c:pt idx="216">
                  <c:v>458.20001220703102</c:v>
                </c:pt>
                <c:pt idx="217">
                  <c:v>458.70001220703102</c:v>
                </c:pt>
                <c:pt idx="218">
                  <c:v>458.79998779296898</c:v>
                </c:pt>
                <c:pt idx="219">
                  <c:v>459.10000610351602</c:v>
                </c:pt>
                <c:pt idx="220">
                  <c:v>459.29998779296898</c:v>
                </c:pt>
                <c:pt idx="221">
                  <c:v>459.10000610351602</c:v>
                </c:pt>
                <c:pt idx="222">
                  <c:v>460.89999389648398</c:v>
                </c:pt>
                <c:pt idx="223">
                  <c:v>461</c:v>
                </c:pt>
                <c:pt idx="224">
                  <c:v>461.10000610351602</c:v>
                </c:pt>
                <c:pt idx="225">
                  <c:v>460.5</c:v>
                </c:pt>
                <c:pt idx="226">
                  <c:v>462.10000610351602</c:v>
                </c:pt>
                <c:pt idx="227">
                  <c:v>463.79998779296898</c:v>
                </c:pt>
                <c:pt idx="228">
                  <c:v>464.20001220703102</c:v>
                </c:pt>
                <c:pt idx="229">
                  <c:v>464.70001220703102</c:v>
                </c:pt>
                <c:pt idx="230">
                  <c:v>465.60000610351602</c:v>
                </c:pt>
                <c:pt idx="231">
                  <c:v>467.29998779296898</c:v>
                </c:pt>
                <c:pt idx="232">
                  <c:v>468.70001220703102</c:v>
                </c:pt>
                <c:pt idx="233">
                  <c:v>469.79998779296898</c:v>
                </c:pt>
                <c:pt idx="234">
                  <c:v>469.89999389648398</c:v>
                </c:pt>
                <c:pt idx="235">
                  <c:v>470.60000610351602</c:v>
                </c:pt>
                <c:pt idx="236">
                  <c:v>471.20001220703102</c:v>
                </c:pt>
                <c:pt idx="237">
                  <c:v>472.20001220703102</c:v>
                </c:pt>
                <c:pt idx="238">
                  <c:v>471.70001220703102</c:v>
                </c:pt>
                <c:pt idx="239">
                  <c:v>471.79998779296898</c:v>
                </c:pt>
              </c:numCache>
            </c:numRef>
          </c:xVal>
          <c:yVal>
            <c:numRef>
              <c:f>'2'!$W$34:$W$273</c:f>
              <c:numCache>
                <c:formatCode>General</c:formatCode>
                <c:ptCount val="240"/>
                <c:pt idx="0">
                  <c:v>-0.19222000241279599</c:v>
                </c:pt>
                <c:pt idx="1">
                  <c:v>-0.192239999771118</c:v>
                </c:pt>
                <c:pt idx="2">
                  <c:v>-0.19225999712944</c:v>
                </c:pt>
                <c:pt idx="3">
                  <c:v>-0.19225999712944</c:v>
                </c:pt>
                <c:pt idx="4">
                  <c:v>-0.19227999448776201</c:v>
                </c:pt>
                <c:pt idx="5">
                  <c:v>-0.19228999316692399</c:v>
                </c:pt>
                <c:pt idx="6">
                  <c:v>-0.19230000674724601</c:v>
                </c:pt>
                <c:pt idx="7">
                  <c:v>-0.192310005426407</c:v>
                </c:pt>
                <c:pt idx="8">
                  <c:v>-0.19232000410556799</c:v>
                </c:pt>
                <c:pt idx="9">
                  <c:v>-0.19232000410556799</c:v>
                </c:pt>
                <c:pt idx="10">
                  <c:v>-0.192330002784729</c:v>
                </c:pt>
                <c:pt idx="11">
                  <c:v>-0.19234000146388999</c:v>
                </c:pt>
                <c:pt idx="12">
                  <c:v>-0.19234000146388999</c:v>
                </c:pt>
                <c:pt idx="13">
                  <c:v>-0.19236999750137301</c:v>
                </c:pt>
                <c:pt idx="14">
                  <c:v>-0.192379996180534</c:v>
                </c:pt>
                <c:pt idx="15">
                  <c:v>-0.19238999485969499</c:v>
                </c:pt>
                <c:pt idx="16">
                  <c:v>-0.19239999353885701</c:v>
                </c:pt>
                <c:pt idx="17">
                  <c:v>-0.19239999353885701</c:v>
                </c:pt>
                <c:pt idx="18">
                  <c:v>-0.19241000711917899</c:v>
                </c:pt>
                <c:pt idx="19">
                  <c:v>-0.19241000711917899</c:v>
                </c:pt>
                <c:pt idx="20">
                  <c:v>-0.19242000579834001</c:v>
                </c:pt>
                <c:pt idx="21">
                  <c:v>-0.19242000579834001</c:v>
                </c:pt>
                <c:pt idx="22">
                  <c:v>-0.192430004477501</c:v>
                </c:pt>
                <c:pt idx="23">
                  <c:v>-0.19242000579834001</c:v>
                </c:pt>
                <c:pt idx="24">
                  <c:v>-0.192430004477501</c:v>
                </c:pt>
                <c:pt idx="25">
                  <c:v>-0.19244000315666199</c:v>
                </c:pt>
                <c:pt idx="26">
                  <c:v>-0.19244000315666199</c:v>
                </c:pt>
                <c:pt idx="27">
                  <c:v>-0.19244000315666199</c:v>
                </c:pt>
                <c:pt idx="28">
                  <c:v>-0.192450001835823</c:v>
                </c:pt>
                <c:pt idx="29">
                  <c:v>-0.192450001835823</c:v>
                </c:pt>
                <c:pt idx="30">
                  <c:v>-0.192450001835823</c:v>
                </c:pt>
                <c:pt idx="31">
                  <c:v>-0.192450001835823</c:v>
                </c:pt>
                <c:pt idx="32">
                  <c:v>-0.19246000051498399</c:v>
                </c:pt>
                <c:pt idx="33">
                  <c:v>-0.19246000051498399</c:v>
                </c:pt>
                <c:pt idx="34">
                  <c:v>-0.19246999919414501</c:v>
                </c:pt>
                <c:pt idx="35">
                  <c:v>-0.19246999919414501</c:v>
                </c:pt>
                <c:pt idx="36">
                  <c:v>-0.19246999919414501</c:v>
                </c:pt>
                <c:pt idx="37">
                  <c:v>-0.19246999919414501</c:v>
                </c:pt>
                <c:pt idx="38">
                  <c:v>-0.19246999919414501</c:v>
                </c:pt>
                <c:pt idx="39">
                  <c:v>-0.19246999919414501</c:v>
                </c:pt>
                <c:pt idx="40">
                  <c:v>-0.19246999919414501</c:v>
                </c:pt>
                <c:pt idx="41">
                  <c:v>-0.19246999919414501</c:v>
                </c:pt>
                <c:pt idx="42">
                  <c:v>-0.19246000051498399</c:v>
                </c:pt>
                <c:pt idx="43">
                  <c:v>-0.19246000051498399</c:v>
                </c:pt>
                <c:pt idx="44">
                  <c:v>-0.19246000051498399</c:v>
                </c:pt>
                <c:pt idx="45">
                  <c:v>-0.192450001835823</c:v>
                </c:pt>
                <c:pt idx="46">
                  <c:v>-0.192450001835823</c:v>
                </c:pt>
                <c:pt idx="47">
                  <c:v>-0.192450001835823</c:v>
                </c:pt>
                <c:pt idx="48">
                  <c:v>-0.192450001835823</c:v>
                </c:pt>
                <c:pt idx="49">
                  <c:v>-0.19246000051498399</c:v>
                </c:pt>
                <c:pt idx="50">
                  <c:v>-0.192450001835823</c:v>
                </c:pt>
                <c:pt idx="51">
                  <c:v>-0.192450001835823</c:v>
                </c:pt>
                <c:pt idx="52">
                  <c:v>-0.19244000315666199</c:v>
                </c:pt>
                <c:pt idx="53">
                  <c:v>-0.19244000315666199</c:v>
                </c:pt>
                <c:pt idx="54">
                  <c:v>-0.19244000315666199</c:v>
                </c:pt>
                <c:pt idx="55">
                  <c:v>-0.19244000315666199</c:v>
                </c:pt>
                <c:pt idx="56">
                  <c:v>-0.192450001835823</c:v>
                </c:pt>
                <c:pt idx="57">
                  <c:v>-0.19244000315666199</c:v>
                </c:pt>
                <c:pt idx="58">
                  <c:v>-0.19244000315666199</c:v>
                </c:pt>
                <c:pt idx="59">
                  <c:v>-0.192430004477501</c:v>
                </c:pt>
                <c:pt idx="60">
                  <c:v>-0.192430004477501</c:v>
                </c:pt>
                <c:pt idx="61">
                  <c:v>-0.192430004477501</c:v>
                </c:pt>
                <c:pt idx="62">
                  <c:v>-0.19242000579834001</c:v>
                </c:pt>
                <c:pt idx="63">
                  <c:v>-0.19236999750137301</c:v>
                </c:pt>
                <c:pt idx="64">
                  <c:v>-0.19236999750137301</c:v>
                </c:pt>
                <c:pt idx="65">
                  <c:v>-0.19236999750137301</c:v>
                </c:pt>
                <c:pt idx="66">
                  <c:v>-0.19236999750137301</c:v>
                </c:pt>
                <c:pt idx="67">
                  <c:v>-0.192359998822212</c:v>
                </c:pt>
                <c:pt idx="68">
                  <c:v>-0.192359998822212</c:v>
                </c:pt>
                <c:pt idx="69">
                  <c:v>-0.19235000014305101</c:v>
                </c:pt>
                <c:pt idx="70">
                  <c:v>-0.19235000014305101</c:v>
                </c:pt>
                <c:pt idx="71">
                  <c:v>-0.19235000014305101</c:v>
                </c:pt>
                <c:pt idx="72">
                  <c:v>-0.192330002784729</c:v>
                </c:pt>
                <c:pt idx="73">
                  <c:v>-0.192330002784729</c:v>
                </c:pt>
                <c:pt idx="74">
                  <c:v>-0.19232000410556799</c:v>
                </c:pt>
                <c:pt idx="75">
                  <c:v>-0.19232000410556799</c:v>
                </c:pt>
                <c:pt idx="76">
                  <c:v>-0.192310005426407</c:v>
                </c:pt>
                <c:pt idx="77">
                  <c:v>-0.19230000674724601</c:v>
                </c:pt>
                <c:pt idx="78">
                  <c:v>-0.19230000674724601</c:v>
                </c:pt>
                <c:pt idx="79">
                  <c:v>-0.19228999316692399</c:v>
                </c:pt>
                <c:pt idx="80">
                  <c:v>-0.19227999448776201</c:v>
                </c:pt>
                <c:pt idx="81">
                  <c:v>-0.19225999712944</c:v>
                </c:pt>
                <c:pt idx="82">
                  <c:v>-0.19224999845027901</c:v>
                </c:pt>
                <c:pt idx="83">
                  <c:v>-0.192239999771118</c:v>
                </c:pt>
                <c:pt idx="84">
                  <c:v>-0.192239999771118</c:v>
                </c:pt>
                <c:pt idx="85">
                  <c:v>-0.19223000109195701</c:v>
                </c:pt>
                <c:pt idx="86">
                  <c:v>-0.19223000109195701</c:v>
                </c:pt>
                <c:pt idx="87">
                  <c:v>-0.19222000241279599</c:v>
                </c:pt>
                <c:pt idx="88">
                  <c:v>-0.192210003733635</c:v>
                </c:pt>
                <c:pt idx="89">
                  <c:v>-0.19220000505447399</c:v>
                </c:pt>
                <c:pt idx="90">
                  <c:v>-0.192190006375313</c:v>
                </c:pt>
                <c:pt idx="91">
                  <c:v>-0.19217999279499101</c:v>
                </c:pt>
                <c:pt idx="92">
                  <c:v>-0.19217999279499101</c:v>
                </c:pt>
                <c:pt idx="93">
                  <c:v>-0.19215999543666801</c:v>
                </c:pt>
                <c:pt idx="94">
                  <c:v>-0.192139998078346</c:v>
                </c:pt>
                <c:pt idx="95">
                  <c:v>-0.192120000720024</c:v>
                </c:pt>
                <c:pt idx="96">
                  <c:v>-0.192090004682541</c:v>
                </c:pt>
                <c:pt idx="97">
                  <c:v>-0.19208000600337999</c:v>
                </c:pt>
                <c:pt idx="98">
                  <c:v>-0.19200000166893</c:v>
                </c:pt>
                <c:pt idx="99">
                  <c:v>-0.19199000298976901</c:v>
                </c:pt>
                <c:pt idx="100">
                  <c:v>-0.19198000431060799</c:v>
                </c:pt>
                <c:pt idx="101">
                  <c:v>-0.19196000695228599</c:v>
                </c:pt>
                <c:pt idx="102">
                  <c:v>-0.19186000525951399</c:v>
                </c:pt>
                <c:pt idx="103">
                  <c:v>-0.19181999564170801</c:v>
                </c:pt>
                <c:pt idx="104">
                  <c:v>-0.19178999960422499</c:v>
                </c:pt>
                <c:pt idx="105">
                  <c:v>-0.19177000224590299</c:v>
                </c:pt>
                <c:pt idx="106">
                  <c:v>-0.19177000224590299</c:v>
                </c:pt>
                <c:pt idx="107">
                  <c:v>-0.19175000488758101</c:v>
                </c:pt>
                <c:pt idx="108">
                  <c:v>-0.19171999394893599</c:v>
                </c:pt>
                <c:pt idx="109">
                  <c:v>-0.19166000187397</c:v>
                </c:pt>
                <c:pt idx="110">
                  <c:v>-0.191589996218681</c:v>
                </c:pt>
                <c:pt idx="111">
                  <c:v>-0.191520005464554</c:v>
                </c:pt>
                <c:pt idx="112">
                  <c:v>-0.191449999809265</c:v>
                </c:pt>
                <c:pt idx="113">
                  <c:v>-0.191379994153976</c:v>
                </c:pt>
                <c:pt idx="114">
                  <c:v>-0.191330000758171</c:v>
                </c:pt>
                <c:pt idx="115">
                  <c:v>-0.191280007362366</c:v>
                </c:pt>
                <c:pt idx="116">
                  <c:v>-0.19124999642372101</c:v>
                </c:pt>
                <c:pt idx="117">
                  <c:v>-0.191210001707077</c:v>
                </c:pt>
                <c:pt idx="118">
                  <c:v>-0.19118000566959401</c:v>
                </c:pt>
                <c:pt idx="119">
                  <c:v>-0.19107000529766099</c:v>
                </c:pt>
                <c:pt idx="120">
                  <c:v>-0.19100999832153301</c:v>
                </c:pt>
                <c:pt idx="121">
                  <c:v>-0.19096000492572801</c:v>
                </c:pt>
                <c:pt idx="122">
                  <c:v>-0.19090999662876099</c:v>
                </c:pt>
                <c:pt idx="123">
                  <c:v>-0.190850004553795</c:v>
                </c:pt>
                <c:pt idx="124">
                  <c:v>-0.190799996256828</c:v>
                </c:pt>
                <c:pt idx="125">
                  <c:v>-0.19076000154018399</c:v>
                </c:pt>
                <c:pt idx="126">
                  <c:v>-0.19072000682354001</c:v>
                </c:pt>
                <c:pt idx="127">
                  <c:v>-0.19066999852657299</c:v>
                </c:pt>
                <c:pt idx="128">
                  <c:v>-0.190439999103546</c:v>
                </c:pt>
                <c:pt idx="129">
                  <c:v>-0.190420001745224</c:v>
                </c:pt>
                <c:pt idx="130">
                  <c:v>-0.190200001001358</c:v>
                </c:pt>
                <c:pt idx="131">
                  <c:v>-0.19016000628471399</c:v>
                </c:pt>
                <c:pt idx="132">
                  <c:v>-0.190109997987747</c:v>
                </c:pt>
                <c:pt idx="133">
                  <c:v>-0.190080001950264</c:v>
                </c:pt>
                <c:pt idx="134">
                  <c:v>-0.19007000327110299</c:v>
                </c:pt>
                <c:pt idx="135">
                  <c:v>-0.190009996294975</c:v>
                </c:pt>
                <c:pt idx="136">
                  <c:v>-0.18949000537395499</c:v>
                </c:pt>
                <c:pt idx="137">
                  <c:v>-0.189270004630089</c:v>
                </c:pt>
                <c:pt idx="138">
                  <c:v>-0.18880000710487399</c:v>
                </c:pt>
                <c:pt idx="139">
                  <c:v>-0.188769996166229</c:v>
                </c:pt>
                <c:pt idx="140">
                  <c:v>-0.18853999674320199</c:v>
                </c:pt>
                <c:pt idx="141">
                  <c:v>-0.18827000260353099</c:v>
                </c:pt>
                <c:pt idx="142">
                  <c:v>-0.187930002808571</c:v>
                </c:pt>
                <c:pt idx="143">
                  <c:v>-0.18786999583244299</c:v>
                </c:pt>
                <c:pt idx="144">
                  <c:v>-0.18764999508857699</c:v>
                </c:pt>
                <c:pt idx="145">
                  <c:v>-0.18741999566555001</c:v>
                </c:pt>
                <c:pt idx="146">
                  <c:v>-0.187209993600845</c:v>
                </c:pt>
                <c:pt idx="147">
                  <c:v>-0.18716999888420099</c:v>
                </c:pt>
                <c:pt idx="148">
                  <c:v>-0.18711000680923501</c:v>
                </c:pt>
                <c:pt idx="149">
                  <c:v>-0.18685999512672399</c:v>
                </c:pt>
                <c:pt idx="150">
                  <c:v>-0.18661999702453599</c:v>
                </c:pt>
                <c:pt idx="151">
                  <c:v>-0.18659999966621399</c:v>
                </c:pt>
                <c:pt idx="152">
                  <c:v>-0.18637000024318701</c:v>
                </c:pt>
                <c:pt idx="153">
                  <c:v>-0.185749992728233</c:v>
                </c:pt>
                <c:pt idx="154">
                  <c:v>-0.18547999858856201</c:v>
                </c:pt>
                <c:pt idx="155">
                  <c:v>-0.185230001807213</c:v>
                </c:pt>
                <c:pt idx="156">
                  <c:v>-0.18521000444889099</c:v>
                </c:pt>
                <c:pt idx="157">
                  <c:v>-0.18333999812603</c:v>
                </c:pt>
                <c:pt idx="158">
                  <c:v>-0.182879999279976</c:v>
                </c:pt>
                <c:pt idx="159">
                  <c:v>-0.18229000270366699</c:v>
                </c:pt>
                <c:pt idx="160">
                  <c:v>-0.182070001959801</c:v>
                </c:pt>
                <c:pt idx="161">
                  <c:v>-0.181539997458458</c:v>
                </c:pt>
                <c:pt idx="162">
                  <c:v>-0.18129999935627</c:v>
                </c:pt>
                <c:pt idx="163">
                  <c:v>-0.180989995598793</c:v>
                </c:pt>
                <c:pt idx="164">
                  <c:v>-0.18095000088214899</c:v>
                </c:pt>
                <c:pt idx="165">
                  <c:v>-0.179839998483658</c:v>
                </c:pt>
                <c:pt idx="166">
                  <c:v>-0.17978000640869099</c:v>
                </c:pt>
                <c:pt idx="167">
                  <c:v>-0.17953999340534199</c:v>
                </c:pt>
                <c:pt idx="168">
                  <c:v>-0.179289996623993</c:v>
                </c:pt>
                <c:pt idx="169">
                  <c:v>-0.178529992699623</c:v>
                </c:pt>
                <c:pt idx="170">
                  <c:v>-0.17626999318599701</c:v>
                </c:pt>
                <c:pt idx="171">
                  <c:v>-0.174649998545647</c:v>
                </c:pt>
                <c:pt idx="172">
                  <c:v>-0.167899996042252</c:v>
                </c:pt>
                <c:pt idx="173">
                  <c:v>-0.165529996156693</c:v>
                </c:pt>
                <c:pt idx="174">
                  <c:v>-0.162900000810623</c:v>
                </c:pt>
                <c:pt idx="175">
                  <c:v>-0.16090999543666801</c:v>
                </c:pt>
                <c:pt idx="176">
                  <c:v>-0.15855999290943101</c:v>
                </c:pt>
                <c:pt idx="177">
                  <c:v>-0.155719995498657</c:v>
                </c:pt>
                <c:pt idx="178">
                  <c:v>-0.15241000056266801</c:v>
                </c:pt>
                <c:pt idx="179">
                  <c:v>-0.15084999799728399</c:v>
                </c:pt>
                <c:pt idx="180">
                  <c:v>-0.14880000054836301</c:v>
                </c:pt>
                <c:pt idx="181">
                  <c:v>-0.14640000462531999</c:v>
                </c:pt>
                <c:pt idx="182">
                  <c:v>-0.144909992814064</c:v>
                </c:pt>
                <c:pt idx="183">
                  <c:v>-0.14358000457286799</c:v>
                </c:pt>
                <c:pt idx="184">
                  <c:v>-0.14221000671386699</c:v>
                </c:pt>
                <c:pt idx="185">
                  <c:v>-0.14221000671386699</c:v>
                </c:pt>
                <c:pt idx="186">
                  <c:v>-0.14167000353336301</c:v>
                </c:pt>
                <c:pt idx="187">
                  <c:v>-0.139740005135536</c:v>
                </c:pt>
                <c:pt idx="188">
                  <c:v>-0.13793000578880299</c:v>
                </c:pt>
                <c:pt idx="189">
                  <c:v>-0.13499000668525701</c:v>
                </c:pt>
                <c:pt idx="190">
                  <c:v>-0.13332000374794001</c:v>
                </c:pt>
                <c:pt idx="191">
                  <c:v>-0.13276000320911399</c:v>
                </c:pt>
                <c:pt idx="192">
                  <c:v>-0.13134999573230699</c:v>
                </c:pt>
                <c:pt idx="193">
                  <c:v>-0.12906000018119801</c:v>
                </c:pt>
                <c:pt idx="194">
                  <c:v>-0.12678000330924999</c:v>
                </c:pt>
                <c:pt idx="195">
                  <c:v>-0.116049997508526</c:v>
                </c:pt>
                <c:pt idx="196">
                  <c:v>-0.116049997508526</c:v>
                </c:pt>
                <c:pt idx="197">
                  <c:v>-0.11345999687910099</c:v>
                </c:pt>
                <c:pt idx="198">
                  <c:v>-0.11223000288009601</c:v>
                </c:pt>
                <c:pt idx="199">
                  <c:v>-9.0810000896453899E-2</c:v>
                </c:pt>
                <c:pt idx="200">
                  <c:v>-8.0799996852874797E-2</c:v>
                </c:pt>
                <c:pt idx="201">
                  <c:v>-7.1910001337528201E-2</c:v>
                </c:pt>
                <c:pt idx="202">
                  <c:v>-6.9239996373653398E-2</c:v>
                </c:pt>
                <c:pt idx="203">
                  <c:v>-6.7249998450279194E-2</c:v>
                </c:pt>
                <c:pt idx="204">
                  <c:v>-6.6200003027915996E-2</c:v>
                </c:pt>
                <c:pt idx="205">
                  <c:v>-6.1919998377561597E-2</c:v>
                </c:pt>
                <c:pt idx="206">
                  <c:v>-5.9399999678134897E-2</c:v>
                </c:pt>
                <c:pt idx="207">
                  <c:v>-5.3589999675750698E-2</c:v>
                </c:pt>
                <c:pt idx="208">
                  <c:v>-5.0930000841617598E-2</c:v>
                </c:pt>
                <c:pt idx="209">
                  <c:v>-4.9959998577833203E-2</c:v>
                </c:pt>
                <c:pt idx="210">
                  <c:v>-3.5250000655651099E-2</c:v>
                </c:pt>
                <c:pt idx="211">
                  <c:v>-3.0120000243186999E-2</c:v>
                </c:pt>
                <c:pt idx="212">
                  <c:v>-2.7230000123381601E-2</c:v>
                </c:pt>
                <c:pt idx="213">
                  <c:v>-2.4049999192357101E-2</c:v>
                </c:pt>
                <c:pt idx="214">
                  <c:v>-1.6529999673366502E-2</c:v>
                </c:pt>
                <c:pt idx="215">
                  <c:v>-1.4809999614954E-2</c:v>
                </c:pt>
                <c:pt idx="216">
                  <c:v>-9.9799996241927095E-3</c:v>
                </c:pt>
                <c:pt idx="217">
                  <c:v>-8.6000002920627594E-3</c:v>
                </c:pt>
                <c:pt idx="218">
                  <c:v>-7.1200001984834697E-3</c:v>
                </c:pt>
                <c:pt idx="219">
                  <c:v>-5.4100002162158498E-3</c:v>
                </c:pt>
                <c:pt idx="220">
                  <c:v>-5.3500002250075297E-3</c:v>
                </c:pt>
                <c:pt idx="221">
                  <c:v>-4.69999993219972E-3</c:v>
                </c:pt>
                <c:pt idx="222">
                  <c:v>-2.0099999383091901E-3</c:v>
                </c:pt>
                <c:pt idx="223">
                  <c:v>-2.0099999383091901E-3</c:v>
                </c:pt>
                <c:pt idx="224">
                  <c:v>-1.47999997716397E-3</c:v>
                </c:pt>
                <c:pt idx="225">
                  <c:v>-5.6000001495704098E-4</c:v>
                </c:pt>
                <c:pt idx="226">
                  <c:v>3.1500000040978202E-3</c:v>
                </c:pt>
                <c:pt idx="227">
                  <c:v>4.4900001958012598E-3</c:v>
                </c:pt>
                <c:pt idx="228">
                  <c:v>4.7699999995529704E-3</c:v>
                </c:pt>
                <c:pt idx="229">
                  <c:v>7.6899998821318098E-3</c:v>
                </c:pt>
                <c:pt idx="230">
                  <c:v>9.4400001689791697E-3</c:v>
                </c:pt>
                <c:pt idx="231">
                  <c:v>1.47599996998906E-2</c:v>
                </c:pt>
                <c:pt idx="232">
                  <c:v>1.7790000885725001E-2</c:v>
                </c:pt>
                <c:pt idx="233">
                  <c:v>2.1190000697970401E-2</c:v>
                </c:pt>
                <c:pt idx="234">
                  <c:v>2.1229999139905E-2</c:v>
                </c:pt>
                <c:pt idx="235">
                  <c:v>2.3259999230504001E-2</c:v>
                </c:pt>
                <c:pt idx="236">
                  <c:v>2.4709999561309801E-2</c:v>
                </c:pt>
                <c:pt idx="237">
                  <c:v>2.8200000524520898E-2</c:v>
                </c:pt>
                <c:pt idx="238">
                  <c:v>2.6399999856948901E-2</c:v>
                </c:pt>
                <c:pt idx="239">
                  <c:v>2.6790000498294799E-2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8B2-4B73-892A-D428728E043A}"/>
            </c:ext>
          </c:extLst>
        </c:ser>
        <c:ser>
          <c:idx val="5"/>
          <c:order val="5"/>
          <c:tx>
            <c:v>Pomiar 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'2'!$AA$34:$AA$191</c:f>
                <c:numCache>
                  <c:formatCode>General</c:formatCode>
                  <c:ptCount val="158"/>
                  <c:pt idx="0">
                    <c:v>-7.350000000000001E-2</c:v>
                  </c:pt>
                  <c:pt idx="1">
                    <c:v>-6.9600000000000009E-2</c:v>
                  </c:pt>
                  <c:pt idx="2">
                    <c:v>-6.5700000000000008E-2</c:v>
                  </c:pt>
                  <c:pt idx="3">
                    <c:v>-5.8800000000000005E-2</c:v>
                  </c:pt>
                  <c:pt idx="4">
                    <c:v>-5.0800000000000005E-2</c:v>
                  </c:pt>
                  <c:pt idx="5">
                    <c:v>-4.7200000000000006E-2</c:v>
                  </c:pt>
                  <c:pt idx="6">
                    <c:v>-4.2000000000000003E-2</c:v>
                  </c:pt>
                  <c:pt idx="7">
                    <c:v>-3.9E-2</c:v>
                  </c:pt>
                  <c:pt idx="8">
                    <c:v>6.0000000000000006E-4</c:v>
                  </c:pt>
                  <c:pt idx="9">
                    <c:v>-3.2800000000000003E-2</c:v>
                  </c:pt>
                  <c:pt idx="10">
                    <c:v>-2.9499999999999998E-2</c:v>
                  </c:pt>
                  <c:pt idx="11">
                    <c:v>-2.6800000000000001E-2</c:v>
                  </c:pt>
                  <c:pt idx="12">
                    <c:v>-1.7299999999999999E-2</c:v>
                  </c:pt>
                  <c:pt idx="13">
                    <c:v>-1.61E-2</c:v>
                  </c:pt>
                  <c:pt idx="14">
                    <c:v>-8.9999999999999993E-3</c:v>
                  </c:pt>
                  <c:pt idx="15">
                    <c:v>-2.9999999999999996E-3</c:v>
                  </c:pt>
                  <c:pt idx="16">
                    <c:v>1.2499999999999999E-2</c:v>
                  </c:pt>
                  <c:pt idx="17">
                    <c:v>1.6399999999999998E-2</c:v>
                  </c:pt>
                  <c:pt idx="18">
                    <c:v>1.7999999999999999E-2</c:v>
                  </c:pt>
                  <c:pt idx="19">
                    <c:v>2.0199999999999999E-2</c:v>
                  </c:pt>
                  <c:pt idx="20">
                    <c:v>2.12E-2</c:v>
                  </c:pt>
                  <c:pt idx="21">
                    <c:v>2.53E-2</c:v>
                  </c:pt>
                  <c:pt idx="22">
                    <c:v>2.7699999999999999E-2</c:v>
                  </c:pt>
                  <c:pt idx="23">
                    <c:v>2.98E-2</c:v>
                  </c:pt>
                  <c:pt idx="24">
                    <c:v>3.3300000000000003E-2</c:v>
                  </c:pt>
                  <c:pt idx="25">
                    <c:v>3.61E-2</c:v>
                  </c:pt>
                  <c:pt idx="26">
                    <c:v>3.9900000000000005E-2</c:v>
                  </c:pt>
                  <c:pt idx="27">
                    <c:v>4.8500000000000001E-2</c:v>
                  </c:pt>
                  <c:pt idx="28">
                    <c:v>5.0900000000000001E-2</c:v>
                  </c:pt>
                  <c:pt idx="29">
                    <c:v>6.6900000000000001E-2</c:v>
                  </c:pt>
                  <c:pt idx="30">
                    <c:v>6.9699999999999998E-2</c:v>
                  </c:pt>
                  <c:pt idx="31">
                    <c:v>7.2500000000000009E-2</c:v>
                  </c:pt>
                  <c:pt idx="32">
                    <c:v>7.4900000000000008E-2</c:v>
                  </c:pt>
                  <c:pt idx="33">
                    <c:v>9.0300000000000005E-2</c:v>
                  </c:pt>
                  <c:pt idx="34">
                    <c:v>9.5200000000000007E-2</c:v>
                  </c:pt>
                  <c:pt idx="35">
                    <c:v>0.10010000000000001</c:v>
                  </c:pt>
                  <c:pt idx="36">
                    <c:v>0.1046</c:v>
                  </c:pt>
                  <c:pt idx="37">
                    <c:v>0.1065</c:v>
                  </c:pt>
                  <c:pt idx="38">
                    <c:v>0.10830000000000001</c:v>
                  </c:pt>
                  <c:pt idx="39">
                    <c:v>0.11030000000000001</c:v>
                  </c:pt>
                  <c:pt idx="40">
                    <c:v>0.1113</c:v>
                  </c:pt>
                  <c:pt idx="41">
                    <c:v>0.11270000000000001</c:v>
                  </c:pt>
                  <c:pt idx="42">
                    <c:v>0.11510000000000001</c:v>
                  </c:pt>
                  <c:pt idx="43">
                    <c:v>0.11610000000000001</c:v>
                  </c:pt>
                  <c:pt idx="44">
                    <c:v>0.12000000000000001</c:v>
                  </c:pt>
                  <c:pt idx="45">
                    <c:v>0.121</c:v>
                  </c:pt>
                  <c:pt idx="46">
                    <c:v>0.1221</c:v>
                  </c:pt>
                  <c:pt idx="47">
                    <c:v>0.12430000000000001</c:v>
                  </c:pt>
                  <c:pt idx="48">
                    <c:v>0.13289999999999999</c:v>
                  </c:pt>
                  <c:pt idx="49">
                    <c:v>0.1333</c:v>
                  </c:pt>
                  <c:pt idx="50">
                    <c:v>0.13469999999999999</c:v>
                  </c:pt>
                  <c:pt idx="51">
                    <c:v>0.13589999999999999</c:v>
                  </c:pt>
                  <c:pt idx="52">
                    <c:v>0.13719999999999999</c:v>
                  </c:pt>
                  <c:pt idx="53">
                    <c:v>0.1396</c:v>
                  </c:pt>
                  <c:pt idx="54">
                    <c:v>0.14099999999999999</c:v>
                  </c:pt>
                  <c:pt idx="55">
                    <c:v>0.14409999999999998</c:v>
                  </c:pt>
                  <c:pt idx="56">
                    <c:v>0.1472</c:v>
                  </c:pt>
                  <c:pt idx="57">
                    <c:v>0.14849999999999999</c:v>
                  </c:pt>
                  <c:pt idx="58">
                    <c:v>0.1492</c:v>
                  </c:pt>
                  <c:pt idx="59">
                    <c:v>0.15209999999999999</c:v>
                  </c:pt>
                  <c:pt idx="60">
                    <c:v>0.1535</c:v>
                  </c:pt>
                  <c:pt idx="61">
                    <c:v>0.15559999999999999</c:v>
                  </c:pt>
                  <c:pt idx="62">
                    <c:v>0.1593</c:v>
                  </c:pt>
                  <c:pt idx="63">
                    <c:v>0.16319999999999998</c:v>
                  </c:pt>
                  <c:pt idx="64">
                    <c:v>0.16649999999999998</c:v>
                  </c:pt>
                  <c:pt idx="65">
                    <c:v>0.17479999999999998</c:v>
                  </c:pt>
                  <c:pt idx="66">
                    <c:v>0.17509999999999998</c:v>
                  </c:pt>
                  <c:pt idx="67">
                    <c:v>0.17609999999999998</c:v>
                  </c:pt>
                  <c:pt idx="68">
                    <c:v>0.17729999999999999</c:v>
                  </c:pt>
                  <c:pt idx="69">
                    <c:v>0.18329999999999999</c:v>
                  </c:pt>
                  <c:pt idx="70">
                    <c:v>0.18489999999999998</c:v>
                  </c:pt>
                  <c:pt idx="71">
                    <c:v>0.1875</c:v>
                  </c:pt>
                  <c:pt idx="72">
                    <c:v>0.18969999999999998</c:v>
                  </c:pt>
                  <c:pt idx="73">
                    <c:v>0.19439999999999999</c:v>
                  </c:pt>
                  <c:pt idx="74">
                    <c:v>0.1956</c:v>
                  </c:pt>
                  <c:pt idx="75">
                    <c:v>0.19599999999999998</c:v>
                  </c:pt>
                  <c:pt idx="76">
                    <c:v>0.19689999999999999</c:v>
                  </c:pt>
                  <c:pt idx="77">
                    <c:v>0.19699999999999998</c:v>
                  </c:pt>
                  <c:pt idx="78">
                    <c:v>0.19699999999999998</c:v>
                  </c:pt>
                  <c:pt idx="79">
                    <c:v>0.19699999999999998</c:v>
                  </c:pt>
                  <c:pt idx="80">
                    <c:v>0.19699999999999998</c:v>
                  </c:pt>
                  <c:pt idx="81">
                    <c:v>0.19699999999999998</c:v>
                  </c:pt>
                  <c:pt idx="82">
                    <c:v>0.19699999999999998</c:v>
                  </c:pt>
                  <c:pt idx="83">
                    <c:v>0.19699999999999998</c:v>
                  </c:pt>
                  <c:pt idx="84">
                    <c:v>0.19839999999999999</c:v>
                  </c:pt>
                  <c:pt idx="85">
                    <c:v>0.19839999999999999</c:v>
                  </c:pt>
                  <c:pt idx="86">
                    <c:v>0.19989999999999999</c:v>
                  </c:pt>
                  <c:pt idx="87">
                    <c:v>0.20129999999999998</c:v>
                  </c:pt>
                  <c:pt idx="88">
                    <c:v>0.2029</c:v>
                  </c:pt>
                  <c:pt idx="89">
                    <c:v>0.20929999999999999</c:v>
                  </c:pt>
                  <c:pt idx="90">
                    <c:v>0.2117</c:v>
                  </c:pt>
                  <c:pt idx="91">
                    <c:v>0.21459999999999999</c:v>
                  </c:pt>
                  <c:pt idx="92">
                    <c:v>0.21719999999999998</c:v>
                  </c:pt>
                  <c:pt idx="93">
                    <c:v>0.21919999999999998</c:v>
                  </c:pt>
                  <c:pt idx="94">
                    <c:v>0.2218</c:v>
                  </c:pt>
                  <c:pt idx="95">
                    <c:v>0.22259999999999999</c:v>
                  </c:pt>
                  <c:pt idx="96">
                    <c:v>0.2266</c:v>
                  </c:pt>
                  <c:pt idx="97">
                    <c:v>0.2311</c:v>
                  </c:pt>
                  <c:pt idx="98">
                    <c:v>0.23609999999999998</c:v>
                  </c:pt>
                  <c:pt idx="99">
                    <c:v>0.24089999999999998</c:v>
                  </c:pt>
                  <c:pt idx="100">
                    <c:v>0.24209999999999998</c:v>
                  </c:pt>
                  <c:pt idx="101">
                    <c:v>0.25390000000000001</c:v>
                  </c:pt>
                  <c:pt idx="102">
                    <c:v>0.2581</c:v>
                  </c:pt>
                  <c:pt idx="103">
                    <c:v>0.26450000000000001</c:v>
                  </c:pt>
                  <c:pt idx="104">
                    <c:v>0.26569999999999999</c:v>
                  </c:pt>
                  <c:pt idx="105">
                    <c:v>0.27529999999999999</c:v>
                  </c:pt>
                  <c:pt idx="106">
                    <c:v>0.27799999999999997</c:v>
                  </c:pt>
                  <c:pt idx="107">
                    <c:v>0.28270000000000001</c:v>
                  </c:pt>
                  <c:pt idx="108">
                    <c:v>0.2858</c:v>
                  </c:pt>
                  <c:pt idx="109">
                    <c:v>0.28889999999999999</c:v>
                  </c:pt>
                  <c:pt idx="110">
                    <c:v>0.29299999999999998</c:v>
                  </c:pt>
                  <c:pt idx="111">
                    <c:v>0.29709999999999998</c:v>
                  </c:pt>
                  <c:pt idx="112">
                    <c:v>0.29930000000000001</c:v>
                  </c:pt>
                  <c:pt idx="113">
                    <c:v>0.30030000000000001</c:v>
                  </c:pt>
                  <c:pt idx="114">
                    <c:v>0.30330000000000001</c:v>
                  </c:pt>
                  <c:pt idx="115">
                    <c:v>0.30769999999999997</c:v>
                  </c:pt>
                  <c:pt idx="116">
                    <c:v>0.30890000000000001</c:v>
                  </c:pt>
                  <c:pt idx="117">
                    <c:v>0.312</c:v>
                  </c:pt>
                  <c:pt idx="118">
                    <c:v>0.3135</c:v>
                  </c:pt>
                  <c:pt idx="119">
                    <c:v>0.31690000000000002</c:v>
                  </c:pt>
                  <c:pt idx="120">
                    <c:v>0.31769999999999998</c:v>
                  </c:pt>
                  <c:pt idx="121">
                    <c:v>0.31889999999999996</c:v>
                  </c:pt>
                  <c:pt idx="122">
                    <c:v>0.3201</c:v>
                  </c:pt>
                  <c:pt idx="123">
                    <c:v>0.32019999999999998</c:v>
                  </c:pt>
                  <c:pt idx="124">
                    <c:v>0.3201</c:v>
                  </c:pt>
                  <c:pt idx="125">
                    <c:v>0.32</c:v>
                  </c:pt>
                  <c:pt idx="126">
                    <c:v>0.3201</c:v>
                  </c:pt>
                  <c:pt idx="127">
                    <c:v>0.3201</c:v>
                  </c:pt>
                  <c:pt idx="128">
                    <c:v>0.32019999999999998</c:v>
                  </c:pt>
                  <c:pt idx="129">
                    <c:v>0.3201</c:v>
                  </c:pt>
                  <c:pt idx="130">
                    <c:v>0.32050000000000001</c:v>
                  </c:pt>
                  <c:pt idx="131">
                    <c:v>0.32300000000000001</c:v>
                  </c:pt>
                  <c:pt idx="132">
                    <c:v>0.32329999999999998</c:v>
                  </c:pt>
                  <c:pt idx="133">
                    <c:v>0.3256</c:v>
                  </c:pt>
                  <c:pt idx="134">
                    <c:v>0.3276</c:v>
                  </c:pt>
                  <c:pt idx="135">
                    <c:v>0.32969999999999999</c:v>
                  </c:pt>
                  <c:pt idx="136">
                    <c:v>0.33179999999999998</c:v>
                  </c:pt>
                  <c:pt idx="137">
                    <c:v>0.33189999999999997</c:v>
                  </c:pt>
                  <c:pt idx="138">
                    <c:v>0.33399999999999996</c:v>
                  </c:pt>
                  <c:pt idx="139">
                    <c:v>0.33410000000000001</c:v>
                  </c:pt>
                  <c:pt idx="140">
                    <c:v>0.33499999999999996</c:v>
                  </c:pt>
                  <c:pt idx="141">
                    <c:v>0.3382</c:v>
                  </c:pt>
                  <c:pt idx="142">
                    <c:v>0.34099999999999997</c:v>
                  </c:pt>
                  <c:pt idx="143">
                    <c:v>0.34770000000000001</c:v>
                  </c:pt>
                  <c:pt idx="144">
                    <c:v>0.35109999999999997</c:v>
                  </c:pt>
                  <c:pt idx="145">
                    <c:v>0.3523</c:v>
                  </c:pt>
                  <c:pt idx="146">
                    <c:v>0.3548</c:v>
                  </c:pt>
                  <c:pt idx="147">
                    <c:v>0.35730000000000001</c:v>
                  </c:pt>
                  <c:pt idx="148">
                    <c:v>0.36030000000000001</c:v>
                  </c:pt>
                  <c:pt idx="149">
                    <c:v>0.3619</c:v>
                  </c:pt>
                  <c:pt idx="150">
                    <c:v>0.36299999999999999</c:v>
                  </c:pt>
                  <c:pt idx="151">
                    <c:v>0.36509999999999998</c:v>
                  </c:pt>
                  <c:pt idx="152">
                    <c:v>0.3654</c:v>
                  </c:pt>
                  <c:pt idx="153">
                    <c:v>0.36580000000000001</c:v>
                  </c:pt>
                  <c:pt idx="154">
                    <c:v>0.36659999999999998</c:v>
                  </c:pt>
                  <c:pt idx="155">
                    <c:v>0.36749999999999999</c:v>
                  </c:pt>
                  <c:pt idx="156">
                    <c:v>0.36840000000000001</c:v>
                  </c:pt>
                  <c:pt idx="157">
                    <c:v>0.36840000000000001</c:v>
                  </c:pt>
                </c:numCache>
              </c:numRef>
            </c:plus>
            <c:minus>
              <c:numRef>
                <c:f>'2'!$AA$34:$AA$191</c:f>
                <c:numCache>
                  <c:formatCode>General</c:formatCode>
                  <c:ptCount val="158"/>
                  <c:pt idx="0">
                    <c:v>-7.350000000000001E-2</c:v>
                  </c:pt>
                  <c:pt idx="1">
                    <c:v>-6.9600000000000009E-2</c:v>
                  </c:pt>
                  <c:pt idx="2">
                    <c:v>-6.5700000000000008E-2</c:v>
                  </c:pt>
                  <c:pt idx="3">
                    <c:v>-5.8800000000000005E-2</c:v>
                  </c:pt>
                  <c:pt idx="4">
                    <c:v>-5.0800000000000005E-2</c:v>
                  </c:pt>
                  <c:pt idx="5">
                    <c:v>-4.7200000000000006E-2</c:v>
                  </c:pt>
                  <c:pt idx="6">
                    <c:v>-4.2000000000000003E-2</c:v>
                  </c:pt>
                  <c:pt idx="7">
                    <c:v>-3.9E-2</c:v>
                  </c:pt>
                  <c:pt idx="8">
                    <c:v>6.0000000000000006E-4</c:v>
                  </c:pt>
                  <c:pt idx="9">
                    <c:v>-3.2800000000000003E-2</c:v>
                  </c:pt>
                  <c:pt idx="10">
                    <c:v>-2.9499999999999998E-2</c:v>
                  </c:pt>
                  <c:pt idx="11">
                    <c:v>-2.6800000000000001E-2</c:v>
                  </c:pt>
                  <c:pt idx="12">
                    <c:v>-1.7299999999999999E-2</c:v>
                  </c:pt>
                  <c:pt idx="13">
                    <c:v>-1.61E-2</c:v>
                  </c:pt>
                  <c:pt idx="14">
                    <c:v>-8.9999999999999993E-3</c:v>
                  </c:pt>
                  <c:pt idx="15">
                    <c:v>-2.9999999999999996E-3</c:v>
                  </c:pt>
                  <c:pt idx="16">
                    <c:v>1.2499999999999999E-2</c:v>
                  </c:pt>
                  <c:pt idx="17">
                    <c:v>1.6399999999999998E-2</c:v>
                  </c:pt>
                  <c:pt idx="18">
                    <c:v>1.7999999999999999E-2</c:v>
                  </c:pt>
                  <c:pt idx="19">
                    <c:v>2.0199999999999999E-2</c:v>
                  </c:pt>
                  <c:pt idx="20">
                    <c:v>2.12E-2</c:v>
                  </c:pt>
                  <c:pt idx="21">
                    <c:v>2.53E-2</c:v>
                  </c:pt>
                  <c:pt idx="22">
                    <c:v>2.7699999999999999E-2</c:v>
                  </c:pt>
                  <c:pt idx="23">
                    <c:v>2.98E-2</c:v>
                  </c:pt>
                  <c:pt idx="24">
                    <c:v>3.3300000000000003E-2</c:v>
                  </c:pt>
                  <c:pt idx="25">
                    <c:v>3.61E-2</c:v>
                  </c:pt>
                  <c:pt idx="26">
                    <c:v>3.9900000000000005E-2</c:v>
                  </c:pt>
                  <c:pt idx="27">
                    <c:v>4.8500000000000001E-2</c:v>
                  </c:pt>
                  <c:pt idx="28">
                    <c:v>5.0900000000000001E-2</c:v>
                  </c:pt>
                  <c:pt idx="29">
                    <c:v>6.6900000000000001E-2</c:v>
                  </c:pt>
                  <c:pt idx="30">
                    <c:v>6.9699999999999998E-2</c:v>
                  </c:pt>
                  <c:pt idx="31">
                    <c:v>7.2500000000000009E-2</c:v>
                  </c:pt>
                  <c:pt idx="32">
                    <c:v>7.4900000000000008E-2</c:v>
                  </c:pt>
                  <c:pt idx="33">
                    <c:v>9.0300000000000005E-2</c:v>
                  </c:pt>
                  <c:pt idx="34">
                    <c:v>9.5200000000000007E-2</c:v>
                  </c:pt>
                  <c:pt idx="35">
                    <c:v>0.10010000000000001</c:v>
                  </c:pt>
                  <c:pt idx="36">
                    <c:v>0.1046</c:v>
                  </c:pt>
                  <c:pt idx="37">
                    <c:v>0.1065</c:v>
                  </c:pt>
                  <c:pt idx="38">
                    <c:v>0.10830000000000001</c:v>
                  </c:pt>
                  <c:pt idx="39">
                    <c:v>0.11030000000000001</c:v>
                  </c:pt>
                  <c:pt idx="40">
                    <c:v>0.1113</c:v>
                  </c:pt>
                  <c:pt idx="41">
                    <c:v>0.11270000000000001</c:v>
                  </c:pt>
                  <c:pt idx="42">
                    <c:v>0.11510000000000001</c:v>
                  </c:pt>
                  <c:pt idx="43">
                    <c:v>0.11610000000000001</c:v>
                  </c:pt>
                  <c:pt idx="44">
                    <c:v>0.12000000000000001</c:v>
                  </c:pt>
                  <c:pt idx="45">
                    <c:v>0.121</c:v>
                  </c:pt>
                  <c:pt idx="46">
                    <c:v>0.1221</c:v>
                  </c:pt>
                  <c:pt idx="47">
                    <c:v>0.12430000000000001</c:v>
                  </c:pt>
                  <c:pt idx="48">
                    <c:v>0.13289999999999999</c:v>
                  </c:pt>
                  <c:pt idx="49">
                    <c:v>0.1333</c:v>
                  </c:pt>
                  <c:pt idx="50">
                    <c:v>0.13469999999999999</c:v>
                  </c:pt>
                  <c:pt idx="51">
                    <c:v>0.13589999999999999</c:v>
                  </c:pt>
                  <c:pt idx="52">
                    <c:v>0.13719999999999999</c:v>
                  </c:pt>
                  <c:pt idx="53">
                    <c:v>0.1396</c:v>
                  </c:pt>
                  <c:pt idx="54">
                    <c:v>0.14099999999999999</c:v>
                  </c:pt>
                  <c:pt idx="55">
                    <c:v>0.14409999999999998</c:v>
                  </c:pt>
                  <c:pt idx="56">
                    <c:v>0.1472</c:v>
                  </c:pt>
                  <c:pt idx="57">
                    <c:v>0.14849999999999999</c:v>
                  </c:pt>
                  <c:pt idx="58">
                    <c:v>0.1492</c:v>
                  </c:pt>
                  <c:pt idx="59">
                    <c:v>0.15209999999999999</c:v>
                  </c:pt>
                  <c:pt idx="60">
                    <c:v>0.1535</c:v>
                  </c:pt>
                  <c:pt idx="61">
                    <c:v>0.15559999999999999</c:v>
                  </c:pt>
                  <c:pt idx="62">
                    <c:v>0.1593</c:v>
                  </c:pt>
                  <c:pt idx="63">
                    <c:v>0.16319999999999998</c:v>
                  </c:pt>
                  <c:pt idx="64">
                    <c:v>0.16649999999999998</c:v>
                  </c:pt>
                  <c:pt idx="65">
                    <c:v>0.17479999999999998</c:v>
                  </c:pt>
                  <c:pt idx="66">
                    <c:v>0.17509999999999998</c:v>
                  </c:pt>
                  <c:pt idx="67">
                    <c:v>0.17609999999999998</c:v>
                  </c:pt>
                  <c:pt idx="68">
                    <c:v>0.17729999999999999</c:v>
                  </c:pt>
                  <c:pt idx="69">
                    <c:v>0.18329999999999999</c:v>
                  </c:pt>
                  <c:pt idx="70">
                    <c:v>0.18489999999999998</c:v>
                  </c:pt>
                  <c:pt idx="71">
                    <c:v>0.1875</c:v>
                  </c:pt>
                  <c:pt idx="72">
                    <c:v>0.18969999999999998</c:v>
                  </c:pt>
                  <c:pt idx="73">
                    <c:v>0.19439999999999999</c:v>
                  </c:pt>
                  <c:pt idx="74">
                    <c:v>0.1956</c:v>
                  </c:pt>
                  <c:pt idx="75">
                    <c:v>0.19599999999999998</c:v>
                  </c:pt>
                  <c:pt idx="76">
                    <c:v>0.19689999999999999</c:v>
                  </c:pt>
                  <c:pt idx="77">
                    <c:v>0.19699999999999998</c:v>
                  </c:pt>
                  <c:pt idx="78">
                    <c:v>0.19699999999999998</c:v>
                  </c:pt>
                  <c:pt idx="79">
                    <c:v>0.19699999999999998</c:v>
                  </c:pt>
                  <c:pt idx="80">
                    <c:v>0.19699999999999998</c:v>
                  </c:pt>
                  <c:pt idx="81">
                    <c:v>0.19699999999999998</c:v>
                  </c:pt>
                  <c:pt idx="82">
                    <c:v>0.19699999999999998</c:v>
                  </c:pt>
                  <c:pt idx="83">
                    <c:v>0.19699999999999998</c:v>
                  </c:pt>
                  <c:pt idx="84">
                    <c:v>0.19839999999999999</c:v>
                  </c:pt>
                  <c:pt idx="85">
                    <c:v>0.19839999999999999</c:v>
                  </c:pt>
                  <c:pt idx="86">
                    <c:v>0.19989999999999999</c:v>
                  </c:pt>
                  <c:pt idx="87">
                    <c:v>0.20129999999999998</c:v>
                  </c:pt>
                  <c:pt idx="88">
                    <c:v>0.2029</c:v>
                  </c:pt>
                  <c:pt idx="89">
                    <c:v>0.20929999999999999</c:v>
                  </c:pt>
                  <c:pt idx="90">
                    <c:v>0.2117</c:v>
                  </c:pt>
                  <c:pt idx="91">
                    <c:v>0.21459999999999999</c:v>
                  </c:pt>
                  <c:pt idx="92">
                    <c:v>0.21719999999999998</c:v>
                  </c:pt>
                  <c:pt idx="93">
                    <c:v>0.21919999999999998</c:v>
                  </c:pt>
                  <c:pt idx="94">
                    <c:v>0.2218</c:v>
                  </c:pt>
                  <c:pt idx="95">
                    <c:v>0.22259999999999999</c:v>
                  </c:pt>
                  <c:pt idx="96">
                    <c:v>0.2266</c:v>
                  </c:pt>
                  <c:pt idx="97">
                    <c:v>0.2311</c:v>
                  </c:pt>
                  <c:pt idx="98">
                    <c:v>0.23609999999999998</c:v>
                  </c:pt>
                  <c:pt idx="99">
                    <c:v>0.24089999999999998</c:v>
                  </c:pt>
                  <c:pt idx="100">
                    <c:v>0.24209999999999998</c:v>
                  </c:pt>
                  <c:pt idx="101">
                    <c:v>0.25390000000000001</c:v>
                  </c:pt>
                  <c:pt idx="102">
                    <c:v>0.2581</c:v>
                  </c:pt>
                  <c:pt idx="103">
                    <c:v>0.26450000000000001</c:v>
                  </c:pt>
                  <c:pt idx="104">
                    <c:v>0.26569999999999999</c:v>
                  </c:pt>
                  <c:pt idx="105">
                    <c:v>0.27529999999999999</c:v>
                  </c:pt>
                  <c:pt idx="106">
                    <c:v>0.27799999999999997</c:v>
                  </c:pt>
                  <c:pt idx="107">
                    <c:v>0.28270000000000001</c:v>
                  </c:pt>
                  <c:pt idx="108">
                    <c:v>0.2858</c:v>
                  </c:pt>
                  <c:pt idx="109">
                    <c:v>0.28889999999999999</c:v>
                  </c:pt>
                  <c:pt idx="110">
                    <c:v>0.29299999999999998</c:v>
                  </c:pt>
                  <c:pt idx="111">
                    <c:v>0.29709999999999998</c:v>
                  </c:pt>
                  <c:pt idx="112">
                    <c:v>0.29930000000000001</c:v>
                  </c:pt>
                  <c:pt idx="113">
                    <c:v>0.30030000000000001</c:v>
                  </c:pt>
                  <c:pt idx="114">
                    <c:v>0.30330000000000001</c:v>
                  </c:pt>
                  <c:pt idx="115">
                    <c:v>0.30769999999999997</c:v>
                  </c:pt>
                  <c:pt idx="116">
                    <c:v>0.30890000000000001</c:v>
                  </c:pt>
                  <c:pt idx="117">
                    <c:v>0.312</c:v>
                  </c:pt>
                  <c:pt idx="118">
                    <c:v>0.3135</c:v>
                  </c:pt>
                  <c:pt idx="119">
                    <c:v>0.31690000000000002</c:v>
                  </c:pt>
                  <c:pt idx="120">
                    <c:v>0.31769999999999998</c:v>
                  </c:pt>
                  <c:pt idx="121">
                    <c:v>0.31889999999999996</c:v>
                  </c:pt>
                  <c:pt idx="122">
                    <c:v>0.3201</c:v>
                  </c:pt>
                  <c:pt idx="123">
                    <c:v>0.32019999999999998</c:v>
                  </c:pt>
                  <c:pt idx="124">
                    <c:v>0.3201</c:v>
                  </c:pt>
                  <c:pt idx="125">
                    <c:v>0.32</c:v>
                  </c:pt>
                  <c:pt idx="126">
                    <c:v>0.3201</c:v>
                  </c:pt>
                  <c:pt idx="127">
                    <c:v>0.3201</c:v>
                  </c:pt>
                  <c:pt idx="128">
                    <c:v>0.32019999999999998</c:v>
                  </c:pt>
                  <c:pt idx="129">
                    <c:v>0.3201</c:v>
                  </c:pt>
                  <c:pt idx="130">
                    <c:v>0.32050000000000001</c:v>
                  </c:pt>
                  <c:pt idx="131">
                    <c:v>0.32300000000000001</c:v>
                  </c:pt>
                  <c:pt idx="132">
                    <c:v>0.32329999999999998</c:v>
                  </c:pt>
                  <c:pt idx="133">
                    <c:v>0.3256</c:v>
                  </c:pt>
                  <c:pt idx="134">
                    <c:v>0.3276</c:v>
                  </c:pt>
                  <c:pt idx="135">
                    <c:v>0.32969999999999999</c:v>
                  </c:pt>
                  <c:pt idx="136">
                    <c:v>0.33179999999999998</c:v>
                  </c:pt>
                  <c:pt idx="137">
                    <c:v>0.33189999999999997</c:v>
                  </c:pt>
                  <c:pt idx="138">
                    <c:v>0.33399999999999996</c:v>
                  </c:pt>
                  <c:pt idx="139">
                    <c:v>0.33410000000000001</c:v>
                  </c:pt>
                  <c:pt idx="140">
                    <c:v>0.33499999999999996</c:v>
                  </c:pt>
                  <c:pt idx="141">
                    <c:v>0.3382</c:v>
                  </c:pt>
                  <c:pt idx="142">
                    <c:v>0.34099999999999997</c:v>
                  </c:pt>
                  <c:pt idx="143">
                    <c:v>0.34770000000000001</c:v>
                  </c:pt>
                  <c:pt idx="144">
                    <c:v>0.35109999999999997</c:v>
                  </c:pt>
                  <c:pt idx="145">
                    <c:v>0.3523</c:v>
                  </c:pt>
                  <c:pt idx="146">
                    <c:v>0.3548</c:v>
                  </c:pt>
                  <c:pt idx="147">
                    <c:v>0.35730000000000001</c:v>
                  </c:pt>
                  <c:pt idx="148">
                    <c:v>0.36030000000000001</c:v>
                  </c:pt>
                  <c:pt idx="149">
                    <c:v>0.3619</c:v>
                  </c:pt>
                  <c:pt idx="150">
                    <c:v>0.36299999999999999</c:v>
                  </c:pt>
                  <c:pt idx="151">
                    <c:v>0.36509999999999998</c:v>
                  </c:pt>
                  <c:pt idx="152">
                    <c:v>0.3654</c:v>
                  </c:pt>
                  <c:pt idx="153">
                    <c:v>0.36580000000000001</c:v>
                  </c:pt>
                  <c:pt idx="154">
                    <c:v>0.36659999999999998</c:v>
                  </c:pt>
                  <c:pt idx="155">
                    <c:v>0.36749999999999999</c:v>
                  </c:pt>
                  <c:pt idx="156">
                    <c:v>0.36840000000000001</c:v>
                  </c:pt>
                  <c:pt idx="157">
                    <c:v>0.36840000000000001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'2'!$AC$34:$AC$191</c:f>
                <c:numCache>
                  <c:formatCode>General</c:formatCode>
                  <c:ptCount val="158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</c:numCache>
              </c:numRef>
            </c:plus>
            <c:minus>
              <c:numRef>
                <c:f>'2'!$AC$34:$AC$191</c:f>
                <c:numCache>
                  <c:formatCode>General</c:formatCode>
                  <c:ptCount val="158"/>
                  <c:pt idx="0">
                    <c:v>5.8000000000000005E-3</c:v>
                  </c:pt>
                  <c:pt idx="1">
                    <c:v>5.8000000000000005E-3</c:v>
                  </c:pt>
                  <c:pt idx="2">
                    <c:v>5.8000000000000005E-3</c:v>
                  </c:pt>
                  <c:pt idx="3">
                    <c:v>5.8000000000000005E-3</c:v>
                  </c:pt>
                  <c:pt idx="4">
                    <c:v>5.8000000000000005E-3</c:v>
                  </c:pt>
                  <c:pt idx="5">
                    <c:v>5.8000000000000005E-3</c:v>
                  </c:pt>
                  <c:pt idx="6">
                    <c:v>5.8000000000000005E-3</c:v>
                  </c:pt>
                  <c:pt idx="7">
                    <c:v>5.8000000000000005E-3</c:v>
                  </c:pt>
                  <c:pt idx="8">
                    <c:v>5.8000000000000005E-3</c:v>
                  </c:pt>
                  <c:pt idx="9">
                    <c:v>5.8000000000000005E-3</c:v>
                  </c:pt>
                  <c:pt idx="10">
                    <c:v>5.8000000000000005E-3</c:v>
                  </c:pt>
                  <c:pt idx="11">
                    <c:v>5.8000000000000005E-3</c:v>
                  </c:pt>
                  <c:pt idx="12">
                    <c:v>5.8000000000000005E-3</c:v>
                  </c:pt>
                  <c:pt idx="13">
                    <c:v>5.8000000000000005E-3</c:v>
                  </c:pt>
                  <c:pt idx="14">
                    <c:v>5.8000000000000005E-3</c:v>
                  </c:pt>
                  <c:pt idx="15">
                    <c:v>5.8000000000000005E-3</c:v>
                  </c:pt>
                  <c:pt idx="16">
                    <c:v>5.8000000000000005E-3</c:v>
                  </c:pt>
                  <c:pt idx="17">
                    <c:v>5.8000000000000005E-3</c:v>
                  </c:pt>
                  <c:pt idx="18">
                    <c:v>5.8000000000000005E-3</c:v>
                  </c:pt>
                  <c:pt idx="19">
                    <c:v>5.8000000000000005E-3</c:v>
                  </c:pt>
                  <c:pt idx="20">
                    <c:v>5.8000000000000005E-3</c:v>
                  </c:pt>
                  <c:pt idx="21">
                    <c:v>5.8000000000000005E-3</c:v>
                  </c:pt>
                  <c:pt idx="22">
                    <c:v>5.8000000000000005E-3</c:v>
                  </c:pt>
                  <c:pt idx="23">
                    <c:v>5.8000000000000005E-3</c:v>
                  </c:pt>
                  <c:pt idx="24">
                    <c:v>5.8000000000000005E-3</c:v>
                  </c:pt>
                  <c:pt idx="25">
                    <c:v>5.8000000000000005E-3</c:v>
                  </c:pt>
                  <c:pt idx="26">
                    <c:v>5.8000000000000005E-3</c:v>
                  </c:pt>
                  <c:pt idx="27">
                    <c:v>5.8000000000000005E-3</c:v>
                  </c:pt>
                  <c:pt idx="28">
                    <c:v>5.8000000000000005E-3</c:v>
                  </c:pt>
                  <c:pt idx="29">
                    <c:v>5.8000000000000005E-3</c:v>
                  </c:pt>
                  <c:pt idx="30">
                    <c:v>5.8000000000000005E-3</c:v>
                  </c:pt>
                  <c:pt idx="31">
                    <c:v>5.8000000000000005E-3</c:v>
                  </c:pt>
                  <c:pt idx="32">
                    <c:v>5.8000000000000005E-3</c:v>
                  </c:pt>
                  <c:pt idx="33">
                    <c:v>5.8000000000000005E-3</c:v>
                  </c:pt>
                  <c:pt idx="34">
                    <c:v>5.8000000000000005E-3</c:v>
                  </c:pt>
                  <c:pt idx="35">
                    <c:v>5.8000000000000005E-3</c:v>
                  </c:pt>
                  <c:pt idx="36">
                    <c:v>5.8000000000000005E-3</c:v>
                  </c:pt>
                  <c:pt idx="37">
                    <c:v>5.8000000000000005E-3</c:v>
                  </c:pt>
                  <c:pt idx="38">
                    <c:v>5.8000000000000005E-3</c:v>
                  </c:pt>
                  <c:pt idx="39">
                    <c:v>5.8000000000000005E-3</c:v>
                  </c:pt>
                  <c:pt idx="40">
                    <c:v>5.8000000000000005E-3</c:v>
                  </c:pt>
                  <c:pt idx="41">
                    <c:v>5.8000000000000005E-3</c:v>
                  </c:pt>
                  <c:pt idx="42">
                    <c:v>5.8000000000000005E-3</c:v>
                  </c:pt>
                  <c:pt idx="43">
                    <c:v>5.8000000000000005E-3</c:v>
                  </c:pt>
                  <c:pt idx="44">
                    <c:v>5.8000000000000005E-3</c:v>
                  </c:pt>
                  <c:pt idx="45">
                    <c:v>5.8000000000000005E-3</c:v>
                  </c:pt>
                  <c:pt idx="46">
                    <c:v>5.8000000000000005E-3</c:v>
                  </c:pt>
                  <c:pt idx="47">
                    <c:v>5.8000000000000005E-3</c:v>
                  </c:pt>
                  <c:pt idx="48">
                    <c:v>5.8000000000000005E-3</c:v>
                  </c:pt>
                  <c:pt idx="49">
                    <c:v>5.8000000000000005E-3</c:v>
                  </c:pt>
                  <c:pt idx="50">
                    <c:v>5.8000000000000005E-3</c:v>
                  </c:pt>
                  <c:pt idx="51">
                    <c:v>5.8000000000000005E-3</c:v>
                  </c:pt>
                  <c:pt idx="52">
                    <c:v>5.8000000000000005E-3</c:v>
                  </c:pt>
                  <c:pt idx="53">
                    <c:v>5.8000000000000005E-3</c:v>
                  </c:pt>
                  <c:pt idx="54">
                    <c:v>5.8000000000000005E-3</c:v>
                  </c:pt>
                  <c:pt idx="55">
                    <c:v>5.8000000000000005E-3</c:v>
                  </c:pt>
                  <c:pt idx="56">
                    <c:v>5.8000000000000005E-3</c:v>
                  </c:pt>
                  <c:pt idx="57">
                    <c:v>5.8000000000000005E-3</c:v>
                  </c:pt>
                  <c:pt idx="58">
                    <c:v>5.8000000000000005E-3</c:v>
                  </c:pt>
                  <c:pt idx="59">
                    <c:v>5.8000000000000005E-3</c:v>
                  </c:pt>
                  <c:pt idx="60">
                    <c:v>5.8000000000000005E-3</c:v>
                  </c:pt>
                  <c:pt idx="61">
                    <c:v>5.8000000000000005E-3</c:v>
                  </c:pt>
                  <c:pt idx="62">
                    <c:v>5.8000000000000005E-3</c:v>
                  </c:pt>
                  <c:pt idx="63">
                    <c:v>5.8000000000000005E-3</c:v>
                  </c:pt>
                  <c:pt idx="64">
                    <c:v>5.8000000000000005E-3</c:v>
                  </c:pt>
                  <c:pt idx="65">
                    <c:v>5.8000000000000005E-3</c:v>
                  </c:pt>
                  <c:pt idx="66">
                    <c:v>5.8000000000000005E-3</c:v>
                  </c:pt>
                  <c:pt idx="67">
                    <c:v>5.8000000000000005E-3</c:v>
                  </c:pt>
                  <c:pt idx="68">
                    <c:v>5.8000000000000005E-3</c:v>
                  </c:pt>
                  <c:pt idx="69">
                    <c:v>5.8000000000000005E-3</c:v>
                  </c:pt>
                  <c:pt idx="70">
                    <c:v>5.8000000000000005E-3</c:v>
                  </c:pt>
                  <c:pt idx="71">
                    <c:v>5.8000000000000005E-3</c:v>
                  </c:pt>
                  <c:pt idx="72">
                    <c:v>5.8000000000000005E-3</c:v>
                  </c:pt>
                  <c:pt idx="73">
                    <c:v>5.8000000000000005E-3</c:v>
                  </c:pt>
                  <c:pt idx="74">
                    <c:v>5.8000000000000005E-3</c:v>
                  </c:pt>
                  <c:pt idx="75">
                    <c:v>5.8000000000000005E-3</c:v>
                  </c:pt>
                  <c:pt idx="76">
                    <c:v>5.8000000000000005E-3</c:v>
                  </c:pt>
                  <c:pt idx="77">
                    <c:v>5.8000000000000005E-3</c:v>
                  </c:pt>
                  <c:pt idx="78">
                    <c:v>5.8000000000000005E-3</c:v>
                  </c:pt>
                  <c:pt idx="79">
                    <c:v>5.8000000000000005E-3</c:v>
                  </c:pt>
                  <c:pt idx="80">
                    <c:v>5.8000000000000005E-3</c:v>
                  </c:pt>
                  <c:pt idx="81">
                    <c:v>5.8000000000000005E-3</c:v>
                  </c:pt>
                  <c:pt idx="82">
                    <c:v>5.8000000000000005E-3</c:v>
                  </c:pt>
                  <c:pt idx="83">
                    <c:v>5.8000000000000005E-3</c:v>
                  </c:pt>
                  <c:pt idx="84">
                    <c:v>5.8000000000000005E-3</c:v>
                  </c:pt>
                  <c:pt idx="85">
                    <c:v>5.8000000000000005E-3</c:v>
                  </c:pt>
                  <c:pt idx="86">
                    <c:v>5.8000000000000005E-3</c:v>
                  </c:pt>
                  <c:pt idx="87">
                    <c:v>5.8000000000000005E-3</c:v>
                  </c:pt>
                  <c:pt idx="88">
                    <c:v>5.8000000000000005E-3</c:v>
                  </c:pt>
                  <c:pt idx="89">
                    <c:v>5.8000000000000005E-3</c:v>
                  </c:pt>
                  <c:pt idx="90">
                    <c:v>5.8000000000000005E-3</c:v>
                  </c:pt>
                  <c:pt idx="91">
                    <c:v>5.8000000000000005E-3</c:v>
                  </c:pt>
                  <c:pt idx="92">
                    <c:v>5.8000000000000005E-3</c:v>
                  </c:pt>
                  <c:pt idx="93">
                    <c:v>5.8000000000000005E-3</c:v>
                  </c:pt>
                  <c:pt idx="94">
                    <c:v>5.8000000000000005E-3</c:v>
                  </c:pt>
                  <c:pt idx="95">
                    <c:v>5.8000000000000005E-3</c:v>
                  </c:pt>
                  <c:pt idx="96">
                    <c:v>5.8000000000000005E-3</c:v>
                  </c:pt>
                  <c:pt idx="97">
                    <c:v>5.8000000000000005E-3</c:v>
                  </c:pt>
                  <c:pt idx="98">
                    <c:v>5.8000000000000005E-3</c:v>
                  </c:pt>
                  <c:pt idx="99">
                    <c:v>5.8000000000000005E-3</c:v>
                  </c:pt>
                  <c:pt idx="100">
                    <c:v>5.8000000000000005E-3</c:v>
                  </c:pt>
                  <c:pt idx="101">
                    <c:v>5.8000000000000005E-3</c:v>
                  </c:pt>
                  <c:pt idx="102">
                    <c:v>5.8000000000000005E-3</c:v>
                  </c:pt>
                  <c:pt idx="103">
                    <c:v>5.8000000000000005E-3</c:v>
                  </c:pt>
                  <c:pt idx="104">
                    <c:v>5.8000000000000005E-3</c:v>
                  </c:pt>
                  <c:pt idx="105">
                    <c:v>5.8000000000000005E-3</c:v>
                  </c:pt>
                  <c:pt idx="106">
                    <c:v>5.8000000000000005E-3</c:v>
                  </c:pt>
                  <c:pt idx="107">
                    <c:v>5.8000000000000005E-3</c:v>
                  </c:pt>
                  <c:pt idx="108">
                    <c:v>5.8000000000000005E-3</c:v>
                  </c:pt>
                  <c:pt idx="109">
                    <c:v>5.8000000000000005E-3</c:v>
                  </c:pt>
                  <c:pt idx="110">
                    <c:v>5.8000000000000005E-3</c:v>
                  </c:pt>
                  <c:pt idx="111">
                    <c:v>5.8000000000000005E-3</c:v>
                  </c:pt>
                  <c:pt idx="112">
                    <c:v>5.8000000000000005E-3</c:v>
                  </c:pt>
                  <c:pt idx="113">
                    <c:v>5.8000000000000005E-3</c:v>
                  </c:pt>
                  <c:pt idx="114">
                    <c:v>5.8000000000000005E-3</c:v>
                  </c:pt>
                  <c:pt idx="115">
                    <c:v>5.8000000000000005E-3</c:v>
                  </c:pt>
                  <c:pt idx="116">
                    <c:v>5.8000000000000005E-3</c:v>
                  </c:pt>
                  <c:pt idx="117">
                    <c:v>5.8000000000000005E-3</c:v>
                  </c:pt>
                  <c:pt idx="118">
                    <c:v>5.8000000000000005E-3</c:v>
                  </c:pt>
                  <c:pt idx="119">
                    <c:v>5.8000000000000005E-3</c:v>
                  </c:pt>
                  <c:pt idx="120">
                    <c:v>5.8000000000000005E-3</c:v>
                  </c:pt>
                  <c:pt idx="121">
                    <c:v>5.8000000000000005E-3</c:v>
                  </c:pt>
                  <c:pt idx="122">
                    <c:v>5.8000000000000005E-3</c:v>
                  </c:pt>
                  <c:pt idx="123">
                    <c:v>5.8000000000000005E-3</c:v>
                  </c:pt>
                  <c:pt idx="124">
                    <c:v>5.8000000000000005E-3</c:v>
                  </c:pt>
                  <c:pt idx="125">
                    <c:v>5.8000000000000005E-3</c:v>
                  </c:pt>
                  <c:pt idx="126">
                    <c:v>5.8000000000000005E-3</c:v>
                  </c:pt>
                  <c:pt idx="127">
                    <c:v>5.8000000000000005E-3</c:v>
                  </c:pt>
                  <c:pt idx="128">
                    <c:v>5.8000000000000005E-3</c:v>
                  </c:pt>
                  <c:pt idx="129">
                    <c:v>5.8000000000000005E-3</c:v>
                  </c:pt>
                  <c:pt idx="130">
                    <c:v>5.8000000000000005E-3</c:v>
                  </c:pt>
                  <c:pt idx="131">
                    <c:v>5.8000000000000005E-3</c:v>
                  </c:pt>
                  <c:pt idx="132">
                    <c:v>5.8000000000000005E-3</c:v>
                  </c:pt>
                  <c:pt idx="133">
                    <c:v>5.8000000000000005E-3</c:v>
                  </c:pt>
                  <c:pt idx="134">
                    <c:v>5.8000000000000005E-3</c:v>
                  </c:pt>
                  <c:pt idx="135">
                    <c:v>5.8000000000000005E-3</c:v>
                  </c:pt>
                  <c:pt idx="136">
                    <c:v>5.8000000000000005E-3</c:v>
                  </c:pt>
                  <c:pt idx="137">
                    <c:v>5.8000000000000005E-3</c:v>
                  </c:pt>
                  <c:pt idx="138">
                    <c:v>5.8000000000000005E-3</c:v>
                  </c:pt>
                  <c:pt idx="139">
                    <c:v>5.8000000000000005E-3</c:v>
                  </c:pt>
                  <c:pt idx="140">
                    <c:v>5.8000000000000005E-3</c:v>
                  </c:pt>
                  <c:pt idx="141">
                    <c:v>5.8000000000000005E-3</c:v>
                  </c:pt>
                  <c:pt idx="142">
                    <c:v>5.8000000000000005E-3</c:v>
                  </c:pt>
                  <c:pt idx="143">
                    <c:v>5.8000000000000005E-3</c:v>
                  </c:pt>
                  <c:pt idx="144">
                    <c:v>5.8000000000000005E-3</c:v>
                  </c:pt>
                  <c:pt idx="145">
                    <c:v>5.8000000000000005E-3</c:v>
                  </c:pt>
                  <c:pt idx="146">
                    <c:v>5.8000000000000005E-3</c:v>
                  </c:pt>
                  <c:pt idx="147">
                    <c:v>5.8000000000000005E-3</c:v>
                  </c:pt>
                  <c:pt idx="148">
                    <c:v>5.8000000000000005E-3</c:v>
                  </c:pt>
                  <c:pt idx="149">
                    <c:v>5.8000000000000005E-3</c:v>
                  </c:pt>
                  <c:pt idx="150">
                    <c:v>5.8000000000000005E-3</c:v>
                  </c:pt>
                  <c:pt idx="151">
                    <c:v>5.8000000000000005E-3</c:v>
                  </c:pt>
                  <c:pt idx="152">
                    <c:v>5.8000000000000005E-3</c:v>
                  </c:pt>
                  <c:pt idx="153">
                    <c:v>5.8000000000000005E-3</c:v>
                  </c:pt>
                  <c:pt idx="154">
                    <c:v>5.8000000000000005E-3</c:v>
                  </c:pt>
                  <c:pt idx="155">
                    <c:v>5.8000000000000005E-3</c:v>
                  </c:pt>
                  <c:pt idx="156">
                    <c:v>5.8000000000000005E-3</c:v>
                  </c:pt>
                  <c:pt idx="157">
                    <c:v>5.8000000000000005E-3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'2'!$Z$34:$Z$191</c:f>
              <c:numCache>
                <c:formatCode>General</c:formatCode>
                <c:ptCount val="158"/>
                <c:pt idx="0">
                  <c:v>-92.5</c:v>
                </c:pt>
                <c:pt idx="1">
                  <c:v>-87.699996948242202</c:v>
                </c:pt>
                <c:pt idx="2">
                  <c:v>-82.800003051757798</c:v>
                </c:pt>
                <c:pt idx="3">
                  <c:v>-74.199996948242202</c:v>
                </c:pt>
                <c:pt idx="4">
                  <c:v>-64.199996948242202</c:v>
                </c:pt>
                <c:pt idx="5">
                  <c:v>-59.599998474121101</c:v>
                </c:pt>
                <c:pt idx="6">
                  <c:v>-53.200000762939503</c:v>
                </c:pt>
                <c:pt idx="7">
                  <c:v>-49.400001525878899</c:v>
                </c:pt>
                <c:pt idx="8">
                  <c:v>0</c:v>
                </c:pt>
                <c:pt idx="9">
                  <c:v>-41.630001068115199</c:v>
                </c:pt>
                <c:pt idx="10">
                  <c:v>-37.5</c:v>
                </c:pt>
                <c:pt idx="11">
                  <c:v>-34.159999847412102</c:v>
                </c:pt>
                <c:pt idx="12">
                  <c:v>-22.290000915527301</c:v>
                </c:pt>
                <c:pt idx="13">
                  <c:v>-20.75</c:v>
                </c:pt>
                <c:pt idx="14">
                  <c:v>-11.939999580383301</c:v>
                </c:pt>
                <c:pt idx="15">
                  <c:v>-4.3600001335143999</c:v>
                </c:pt>
                <c:pt idx="16">
                  <c:v>14.819999694824199</c:v>
                </c:pt>
                <c:pt idx="17">
                  <c:v>19.7600002288818</c:v>
                </c:pt>
                <c:pt idx="18">
                  <c:v>21.709999084472699</c:v>
                </c:pt>
                <c:pt idx="19">
                  <c:v>24.420000076293899</c:v>
                </c:pt>
                <c:pt idx="20">
                  <c:v>25.7600002288818</c:v>
                </c:pt>
                <c:pt idx="21">
                  <c:v>30.850000381469702</c:v>
                </c:pt>
                <c:pt idx="22">
                  <c:v>33.779998779296903</c:v>
                </c:pt>
                <c:pt idx="23">
                  <c:v>36.459999084472699</c:v>
                </c:pt>
                <c:pt idx="24">
                  <c:v>40.830001831054702</c:v>
                </c:pt>
                <c:pt idx="25">
                  <c:v>44.299999237060497</c:v>
                </c:pt>
                <c:pt idx="26">
                  <c:v>49.130001068115199</c:v>
                </c:pt>
                <c:pt idx="27">
                  <c:v>59.900001525878899</c:v>
                </c:pt>
                <c:pt idx="28">
                  <c:v>62.799999237060497</c:v>
                </c:pt>
                <c:pt idx="29">
                  <c:v>82.900001525878906</c:v>
                </c:pt>
                <c:pt idx="30">
                  <c:v>86.300003051757798</c:v>
                </c:pt>
                <c:pt idx="31">
                  <c:v>89.800003051757798</c:v>
                </c:pt>
                <c:pt idx="32">
                  <c:v>92.900001525878906</c:v>
                </c:pt>
                <c:pt idx="33">
                  <c:v>112.09999847412099</c:v>
                </c:pt>
                <c:pt idx="34">
                  <c:v>118.199996948242</c:v>
                </c:pt>
                <c:pt idx="35">
                  <c:v>124.300003051758</c:v>
                </c:pt>
                <c:pt idx="36">
                  <c:v>130</c:v>
                </c:pt>
                <c:pt idx="37">
                  <c:v>132.30000305175801</c:v>
                </c:pt>
                <c:pt idx="38">
                  <c:v>134.60000610351599</c:v>
                </c:pt>
                <c:pt idx="39">
                  <c:v>137.10000610351599</c:v>
                </c:pt>
                <c:pt idx="40">
                  <c:v>138.30000305175801</c:v>
                </c:pt>
                <c:pt idx="41">
                  <c:v>140.10000610351599</c:v>
                </c:pt>
                <c:pt idx="42">
                  <c:v>143.10000610351599</c:v>
                </c:pt>
                <c:pt idx="43">
                  <c:v>144.30000305175801</c:v>
                </c:pt>
                <c:pt idx="44">
                  <c:v>149.19999694824199</c:v>
                </c:pt>
                <c:pt idx="45">
                  <c:v>150.5</c:v>
                </c:pt>
                <c:pt idx="46">
                  <c:v>151.89999389648401</c:v>
                </c:pt>
                <c:pt idx="47">
                  <c:v>154.60000610351599</c:v>
                </c:pt>
                <c:pt idx="48">
                  <c:v>165.30000305175801</c:v>
                </c:pt>
                <c:pt idx="49">
                  <c:v>165.80000305175801</c:v>
                </c:pt>
                <c:pt idx="50">
                  <c:v>167.60000610351599</c:v>
                </c:pt>
                <c:pt idx="51">
                  <c:v>169.10000610351599</c:v>
                </c:pt>
                <c:pt idx="52">
                  <c:v>170.69999694824199</c:v>
                </c:pt>
                <c:pt idx="53">
                  <c:v>173.69999694824199</c:v>
                </c:pt>
                <c:pt idx="54">
                  <c:v>175.5</c:v>
                </c:pt>
                <c:pt idx="55">
                  <c:v>179.30000305175801</c:v>
                </c:pt>
                <c:pt idx="56">
                  <c:v>183.19999694824199</c:v>
                </c:pt>
                <c:pt idx="57">
                  <c:v>184.89999389648401</c:v>
                </c:pt>
                <c:pt idx="58">
                  <c:v>185.69999694824199</c:v>
                </c:pt>
                <c:pt idx="59">
                  <c:v>189.30000305175801</c:v>
                </c:pt>
                <c:pt idx="60">
                  <c:v>191.10000610351599</c:v>
                </c:pt>
                <c:pt idx="61">
                  <c:v>193.69999694824199</c:v>
                </c:pt>
                <c:pt idx="62">
                  <c:v>198.30000305175801</c:v>
                </c:pt>
                <c:pt idx="63">
                  <c:v>203.19999694824199</c:v>
                </c:pt>
                <c:pt idx="64">
                  <c:v>207.30000305175801</c:v>
                </c:pt>
                <c:pt idx="65">
                  <c:v>217.69999694824199</c:v>
                </c:pt>
                <c:pt idx="66">
                  <c:v>218.10000610351599</c:v>
                </c:pt>
                <c:pt idx="67">
                  <c:v>219.39999389648401</c:v>
                </c:pt>
                <c:pt idx="68">
                  <c:v>220.89999389648401</c:v>
                </c:pt>
                <c:pt idx="69">
                  <c:v>228.39999389648401</c:v>
                </c:pt>
                <c:pt idx="70">
                  <c:v>230.30000305175801</c:v>
                </c:pt>
                <c:pt idx="71">
                  <c:v>233.60000610351599</c:v>
                </c:pt>
                <c:pt idx="72">
                  <c:v>236.30000305175801</c:v>
                </c:pt>
                <c:pt idx="73">
                  <c:v>242.19999694824199</c:v>
                </c:pt>
                <c:pt idx="74">
                  <c:v>243.69999694824199</c:v>
                </c:pt>
                <c:pt idx="75">
                  <c:v>244.19999694824199</c:v>
                </c:pt>
                <c:pt idx="76">
                  <c:v>245.30000305175801</c:v>
                </c:pt>
                <c:pt idx="77">
                  <c:v>245.5</c:v>
                </c:pt>
                <c:pt idx="78">
                  <c:v>245.5</c:v>
                </c:pt>
                <c:pt idx="79">
                  <c:v>245.5</c:v>
                </c:pt>
                <c:pt idx="80">
                  <c:v>245.5</c:v>
                </c:pt>
                <c:pt idx="81">
                  <c:v>245.5</c:v>
                </c:pt>
                <c:pt idx="82">
                  <c:v>245.5</c:v>
                </c:pt>
                <c:pt idx="83">
                  <c:v>245.5</c:v>
                </c:pt>
                <c:pt idx="84">
                  <c:v>247.19999694824199</c:v>
                </c:pt>
                <c:pt idx="85">
                  <c:v>247.19999694824199</c:v>
                </c:pt>
                <c:pt idx="86">
                  <c:v>249.10000610351599</c:v>
                </c:pt>
                <c:pt idx="87">
                  <c:v>250.80000305175801</c:v>
                </c:pt>
                <c:pt idx="88">
                  <c:v>252.89999389648401</c:v>
                </c:pt>
                <c:pt idx="89">
                  <c:v>260.89999389648398</c:v>
                </c:pt>
                <c:pt idx="90">
                  <c:v>263.89999389648398</c:v>
                </c:pt>
                <c:pt idx="91">
                  <c:v>267.5</c:v>
                </c:pt>
                <c:pt idx="92">
                  <c:v>270.70001220703102</c:v>
                </c:pt>
                <c:pt idx="93">
                  <c:v>273.20001220703102</c:v>
                </c:pt>
                <c:pt idx="94">
                  <c:v>276.5</c:v>
                </c:pt>
                <c:pt idx="95">
                  <c:v>277.5</c:v>
                </c:pt>
                <c:pt idx="96">
                  <c:v>282.5</c:v>
                </c:pt>
                <c:pt idx="97">
                  <c:v>288.10000610351602</c:v>
                </c:pt>
                <c:pt idx="98">
                  <c:v>294.29998779296898</c:v>
                </c:pt>
                <c:pt idx="99">
                  <c:v>300.29998779296898</c:v>
                </c:pt>
                <c:pt idx="100">
                  <c:v>301.89999389648398</c:v>
                </c:pt>
                <c:pt idx="101">
                  <c:v>316.60000610351602</c:v>
                </c:pt>
                <c:pt idx="102">
                  <c:v>321.89999389648398</c:v>
                </c:pt>
                <c:pt idx="103">
                  <c:v>329.89999389648398</c:v>
                </c:pt>
                <c:pt idx="104">
                  <c:v>331.39999389648398</c:v>
                </c:pt>
                <c:pt idx="105">
                  <c:v>343.39999389648398</c:v>
                </c:pt>
                <c:pt idx="106">
                  <c:v>346.70001220703102</c:v>
                </c:pt>
                <c:pt idx="107">
                  <c:v>352.60000610351602</c:v>
                </c:pt>
                <c:pt idx="108">
                  <c:v>356.5</c:v>
                </c:pt>
                <c:pt idx="109">
                  <c:v>360.29998779296898</c:v>
                </c:pt>
                <c:pt idx="110">
                  <c:v>365.5</c:v>
                </c:pt>
                <c:pt idx="111">
                  <c:v>370.60000610351602</c:v>
                </c:pt>
                <c:pt idx="112">
                  <c:v>373.29998779296898</c:v>
                </c:pt>
                <c:pt idx="113">
                  <c:v>374.60000610351602</c:v>
                </c:pt>
                <c:pt idx="114">
                  <c:v>378.29998779296898</c:v>
                </c:pt>
                <c:pt idx="115">
                  <c:v>383.89999389648398</c:v>
                </c:pt>
                <c:pt idx="116">
                  <c:v>385.29998779296898</c:v>
                </c:pt>
                <c:pt idx="117">
                  <c:v>389.20001220703102</c:v>
                </c:pt>
                <c:pt idx="118">
                  <c:v>391.10000610351602</c:v>
                </c:pt>
                <c:pt idx="119">
                  <c:v>395.39999389648398</c:v>
                </c:pt>
                <c:pt idx="120">
                  <c:v>396.29998779296898</c:v>
                </c:pt>
                <c:pt idx="121">
                  <c:v>397.89999389648398</c:v>
                </c:pt>
                <c:pt idx="122">
                  <c:v>399.39999389648398</c:v>
                </c:pt>
                <c:pt idx="123">
                  <c:v>399.5</c:v>
                </c:pt>
                <c:pt idx="124">
                  <c:v>399.29998779296898</c:v>
                </c:pt>
                <c:pt idx="125">
                  <c:v>399.20001220703102</c:v>
                </c:pt>
                <c:pt idx="126">
                  <c:v>399.39999389648398</c:v>
                </c:pt>
                <c:pt idx="127">
                  <c:v>399.29998779296898</c:v>
                </c:pt>
                <c:pt idx="128">
                  <c:v>399.5</c:v>
                </c:pt>
                <c:pt idx="129">
                  <c:v>399.39999389648398</c:v>
                </c:pt>
                <c:pt idx="130">
                  <c:v>399.89999389648398</c:v>
                </c:pt>
                <c:pt idx="131">
                  <c:v>403</c:v>
                </c:pt>
                <c:pt idx="132">
                  <c:v>403.39999389648398</c:v>
                </c:pt>
                <c:pt idx="133">
                  <c:v>406.20001220703102</c:v>
                </c:pt>
                <c:pt idx="134">
                  <c:v>408.70001220703102</c:v>
                </c:pt>
                <c:pt idx="135">
                  <c:v>411.39999389648398</c:v>
                </c:pt>
                <c:pt idx="136">
                  <c:v>414</c:v>
                </c:pt>
                <c:pt idx="137">
                  <c:v>414.10000610351602</c:v>
                </c:pt>
                <c:pt idx="138">
                  <c:v>416.70001220703102</c:v>
                </c:pt>
                <c:pt idx="139">
                  <c:v>416.79998779296898</c:v>
                </c:pt>
                <c:pt idx="140">
                  <c:v>418</c:v>
                </c:pt>
                <c:pt idx="141">
                  <c:v>422</c:v>
                </c:pt>
                <c:pt idx="142">
                  <c:v>425.5</c:v>
                </c:pt>
                <c:pt idx="143">
                  <c:v>433.89999389648398</c:v>
                </c:pt>
                <c:pt idx="144">
                  <c:v>438.10000610351602</c:v>
                </c:pt>
                <c:pt idx="145">
                  <c:v>439.60000610351602</c:v>
                </c:pt>
                <c:pt idx="146">
                  <c:v>442.70001220703102</c:v>
                </c:pt>
                <c:pt idx="147">
                  <c:v>445.79998779296898</c:v>
                </c:pt>
                <c:pt idx="148">
                  <c:v>449.60000610351602</c:v>
                </c:pt>
                <c:pt idx="149">
                  <c:v>451.60000610351602</c:v>
                </c:pt>
                <c:pt idx="150">
                  <c:v>453</c:v>
                </c:pt>
                <c:pt idx="151">
                  <c:v>455.60000610351602</c:v>
                </c:pt>
                <c:pt idx="152">
                  <c:v>456</c:v>
                </c:pt>
                <c:pt idx="153">
                  <c:v>456.5</c:v>
                </c:pt>
                <c:pt idx="154">
                  <c:v>457.5</c:v>
                </c:pt>
                <c:pt idx="155">
                  <c:v>458.60000610351602</c:v>
                </c:pt>
                <c:pt idx="156">
                  <c:v>459.70001220703102</c:v>
                </c:pt>
                <c:pt idx="157">
                  <c:v>459.70001220703102</c:v>
                </c:pt>
              </c:numCache>
            </c:numRef>
          </c:xVal>
          <c:yVal>
            <c:numRef>
              <c:f>'2'!$AB$34:$AB$191</c:f>
              <c:numCache>
                <c:formatCode>General</c:formatCode>
                <c:ptCount val="158"/>
                <c:pt idx="0">
                  <c:v>-0.13402999937534299</c:v>
                </c:pt>
                <c:pt idx="1">
                  <c:v>-0.13403999805450401</c:v>
                </c:pt>
                <c:pt idx="2">
                  <c:v>-0.13403999805450401</c:v>
                </c:pt>
                <c:pt idx="3">
                  <c:v>-0.13403999805450401</c:v>
                </c:pt>
                <c:pt idx="4">
                  <c:v>-0.13403999805450401</c:v>
                </c:pt>
                <c:pt idx="5">
                  <c:v>-0.13403999805450401</c:v>
                </c:pt>
                <c:pt idx="6">
                  <c:v>-0.13402999937534299</c:v>
                </c:pt>
                <c:pt idx="7">
                  <c:v>-0.13402999937534299</c:v>
                </c:pt>
                <c:pt idx="8">
                  <c:v>-0.13402999937534299</c:v>
                </c:pt>
                <c:pt idx="9">
                  <c:v>-0.13402999937534299</c:v>
                </c:pt>
                <c:pt idx="10">
                  <c:v>-0.13402999937534299</c:v>
                </c:pt>
                <c:pt idx="11">
                  <c:v>-0.13402999937534299</c:v>
                </c:pt>
                <c:pt idx="12">
                  <c:v>-0.13402999937534299</c:v>
                </c:pt>
                <c:pt idx="13">
                  <c:v>-0.13402999937534299</c:v>
                </c:pt>
                <c:pt idx="14">
                  <c:v>-0.13402999937534299</c:v>
                </c:pt>
                <c:pt idx="15">
                  <c:v>-0.134020000696182</c:v>
                </c:pt>
                <c:pt idx="16">
                  <c:v>-0.13400000333786</c:v>
                </c:pt>
                <c:pt idx="17">
                  <c:v>-0.13400000333786</c:v>
                </c:pt>
                <c:pt idx="18">
                  <c:v>-0.13399000465869901</c:v>
                </c:pt>
                <c:pt idx="19">
                  <c:v>-0.13399000465869901</c:v>
                </c:pt>
                <c:pt idx="20">
                  <c:v>-0.13399000465869901</c:v>
                </c:pt>
                <c:pt idx="21">
                  <c:v>-0.13400000333786</c:v>
                </c:pt>
                <c:pt idx="22">
                  <c:v>-0.13400000333786</c:v>
                </c:pt>
                <c:pt idx="23">
                  <c:v>-0.13399000465869901</c:v>
                </c:pt>
                <c:pt idx="24">
                  <c:v>-0.13399000465869901</c:v>
                </c:pt>
                <c:pt idx="25">
                  <c:v>-0.13399000465869901</c:v>
                </c:pt>
                <c:pt idx="26">
                  <c:v>-0.13398000597953799</c:v>
                </c:pt>
                <c:pt idx="27">
                  <c:v>-0.13395999372005499</c:v>
                </c:pt>
                <c:pt idx="28">
                  <c:v>-0.133970007300377</c:v>
                </c:pt>
                <c:pt idx="29">
                  <c:v>-0.133949995040894</c:v>
                </c:pt>
                <c:pt idx="30">
                  <c:v>-0.13393999636173201</c:v>
                </c:pt>
                <c:pt idx="31">
                  <c:v>-0.13393999636173201</c:v>
                </c:pt>
                <c:pt idx="32">
                  <c:v>-0.13392999768257099</c:v>
                </c:pt>
                <c:pt idx="33">
                  <c:v>-0.133900001645088</c:v>
                </c:pt>
                <c:pt idx="34">
                  <c:v>-0.13389000296592701</c:v>
                </c:pt>
                <c:pt idx="35">
                  <c:v>-0.133880004286766</c:v>
                </c:pt>
                <c:pt idx="36">
                  <c:v>-0.13387000560760501</c:v>
                </c:pt>
                <c:pt idx="37">
                  <c:v>-0.13386000692844399</c:v>
                </c:pt>
                <c:pt idx="38">
                  <c:v>-0.133849993348122</c:v>
                </c:pt>
                <c:pt idx="39">
                  <c:v>-0.13383999466896099</c:v>
                </c:pt>
                <c:pt idx="40">
                  <c:v>-0.1338299959898</c:v>
                </c:pt>
                <c:pt idx="41">
                  <c:v>-0.13381999731063801</c:v>
                </c:pt>
                <c:pt idx="42">
                  <c:v>-0.133809998631477</c:v>
                </c:pt>
                <c:pt idx="43">
                  <c:v>-0.133809998631477</c:v>
                </c:pt>
                <c:pt idx="44">
                  <c:v>-0.13379000127315499</c:v>
                </c:pt>
                <c:pt idx="45">
                  <c:v>-0.133780002593994</c:v>
                </c:pt>
                <c:pt idx="46">
                  <c:v>-0.133780002593994</c:v>
                </c:pt>
                <c:pt idx="47">
                  <c:v>-0.13377000391483301</c:v>
                </c:pt>
                <c:pt idx="48">
                  <c:v>-0.133729994297028</c:v>
                </c:pt>
                <c:pt idx="49">
                  <c:v>-0.133709996938705</c:v>
                </c:pt>
                <c:pt idx="50">
                  <c:v>-0.13369999825954401</c:v>
                </c:pt>
                <c:pt idx="51">
                  <c:v>-0.13369999825954401</c:v>
                </c:pt>
                <c:pt idx="52">
                  <c:v>-0.133689999580383</c:v>
                </c:pt>
                <c:pt idx="53">
                  <c:v>-0.133689999580383</c:v>
                </c:pt>
                <c:pt idx="54">
                  <c:v>-0.13367000222206099</c:v>
                </c:pt>
                <c:pt idx="55">
                  <c:v>-0.133640006184578</c:v>
                </c:pt>
                <c:pt idx="56">
                  <c:v>-0.133609995245934</c:v>
                </c:pt>
                <c:pt idx="57">
                  <c:v>-0.13357999920845001</c:v>
                </c:pt>
                <c:pt idx="58">
                  <c:v>-0.133570000529289</c:v>
                </c:pt>
                <c:pt idx="59">
                  <c:v>-0.13355000317096699</c:v>
                </c:pt>
                <c:pt idx="60">
                  <c:v>-0.133520007133484</c:v>
                </c:pt>
                <c:pt idx="61">
                  <c:v>-0.13348999619483901</c:v>
                </c:pt>
                <c:pt idx="62">
                  <c:v>-0.13346000015735601</c:v>
                </c:pt>
                <c:pt idx="63">
                  <c:v>-0.133420005440712</c:v>
                </c:pt>
                <c:pt idx="64">
                  <c:v>-0.13335999846458399</c:v>
                </c:pt>
                <c:pt idx="65">
                  <c:v>-0.13312999904155701</c:v>
                </c:pt>
                <c:pt idx="66">
                  <c:v>-0.13307000696659099</c:v>
                </c:pt>
                <c:pt idx="67">
                  <c:v>-0.13302999734878501</c:v>
                </c:pt>
                <c:pt idx="68">
                  <c:v>-0.132990002632141</c:v>
                </c:pt>
                <c:pt idx="69">
                  <c:v>-0.13271999359130901</c:v>
                </c:pt>
                <c:pt idx="70">
                  <c:v>-0.13269999623298601</c:v>
                </c:pt>
                <c:pt idx="71">
                  <c:v>-0.132660001516342</c:v>
                </c:pt>
                <c:pt idx="72">
                  <c:v>-0.13257999718189201</c:v>
                </c:pt>
                <c:pt idx="73">
                  <c:v>-0.13229000568389901</c:v>
                </c:pt>
                <c:pt idx="74">
                  <c:v>-0.13221000134944899</c:v>
                </c:pt>
                <c:pt idx="75">
                  <c:v>-0.13213999569415999</c:v>
                </c:pt>
                <c:pt idx="76">
                  <c:v>-0.13209000229835499</c:v>
                </c:pt>
                <c:pt idx="77">
                  <c:v>-0.132060006260872</c:v>
                </c:pt>
                <c:pt idx="78">
                  <c:v>-0.13201999664306599</c:v>
                </c:pt>
                <c:pt idx="79">
                  <c:v>-0.13199999928474401</c:v>
                </c:pt>
                <c:pt idx="80">
                  <c:v>-0.132009997963905</c:v>
                </c:pt>
                <c:pt idx="81">
                  <c:v>-0.13201999664306599</c:v>
                </c:pt>
                <c:pt idx="82">
                  <c:v>-0.13201999664306599</c:v>
                </c:pt>
                <c:pt idx="83">
                  <c:v>-0.13202999532222701</c:v>
                </c:pt>
                <c:pt idx="84">
                  <c:v>-0.131940007209778</c:v>
                </c:pt>
                <c:pt idx="85">
                  <c:v>-0.131919994950294</c:v>
                </c:pt>
                <c:pt idx="86">
                  <c:v>-0.13189999759197199</c:v>
                </c:pt>
                <c:pt idx="87">
                  <c:v>-0.131699994206429</c:v>
                </c:pt>
                <c:pt idx="88">
                  <c:v>-0.13168999552726701</c:v>
                </c:pt>
                <c:pt idx="89">
                  <c:v>-0.13113999366760301</c:v>
                </c:pt>
                <c:pt idx="90">
                  <c:v>-0.13082000613212599</c:v>
                </c:pt>
                <c:pt idx="91">
                  <c:v>-0.13059000670909901</c:v>
                </c:pt>
                <c:pt idx="92">
                  <c:v>-0.130309998989105</c:v>
                </c:pt>
                <c:pt idx="93">
                  <c:v>-0.13006000220775599</c:v>
                </c:pt>
                <c:pt idx="94">
                  <c:v>-0.129830002784729</c:v>
                </c:pt>
                <c:pt idx="95">
                  <c:v>-0.12961000204086301</c:v>
                </c:pt>
                <c:pt idx="96">
                  <c:v>-0.129020005464554</c:v>
                </c:pt>
                <c:pt idx="97">
                  <c:v>-0.12809999287128401</c:v>
                </c:pt>
                <c:pt idx="98">
                  <c:v>-0.12722000479698201</c:v>
                </c:pt>
                <c:pt idx="99">
                  <c:v>-0.12644000351428999</c:v>
                </c:pt>
                <c:pt idx="100">
                  <c:v>-0.12612999975681299</c:v>
                </c:pt>
                <c:pt idx="101">
                  <c:v>-0.122429996728897</c:v>
                </c:pt>
                <c:pt idx="102">
                  <c:v>-0.120909996330738</c:v>
                </c:pt>
                <c:pt idx="103">
                  <c:v>-0.118979997932911</c:v>
                </c:pt>
                <c:pt idx="104">
                  <c:v>-0.118479996919632</c:v>
                </c:pt>
                <c:pt idx="105">
                  <c:v>-0.11383000016212499</c:v>
                </c:pt>
                <c:pt idx="106">
                  <c:v>-0.112510003149509</c:v>
                </c:pt>
                <c:pt idx="107">
                  <c:v>-0.108910001814365</c:v>
                </c:pt>
                <c:pt idx="108">
                  <c:v>-0.10761000216007199</c:v>
                </c:pt>
                <c:pt idx="109">
                  <c:v>-0.105760000646114</c:v>
                </c:pt>
                <c:pt idx="110">
                  <c:v>-0.101920001208782</c:v>
                </c:pt>
                <c:pt idx="111">
                  <c:v>-9.8750002682209001E-2</c:v>
                </c:pt>
                <c:pt idx="112">
                  <c:v>-9.6589997410774203E-2</c:v>
                </c:pt>
                <c:pt idx="113">
                  <c:v>-9.5420002937316895E-2</c:v>
                </c:pt>
                <c:pt idx="114">
                  <c:v>-9.3000002205371898E-2</c:v>
                </c:pt>
                <c:pt idx="115">
                  <c:v>-8.8430002331733704E-2</c:v>
                </c:pt>
                <c:pt idx="116">
                  <c:v>-8.6560003459453597E-2</c:v>
                </c:pt>
                <c:pt idx="117">
                  <c:v>-8.2889996469020802E-2</c:v>
                </c:pt>
                <c:pt idx="118">
                  <c:v>-8.0310001969337505E-2</c:v>
                </c:pt>
                <c:pt idx="119">
                  <c:v>-7.6629996299743694E-2</c:v>
                </c:pt>
                <c:pt idx="120">
                  <c:v>-7.5709998607635498E-2</c:v>
                </c:pt>
                <c:pt idx="121">
                  <c:v>-7.4670001864433302E-2</c:v>
                </c:pt>
                <c:pt idx="122">
                  <c:v>-7.3009997606277494E-2</c:v>
                </c:pt>
                <c:pt idx="123">
                  <c:v>-7.2990000247955295E-2</c:v>
                </c:pt>
                <c:pt idx="124">
                  <c:v>-7.2990000247955295E-2</c:v>
                </c:pt>
                <c:pt idx="125">
                  <c:v>-7.2990000247955295E-2</c:v>
                </c:pt>
                <c:pt idx="126">
                  <c:v>-7.2980001568794306E-2</c:v>
                </c:pt>
                <c:pt idx="127">
                  <c:v>-7.2980001568794306E-2</c:v>
                </c:pt>
                <c:pt idx="128">
                  <c:v>-7.2980001568794306E-2</c:v>
                </c:pt>
                <c:pt idx="129">
                  <c:v>-7.2980001568794306E-2</c:v>
                </c:pt>
                <c:pt idx="130">
                  <c:v>-7.2679996490478502E-2</c:v>
                </c:pt>
                <c:pt idx="131">
                  <c:v>-6.8479999899864197E-2</c:v>
                </c:pt>
                <c:pt idx="132">
                  <c:v>-6.7100003361701993E-2</c:v>
                </c:pt>
                <c:pt idx="133">
                  <c:v>-6.5020002424716894E-2</c:v>
                </c:pt>
                <c:pt idx="134">
                  <c:v>-6.1510000377893399E-2</c:v>
                </c:pt>
                <c:pt idx="135">
                  <c:v>-5.8830000460147899E-2</c:v>
                </c:pt>
                <c:pt idx="136">
                  <c:v>-5.5059999227523797E-2</c:v>
                </c:pt>
                <c:pt idx="137">
                  <c:v>-5.5050000548362697E-2</c:v>
                </c:pt>
                <c:pt idx="138">
                  <c:v>-5.1049999892711598E-2</c:v>
                </c:pt>
                <c:pt idx="139">
                  <c:v>-5.1910001784563099E-2</c:v>
                </c:pt>
                <c:pt idx="140">
                  <c:v>-4.8790000379085499E-2</c:v>
                </c:pt>
                <c:pt idx="141">
                  <c:v>-4.4229999184608501E-2</c:v>
                </c:pt>
                <c:pt idx="142">
                  <c:v>-3.8499999791383702E-2</c:v>
                </c:pt>
                <c:pt idx="143">
                  <c:v>-2.3229999467730501E-2</c:v>
                </c:pt>
                <c:pt idx="144">
                  <c:v>-1.4680000022053699E-2</c:v>
                </c:pt>
                <c:pt idx="145">
                  <c:v>-1.18699995800853E-2</c:v>
                </c:pt>
                <c:pt idx="146">
                  <c:v>-6.56000012531877E-3</c:v>
                </c:pt>
                <c:pt idx="147">
                  <c:v>-9.5000001601874796E-4</c:v>
                </c:pt>
                <c:pt idx="148">
                  <c:v>8.0000003799796104E-3</c:v>
                </c:pt>
                <c:pt idx="149">
                  <c:v>1.26700000837445E-2</c:v>
                </c:pt>
                <c:pt idx="150">
                  <c:v>1.55300004407763E-2</c:v>
                </c:pt>
                <c:pt idx="151">
                  <c:v>2.2080000489950201E-2</c:v>
                </c:pt>
                <c:pt idx="152">
                  <c:v>2.3040000349283201E-2</c:v>
                </c:pt>
                <c:pt idx="153">
                  <c:v>2.4110000580549198E-2</c:v>
                </c:pt>
                <c:pt idx="154">
                  <c:v>2.72799991071224E-2</c:v>
                </c:pt>
                <c:pt idx="155">
                  <c:v>3.03000006824732E-2</c:v>
                </c:pt>
                <c:pt idx="156">
                  <c:v>3.4329999238252598E-2</c:v>
                </c:pt>
                <c:pt idx="157">
                  <c:v>3.3250000327825498E-2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8B2-4B73-892A-D428728E043A}"/>
            </c:ext>
          </c:extLst>
        </c:ser>
        <c:ser>
          <c:idx val="6"/>
          <c:order val="6"/>
          <c:tx>
            <c:v>Do Regresji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2"/>
              </a:solidFill>
              <a:ln w="9525">
                <a:solidFill>
                  <a:schemeClr val="bg2">
                    <a:lumMod val="10000"/>
                  </a:schemeClr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tx1">
                    <a:lumMod val="95000"/>
                    <a:lumOff val="5000"/>
                  </a:schemeClr>
                </a:solidFill>
                <a:prstDash val="solid"/>
              </a:ln>
              <a:effectLst/>
            </c:spPr>
            <c:trendlineType val="linear"/>
            <c:forward val="10"/>
            <c:backward val="10"/>
            <c:dispRSqr val="0"/>
            <c:dispEq val="1"/>
            <c:trendlineLbl>
              <c:layout>
                <c:manualLayout>
                  <c:x val="-6.3405661287494738E-2"/>
                  <c:y val="-2.84881567718145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'2'!$X$6:$X$11</c:f>
              <c:numCache>
                <c:formatCode>General</c:formatCode>
                <c:ptCount val="6"/>
                <c:pt idx="0">
                  <c:v>392</c:v>
                </c:pt>
                <c:pt idx="1">
                  <c:v>400</c:v>
                </c:pt>
                <c:pt idx="2">
                  <c:v>405</c:v>
                </c:pt>
                <c:pt idx="3">
                  <c:v>414</c:v>
                </c:pt>
                <c:pt idx="4">
                  <c:v>422</c:v>
                </c:pt>
                <c:pt idx="5">
                  <c:v>429</c:v>
                </c:pt>
              </c:numCache>
            </c:numRef>
          </c:xVal>
          <c:yVal>
            <c:numRef>
              <c:f>'2'!$W$6:$W$11</c:f>
              <c:numCache>
                <c:formatCode>0.000</c:formatCode>
                <c:ptCount val="6"/>
                <c:pt idx="0">
                  <c:v>-0.30698000788688695</c:v>
                </c:pt>
                <c:pt idx="1">
                  <c:v>-0.25229000449180594</c:v>
                </c:pt>
                <c:pt idx="2">
                  <c:v>-0.20213999748230002</c:v>
                </c:pt>
                <c:pt idx="3">
                  <c:v>-0.14868999421596499</c:v>
                </c:pt>
                <c:pt idx="4">
                  <c:v>-9.2450001835822998E-2</c:v>
                </c:pt>
                <c:pt idx="5">
                  <c:v>-3.4020000696181996E-2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56-4894-B31D-5DDCE7924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567584"/>
        <c:axId val="1353556064"/>
      </c:scatterChart>
      <c:valAx>
        <c:axId val="1353567584"/>
        <c:scaling>
          <c:orientation val="minMax"/>
          <c:max val="550"/>
          <c:min val="-1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U[mV]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3556064"/>
        <c:crosses val="autoZero"/>
        <c:crossBetween val="midCat"/>
      </c:valAx>
      <c:valAx>
        <c:axId val="1353556064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I[mA]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5356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70910273383964E-2"/>
          <c:y val="0.10381623709337016"/>
          <c:w val="0.88140608087705852"/>
          <c:h val="0.8536073059360730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729974682368244"/>
                  <c:y val="-1.76727909011373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'3'!$F$26:$F$34</c:f>
                <c:numCache>
                  <c:formatCode>General</c:formatCode>
                  <c:ptCount val="9"/>
                  <c:pt idx="0">
                    <c:v>2.0000000000000001E-4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</c:numCache>
              </c:numRef>
            </c:plus>
            <c:minus>
              <c:numRef>
                <c:f>'3'!$F$26:$F$34</c:f>
                <c:numCache>
                  <c:formatCode>General</c:formatCode>
                  <c:ptCount val="9"/>
                  <c:pt idx="0">
                    <c:v>2.0000000000000001E-4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'3'!$H$26:$H$33</c:f>
                <c:numCache>
                  <c:formatCode>General</c:formatCode>
                  <c:ptCount val="8"/>
                  <c:pt idx="0">
                    <c:v>3.3E-3</c:v>
                  </c:pt>
                  <c:pt idx="1">
                    <c:v>3.5999999999999999E-3</c:v>
                  </c:pt>
                  <c:pt idx="2">
                    <c:v>3.8999999999999998E-3</c:v>
                  </c:pt>
                  <c:pt idx="3">
                    <c:v>4.2000000000000006E-3</c:v>
                  </c:pt>
                  <c:pt idx="4">
                    <c:v>4.5000000000000005E-3</c:v>
                  </c:pt>
                  <c:pt idx="5">
                    <c:v>4.7000000000000002E-3</c:v>
                  </c:pt>
                  <c:pt idx="6">
                    <c:v>4.8999999999999998E-3</c:v>
                  </c:pt>
                  <c:pt idx="7">
                    <c:v>5.0000000000000001E-3</c:v>
                  </c:pt>
                </c:numCache>
              </c:numRef>
            </c:plus>
            <c:minus>
              <c:numRef>
                <c:f>'3'!$H$26:$H$33</c:f>
                <c:numCache>
                  <c:formatCode>General</c:formatCode>
                  <c:ptCount val="8"/>
                  <c:pt idx="0">
                    <c:v>3.3E-3</c:v>
                  </c:pt>
                  <c:pt idx="1">
                    <c:v>3.5999999999999999E-3</c:v>
                  </c:pt>
                  <c:pt idx="2">
                    <c:v>3.8999999999999998E-3</c:v>
                  </c:pt>
                  <c:pt idx="3">
                    <c:v>4.2000000000000006E-3</c:v>
                  </c:pt>
                  <c:pt idx="4">
                    <c:v>4.5000000000000005E-3</c:v>
                  </c:pt>
                  <c:pt idx="5">
                    <c:v>4.7000000000000002E-3</c:v>
                  </c:pt>
                  <c:pt idx="6">
                    <c:v>4.8999999999999998E-3</c:v>
                  </c:pt>
                  <c:pt idx="7">
                    <c:v>5.0000000000000001E-3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'3'!$D$26:$D$33</c:f>
              <c:numCache>
                <c:formatCode>General</c:formatCode>
                <c:ptCount val="8"/>
                <c:pt idx="0">
                  <c:v>3.90625E-3</c:v>
                </c:pt>
                <c:pt idx="1">
                  <c:v>3.0864197530864196E-3</c:v>
                </c:pt>
                <c:pt idx="2">
                  <c:v>2.5000000000000001E-3</c:v>
                </c:pt>
                <c:pt idx="3">
                  <c:v>2.0661157024793389E-3</c:v>
                </c:pt>
                <c:pt idx="4">
                  <c:v>1.736111111111111E-3</c:v>
                </c:pt>
                <c:pt idx="5">
                  <c:v>1.4792899408284023E-3</c:v>
                </c:pt>
                <c:pt idx="6">
                  <c:v>1.2755102040816326E-3</c:v>
                </c:pt>
                <c:pt idx="7">
                  <c:v>1.1111111111111111E-3</c:v>
                </c:pt>
              </c:numCache>
            </c:numRef>
          </c:xVal>
          <c:yVal>
            <c:numRef>
              <c:f>'3'!$G$26:$G$33</c:f>
              <c:numCache>
                <c:formatCode>General</c:formatCode>
                <c:ptCount val="8"/>
                <c:pt idx="0">
                  <c:v>-17.13</c:v>
                </c:pt>
                <c:pt idx="1">
                  <c:v>-15.02</c:v>
                </c:pt>
                <c:pt idx="2">
                  <c:v>-12.61</c:v>
                </c:pt>
                <c:pt idx="3">
                  <c:v>-10.55</c:v>
                </c:pt>
                <c:pt idx="4">
                  <c:v>-8.61</c:v>
                </c:pt>
                <c:pt idx="5">
                  <c:v>-7.81</c:v>
                </c:pt>
                <c:pt idx="6">
                  <c:v>-6.2</c:v>
                </c:pt>
                <c:pt idx="7">
                  <c:v>-5.79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B4-496A-A077-B35D31FB0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40896"/>
        <c:axId val="190315456"/>
      </c:scatterChart>
      <c:valAx>
        <c:axId val="190340896"/>
        <c:scaling>
          <c:orientation val="minMax"/>
          <c:max val="4.2000000000000006E-3"/>
          <c:min val="9.000000000000003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u[1/d^2]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315456"/>
        <c:crosses val="autoZero"/>
        <c:crossBetween val="midCat"/>
      </c:valAx>
      <c:valAx>
        <c:axId val="190315456"/>
        <c:scaling>
          <c:orientation val="minMax"/>
          <c:max val="-4"/>
          <c:min val="-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</a:t>
                </a:r>
                <a:r>
                  <a:rPr lang="pl-PL" sz="1000" b="1" i="0" u="none" strike="noStrike" baseline="0">
                    <a:effectLst/>
                  </a:rPr>
                  <a:t>I[µA]</a:t>
                </a:r>
                <a:r>
                  <a:rPr lang="pl-PL" sz="1000" b="0" i="0" u="none" strike="noStrike" baseline="0"/>
                  <a:t> 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034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</xdr:row>
      <xdr:rowOff>57150</xdr:rowOff>
    </xdr:from>
    <xdr:to>
      <xdr:col>27</xdr:col>
      <xdr:colOff>485775</xdr:colOff>
      <xdr:row>30</xdr:row>
      <xdr:rowOff>114299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09685D8-99AB-2A72-5474-A67C6B96B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160816</xdr:colOff>
      <xdr:row>35</xdr:row>
      <xdr:rowOff>141890</xdr:rowOff>
    </xdr:from>
    <xdr:to>
      <xdr:col>20</xdr:col>
      <xdr:colOff>445205</xdr:colOff>
      <xdr:row>50</xdr:row>
      <xdr:rowOff>31969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2DA6F17-93A4-B3F9-FF85-2B6DF62B5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739588</xdr:colOff>
      <xdr:row>0</xdr:row>
      <xdr:rowOff>50987</xdr:rowOff>
    </xdr:from>
    <xdr:to>
      <xdr:col>13</xdr:col>
      <xdr:colOff>304799</xdr:colOff>
      <xdr:row>24</xdr:row>
      <xdr:rowOff>56030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FEC8425-2AED-F103-7A7F-A70258602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0</xdr:row>
      <xdr:rowOff>133350</xdr:rowOff>
    </xdr:from>
    <xdr:to>
      <xdr:col>17</xdr:col>
      <xdr:colOff>352425</xdr:colOff>
      <xdr:row>22</xdr:row>
      <xdr:rowOff>123825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DA68E47-EA36-EF57-E647-89E2F8587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180975</xdr:rowOff>
    </xdr:from>
    <xdr:ext cx="6324600" cy="953466"/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70F033E5-0EB5-782C-5654-7C676F41F479}"/>
            </a:ext>
          </a:extLst>
        </xdr:cNvPr>
        <xdr:cNvSpPr txBox="1"/>
      </xdr:nvSpPr>
      <xdr:spPr>
        <a:xfrm>
          <a:off x="609600" y="1895475"/>
          <a:ext cx="6324600" cy="95346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l-PL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Wraz ze zmniejszającym się natężeniem prądu diody LED zmniejsza się napięcie rozwarcia i zwiększa prąd zwarcia</a:t>
          </a:r>
          <a:endParaRPr lang="pl-PL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l-PL" sz="1100" baseline="0"/>
        </a:p>
        <a:p>
          <a:r>
            <a:rPr lang="pl-PL" sz="1100" baseline="0"/>
            <a:t>Prawo odwrotnych kwadratów zostało spełnione.</a:t>
          </a:r>
        </a:p>
        <a:p>
          <a:endParaRPr lang="pl-PL" sz="1100" baseline="0"/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712E-9578-42C9-B3AD-2E65AFBA02B3}">
  <dimension ref="A1:N544"/>
  <sheetViews>
    <sheetView topLeftCell="A12" zoomScale="87" zoomScaleNormal="87" workbookViewId="0">
      <selection activeCell="V33" sqref="V33"/>
    </sheetView>
  </sheetViews>
  <sheetFormatPr defaultRowHeight="15" x14ac:dyDescent="0.25"/>
  <cols>
    <col min="1" max="1" width="9.42578125" bestFit="1" customWidth="1"/>
    <col min="2" max="2" width="9.42578125" customWidth="1"/>
    <col min="11" max="11" width="9.42578125" bestFit="1" customWidth="1"/>
    <col min="12" max="12" width="15.28515625" customWidth="1"/>
  </cols>
  <sheetData>
    <row r="1" spans="1:14" x14ac:dyDescent="0.25">
      <c r="C1" s="38" t="s">
        <v>0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x14ac:dyDescent="0.25">
      <c r="C2" s="38" t="s">
        <v>1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x14ac:dyDescent="0.25">
      <c r="C3" s="38" t="s">
        <v>10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x14ac:dyDescent="0.25">
      <c r="C4" s="38" t="s">
        <v>2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7" spans="1:14" x14ac:dyDescent="0.25">
      <c r="A7" s="37" t="s">
        <v>3</v>
      </c>
      <c r="B7" s="37"/>
      <c r="C7" s="37"/>
      <c r="D7" s="37"/>
      <c r="E7" s="37"/>
      <c r="F7" s="37"/>
      <c r="G7" s="37"/>
      <c r="H7" s="37"/>
      <c r="I7" s="37"/>
      <c r="J7" s="37"/>
      <c r="K7" s="37"/>
    </row>
    <row r="9" spans="1:14" ht="15.75" thickBot="1" x14ac:dyDescent="0.3"/>
    <row r="10" spans="1:14" ht="15.75" thickBot="1" x14ac:dyDescent="0.3">
      <c r="A10" s="4" t="s">
        <v>12</v>
      </c>
      <c r="B10" s="47" t="s">
        <v>39</v>
      </c>
      <c r="C10" s="5" t="s">
        <v>4</v>
      </c>
      <c r="D10" s="5" t="s">
        <v>5</v>
      </c>
      <c r="E10" s="46" t="s">
        <v>40</v>
      </c>
      <c r="F10" s="6" t="s">
        <v>6</v>
      </c>
      <c r="G10" s="6" t="s">
        <v>38</v>
      </c>
      <c r="H10" s="44"/>
    </row>
    <row r="11" spans="1:14" x14ac:dyDescent="0.25">
      <c r="A11" s="3">
        <v>5</v>
      </c>
      <c r="B11" s="3">
        <f>A11*0.001</f>
        <v>5.0000000000000001E-3</v>
      </c>
      <c r="C11" s="3">
        <f>ROUNDUP((0.08%*A11+0.001/(SQRT(3))),4)</f>
        <v>4.5999999999999999E-3</v>
      </c>
      <c r="D11" s="3">
        <v>0</v>
      </c>
      <c r="E11" s="3">
        <f>D11*0.001</f>
        <v>0</v>
      </c>
      <c r="F11" s="3">
        <f>ROUNDUP((0.015%*D11+10*0.01/(SQRT(3))),4)</f>
        <v>5.7800000000000004E-2</v>
      </c>
      <c r="G11" s="3" t="e">
        <f>LN(E11)</f>
        <v>#NUM!</v>
      </c>
      <c r="H11" s="45"/>
    </row>
    <row r="12" spans="1:14" x14ac:dyDescent="0.25">
      <c r="A12" s="2">
        <v>7</v>
      </c>
      <c r="B12" s="3">
        <f t="shared" ref="B12:B75" si="0">A12*0.001</f>
        <v>7.0000000000000001E-3</v>
      </c>
      <c r="C12" s="2">
        <f t="shared" ref="C12:C75" si="1">ROUNDUP((0.08%*A12+0.001/(SQRT(3))),4)</f>
        <v>6.2000000000000006E-3</v>
      </c>
      <c r="D12" s="2">
        <v>0</v>
      </c>
      <c r="E12" s="3">
        <f t="shared" ref="E12:E75" si="2">D12*0.001</f>
        <v>0</v>
      </c>
      <c r="F12" s="3">
        <f>ROUNDUP((0.015%*D12+10*0.01/(SQRT(3))),4)</f>
        <v>5.7800000000000004E-2</v>
      </c>
      <c r="G12" s="3" t="e">
        <f t="shared" ref="G12:G75" si="3">LN(E12)</f>
        <v>#NUM!</v>
      </c>
      <c r="H12" s="45"/>
    </row>
    <row r="13" spans="1:14" x14ac:dyDescent="0.25">
      <c r="A13" s="2">
        <v>9</v>
      </c>
      <c r="B13" s="3">
        <f t="shared" si="0"/>
        <v>9.0000000000000011E-3</v>
      </c>
      <c r="C13" s="2">
        <f t="shared" si="1"/>
        <v>7.8000000000000005E-3</v>
      </c>
      <c r="D13" s="2">
        <v>0</v>
      </c>
      <c r="E13" s="3">
        <f t="shared" si="2"/>
        <v>0</v>
      </c>
      <c r="F13" s="3">
        <f>ROUNDUP((0.015%*D13+10*0.01/(SQRT(3))),4)</f>
        <v>5.7800000000000004E-2</v>
      </c>
      <c r="G13" s="3" t="e">
        <f t="shared" si="3"/>
        <v>#NUM!</v>
      </c>
      <c r="H13" s="45"/>
    </row>
    <row r="14" spans="1:14" x14ac:dyDescent="0.25">
      <c r="A14" s="2">
        <v>12</v>
      </c>
      <c r="B14" s="3">
        <f t="shared" si="0"/>
        <v>1.2E-2</v>
      </c>
      <c r="C14" s="2">
        <f t="shared" si="1"/>
        <v>1.0199999999999999E-2</v>
      </c>
      <c r="D14" s="2">
        <v>0</v>
      </c>
      <c r="E14" s="3">
        <f t="shared" si="2"/>
        <v>0</v>
      </c>
      <c r="F14" s="3">
        <f>ROUNDUP((0.015%*D14+10*0.01/(SQRT(3))),4)</f>
        <v>5.7800000000000004E-2</v>
      </c>
      <c r="G14" s="3" t="e">
        <f t="shared" si="3"/>
        <v>#NUM!</v>
      </c>
      <c r="H14" s="45"/>
    </row>
    <row r="15" spans="1:14" ht="15.75" thickBot="1" x14ac:dyDescent="0.3">
      <c r="A15" s="2">
        <v>12</v>
      </c>
      <c r="B15" s="3">
        <f t="shared" si="0"/>
        <v>1.2E-2</v>
      </c>
      <c r="C15" s="2">
        <f t="shared" si="1"/>
        <v>1.0199999999999999E-2</v>
      </c>
      <c r="D15" s="2">
        <v>0</v>
      </c>
      <c r="E15" s="3">
        <f t="shared" si="2"/>
        <v>0</v>
      </c>
      <c r="F15" s="3">
        <f>ROUNDUP((0.015%*D15+10*0.01/(SQRT(3))),4)</f>
        <v>5.7800000000000004E-2</v>
      </c>
      <c r="G15" s="3" t="e">
        <f t="shared" si="3"/>
        <v>#NUM!</v>
      </c>
      <c r="H15" s="45"/>
    </row>
    <row r="16" spans="1:14" ht="15.75" thickBot="1" x14ac:dyDescent="0.3">
      <c r="A16" s="2">
        <v>14</v>
      </c>
      <c r="B16" s="3">
        <f t="shared" si="0"/>
        <v>1.4E-2</v>
      </c>
      <c r="C16" s="2">
        <f t="shared" si="1"/>
        <v>1.18E-2</v>
      </c>
      <c r="D16" s="2">
        <v>0</v>
      </c>
      <c r="E16" s="3">
        <f t="shared" si="2"/>
        <v>0</v>
      </c>
      <c r="F16" s="3">
        <f>ROUNDUP((0.015%*D16+10*0.01/(SQRT(3))),4)</f>
        <v>5.7800000000000004E-2</v>
      </c>
      <c r="G16" s="3" t="e">
        <f t="shared" si="3"/>
        <v>#NUM!</v>
      </c>
      <c r="H16" s="45"/>
      <c r="K16" s="35" t="s">
        <v>11</v>
      </c>
      <c r="L16" s="36"/>
    </row>
    <row r="17" spans="1:13" x14ac:dyDescent="0.25">
      <c r="A17" s="2">
        <v>18</v>
      </c>
      <c r="B17" s="3">
        <f t="shared" si="0"/>
        <v>1.8000000000000002E-2</v>
      </c>
      <c r="C17" s="2">
        <f t="shared" si="1"/>
        <v>1.4999999999999999E-2</v>
      </c>
      <c r="D17" s="2">
        <v>0</v>
      </c>
      <c r="E17" s="3">
        <f t="shared" si="2"/>
        <v>0</v>
      </c>
      <c r="F17" s="3">
        <f>ROUNDUP((0.015%*D17+10*0.01/(SQRT(3))),4)</f>
        <v>5.7800000000000004E-2</v>
      </c>
      <c r="G17" s="3" t="e">
        <f t="shared" si="3"/>
        <v>#NUM!</v>
      </c>
      <c r="H17" s="45"/>
      <c r="J17" t="s">
        <v>14</v>
      </c>
      <c r="K17" s="7" cm="1">
        <f t="array" ref="K17:L21">LINEST(D200:D544,A200:A544,1,1)</f>
        <v>8.0773781809147419E-2</v>
      </c>
      <c r="L17" s="8">
        <v>-50.893624669832242</v>
      </c>
      <c r="M17" t="s">
        <v>15</v>
      </c>
    </row>
    <row r="18" spans="1:13" x14ac:dyDescent="0.25">
      <c r="A18" s="2">
        <v>22</v>
      </c>
      <c r="B18" s="3">
        <f t="shared" si="0"/>
        <v>2.1999999999999999E-2</v>
      </c>
      <c r="C18" s="2">
        <f t="shared" si="1"/>
        <v>1.8200000000000001E-2</v>
      </c>
      <c r="D18" s="2">
        <v>0</v>
      </c>
      <c r="E18" s="3">
        <f t="shared" si="2"/>
        <v>0</v>
      </c>
      <c r="F18" s="3">
        <f>ROUNDUP((0.015%*D18+10*0.01/(SQRT(3))),4)</f>
        <v>5.7800000000000004E-2</v>
      </c>
      <c r="G18" s="3" t="e">
        <f t="shared" si="3"/>
        <v>#NUM!</v>
      </c>
      <c r="H18" s="45"/>
      <c r="J18" t="s">
        <v>16</v>
      </c>
      <c r="K18" s="9">
        <v>6.4237239282564473E-4</v>
      </c>
      <c r="L18" s="10">
        <v>0.49380763733220445</v>
      </c>
      <c r="M18" t="s">
        <v>17</v>
      </c>
    </row>
    <row r="19" spans="1:13" x14ac:dyDescent="0.25">
      <c r="A19" s="2">
        <v>35</v>
      </c>
      <c r="B19" s="3">
        <f t="shared" si="0"/>
        <v>3.5000000000000003E-2</v>
      </c>
      <c r="C19" s="2">
        <f t="shared" si="1"/>
        <v>2.86E-2</v>
      </c>
      <c r="D19" s="2">
        <v>0</v>
      </c>
      <c r="E19" s="3">
        <f t="shared" si="2"/>
        <v>0</v>
      </c>
      <c r="F19" s="3">
        <f>ROUNDUP((0.015%*D19+10*0.01/(SQRT(3))),4)</f>
        <v>5.7800000000000004E-2</v>
      </c>
      <c r="G19" s="3" t="e">
        <f t="shared" si="3"/>
        <v>#NUM!</v>
      </c>
      <c r="H19" s="45"/>
      <c r="K19" s="9">
        <v>0.97876724017937167</v>
      </c>
      <c r="L19" s="10">
        <v>0.78095192643471334</v>
      </c>
    </row>
    <row r="20" spans="1:13" x14ac:dyDescent="0.25">
      <c r="A20" s="2">
        <v>38</v>
      </c>
      <c r="B20" s="3">
        <f t="shared" si="0"/>
        <v>3.7999999999999999E-2</v>
      </c>
      <c r="C20" s="2">
        <f t="shared" si="1"/>
        <v>3.1E-2</v>
      </c>
      <c r="D20" s="2">
        <v>0</v>
      </c>
      <c r="E20" s="3">
        <f t="shared" si="2"/>
        <v>0</v>
      </c>
      <c r="F20" s="3">
        <f>ROUNDUP((0.015%*D20+10*0.01/(SQRT(3))),4)</f>
        <v>5.7800000000000004E-2</v>
      </c>
      <c r="G20" s="3" t="e">
        <f t="shared" si="3"/>
        <v>#NUM!</v>
      </c>
      <c r="H20" s="45"/>
      <c r="K20" s="9">
        <v>15811.282481298644</v>
      </c>
      <c r="L20" s="10">
        <v>343</v>
      </c>
    </row>
    <row r="21" spans="1:13" ht="15.75" thickBot="1" x14ac:dyDescent="0.3">
      <c r="A21" s="2">
        <v>43</v>
      </c>
      <c r="B21" s="3">
        <f t="shared" si="0"/>
        <v>4.3000000000000003E-2</v>
      </c>
      <c r="C21" s="2">
        <f t="shared" si="1"/>
        <v>3.5000000000000003E-2</v>
      </c>
      <c r="D21" s="2">
        <v>0</v>
      </c>
      <c r="E21" s="3">
        <f t="shared" si="2"/>
        <v>0</v>
      </c>
      <c r="F21" s="3">
        <f>ROUNDUP((0.015%*D21+10*0.01/(SQRT(3))),4)</f>
        <v>5.7800000000000004E-2</v>
      </c>
      <c r="G21" s="3" t="e">
        <f t="shared" si="3"/>
        <v>#NUM!</v>
      </c>
      <c r="H21" s="45"/>
      <c r="K21" s="11">
        <v>9643.078426542721</v>
      </c>
      <c r="L21" s="12">
        <v>209.19086761091683</v>
      </c>
    </row>
    <row r="22" spans="1:13" x14ac:dyDescent="0.25">
      <c r="A22" s="2">
        <v>44</v>
      </c>
      <c r="B22" s="3">
        <f t="shared" si="0"/>
        <v>4.3999999999999997E-2</v>
      </c>
      <c r="C22" s="2">
        <f t="shared" si="1"/>
        <v>3.5800000000000005E-2</v>
      </c>
      <c r="D22" s="2">
        <v>0</v>
      </c>
      <c r="E22" s="3">
        <f t="shared" si="2"/>
        <v>0</v>
      </c>
      <c r="F22" s="3">
        <f>ROUNDUP((0.015%*D22+10*0.01/(SQRT(3))),4)</f>
        <v>5.7800000000000004E-2</v>
      </c>
      <c r="G22" s="3" t="e">
        <f t="shared" si="3"/>
        <v>#NUM!</v>
      </c>
      <c r="H22" s="45"/>
    </row>
    <row r="23" spans="1:13" x14ac:dyDescent="0.25">
      <c r="A23" s="2">
        <v>52</v>
      </c>
      <c r="B23" s="3">
        <f t="shared" si="0"/>
        <v>5.2000000000000005E-2</v>
      </c>
      <c r="C23" s="2">
        <f t="shared" si="1"/>
        <v>4.2200000000000001E-2</v>
      </c>
      <c r="D23" s="2">
        <v>0</v>
      </c>
      <c r="E23" s="3">
        <f t="shared" si="2"/>
        <v>0</v>
      </c>
      <c r="F23" s="3">
        <f>ROUNDUP((0.015%*D23+10*0.01/(SQRT(3))),4)</f>
        <v>5.7800000000000004E-2</v>
      </c>
      <c r="G23" s="3" t="e">
        <f t="shared" si="3"/>
        <v>#NUM!</v>
      </c>
      <c r="H23" s="45"/>
    </row>
    <row r="24" spans="1:13" x14ac:dyDescent="0.25">
      <c r="A24" s="2">
        <v>54</v>
      </c>
      <c r="B24" s="3">
        <f t="shared" si="0"/>
        <v>5.3999999999999999E-2</v>
      </c>
      <c r="C24" s="2">
        <f t="shared" si="1"/>
        <v>4.3800000000000006E-2</v>
      </c>
      <c r="D24" s="2">
        <v>0</v>
      </c>
      <c r="E24" s="3">
        <f t="shared" si="2"/>
        <v>0</v>
      </c>
      <c r="F24" s="3">
        <f>ROUNDUP((0.015%*D24+10*0.01/(SQRT(3))),4)</f>
        <v>5.7800000000000004E-2</v>
      </c>
      <c r="G24" s="3" t="e">
        <f t="shared" si="3"/>
        <v>#NUM!</v>
      </c>
      <c r="H24" s="45"/>
      <c r="K24" s="1" t="s">
        <v>46</v>
      </c>
      <c r="L24" s="2">
        <f>ROUND(K17,3)</f>
        <v>8.1000000000000003E-2</v>
      </c>
    </row>
    <row r="25" spans="1:13" x14ac:dyDescent="0.25">
      <c r="A25" s="2">
        <v>58</v>
      </c>
      <c r="B25" s="3">
        <f t="shared" si="0"/>
        <v>5.8000000000000003E-2</v>
      </c>
      <c r="C25" s="2">
        <f t="shared" si="1"/>
        <v>4.7E-2</v>
      </c>
      <c r="D25" s="2">
        <v>0</v>
      </c>
      <c r="E25" s="3">
        <f t="shared" si="2"/>
        <v>0</v>
      </c>
      <c r="F25" s="3">
        <f>ROUNDUP((0.015%*D25+10*0.01/(SQRT(3))),4)</f>
        <v>5.7800000000000004E-2</v>
      </c>
      <c r="G25" s="3" t="e">
        <f t="shared" si="3"/>
        <v>#NUM!</v>
      </c>
      <c r="H25" s="45"/>
      <c r="K25" s="1" t="s">
        <v>7</v>
      </c>
      <c r="L25" s="2">
        <f>ROUNDUP(K18,3)</f>
        <v>1E-3</v>
      </c>
    </row>
    <row r="26" spans="1:13" x14ac:dyDescent="0.25">
      <c r="A26" s="2">
        <v>60</v>
      </c>
      <c r="B26" s="3">
        <f t="shared" si="0"/>
        <v>0.06</v>
      </c>
      <c r="C26" s="2">
        <f t="shared" si="1"/>
        <v>4.8600000000000004E-2</v>
      </c>
      <c r="D26" s="2">
        <v>-1.00000004749745E-3</v>
      </c>
      <c r="E26" s="3">
        <f t="shared" si="2"/>
        <v>-1.00000004749745E-6</v>
      </c>
      <c r="F26" s="3">
        <f>ROUNDUP((0.015%*D26+10*0.01/(SQRT(3))),4)</f>
        <v>5.7800000000000004E-2</v>
      </c>
      <c r="G26" s="3" t="e">
        <f t="shared" si="3"/>
        <v>#NUM!</v>
      </c>
      <c r="H26" s="45"/>
    </row>
    <row r="27" spans="1:13" x14ac:dyDescent="0.25">
      <c r="A27" s="2">
        <v>64</v>
      </c>
      <c r="B27" s="3">
        <f t="shared" si="0"/>
        <v>6.4000000000000001E-2</v>
      </c>
      <c r="C27" s="2">
        <f t="shared" si="1"/>
        <v>5.1800000000000006E-2</v>
      </c>
      <c r="D27" s="2">
        <v>1.00000004749745E-3</v>
      </c>
      <c r="E27" s="3">
        <f t="shared" si="2"/>
        <v>1.00000004749745E-6</v>
      </c>
      <c r="F27" s="3">
        <f>ROUNDUP((0.015%*D27+10*0.01/(SQRT(3))),4)</f>
        <v>5.7800000000000004E-2</v>
      </c>
      <c r="G27" s="3">
        <f t="shared" si="3"/>
        <v>-13.815510510466826</v>
      </c>
      <c r="H27" s="45"/>
      <c r="K27" s="1" t="s">
        <v>44</v>
      </c>
      <c r="L27" s="2">
        <f>ROUND(L17,1)</f>
        <v>-50.9</v>
      </c>
    </row>
    <row r="28" spans="1:13" x14ac:dyDescent="0.25">
      <c r="A28" s="2">
        <v>66</v>
      </c>
      <c r="B28" s="3">
        <f t="shared" si="0"/>
        <v>6.6000000000000003E-2</v>
      </c>
      <c r="C28" s="2">
        <f t="shared" si="1"/>
        <v>5.3400000000000003E-2</v>
      </c>
      <c r="D28" s="2">
        <v>0</v>
      </c>
      <c r="E28" s="3">
        <f t="shared" si="2"/>
        <v>0</v>
      </c>
      <c r="F28" s="3">
        <f>ROUNDUP((0.015%*D28+10*0.01/(SQRT(3))),4)</f>
        <v>5.7800000000000004E-2</v>
      </c>
      <c r="G28" s="3" t="e">
        <f t="shared" si="3"/>
        <v>#NUM!</v>
      </c>
      <c r="H28" s="45"/>
      <c r="K28" s="1" t="s">
        <v>8</v>
      </c>
      <c r="L28" s="2">
        <f>ROUNDUP(L18,1)</f>
        <v>0.5</v>
      </c>
    </row>
    <row r="29" spans="1:13" x14ac:dyDescent="0.25">
      <c r="A29" s="2">
        <v>69</v>
      </c>
      <c r="B29" s="3">
        <f t="shared" si="0"/>
        <v>6.9000000000000006E-2</v>
      </c>
      <c r="C29" s="2">
        <f t="shared" si="1"/>
        <v>5.5800000000000002E-2</v>
      </c>
      <c r="D29" s="2">
        <v>0</v>
      </c>
      <c r="E29" s="3">
        <f t="shared" si="2"/>
        <v>0</v>
      </c>
      <c r="F29" s="3">
        <f>ROUNDUP((0.015%*D29+10*0.01/(SQRT(3))),4)</f>
        <v>5.7800000000000004E-2</v>
      </c>
      <c r="G29" s="3" t="e">
        <f t="shared" si="3"/>
        <v>#NUM!</v>
      </c>
      <c r="H29" s="45"/>
    </row>
    <row r="30" spans="1:13" x14ac:dyDescent="0.25">
      <c r="A30" s="2">
        <v>71</v>
      </c>
      <c r="B30" s="3">
        <f t="shared" si="0"/>
        <v>7.1000000000000008E-2</v>
      </c>
      <c r="C30" s="2">
        <f t="shared" si="1"/>
        <v>5.74E-2</v>
      </c>
      <c r="D30" s="2">
        <v>0</v>
      </c>
      <c r="E30" s="3">
        <f t="shared" si="2"/>
        <v>0</v>
      </c>
      <c r="F30" s="3">
        <f>ROUNDUP((0.015%*D30+10*0.01/(SQRT(3))),4)</f>
        <v>5.7800000000000004E-2</v>
      </c>
      <c r="G30" s="3" t="e">
        <f t="shared" si="3"/>
        <v>#NUM!</v>
      </c>
      <c r="H30" s="45"/>
      <c r="K30" s="1" t="s">
        <v>45</v>
      </c>
      <c r="L30" s="2">
        <f>ROUND(-L27/L24,1)</f>
        <v>628.4</v>
      </c>
    </row>
    <row r="31" spans="1:13" x14ac:dyDescent="0.25">
      <c r="A31" s="2">
        <v>73</v>
      </c>
      <c r="B31" s="3">
        <f t="shared" si="0"/>
        <v>7.2999999999999995E-2</v>
      </c>
      <c r="C31" s="2">
        <f t="shared" si="1"/>
        <v>5.9000000000000004E-2</v>
      </c>
      <c r="D31" s="2">
        <v>0</v>
      </c>
      <c r="E31" s="3">
        <f t="shared" si="2"/>
        <v>0</v>
      </c>
      <c r="F31" s="3">
        <f>ROUNDUP((0.015%*D31+10*0.01/(SQRT(3))),4)</f>
        <v>5.7800000000000004E-2</v>
      </c>
      <c r="G31" s="3" t="e">
        <f t="shared" si="3"/>
        <v>#NUM!</v>
      </c>
      <c r="H31" s="45"/>
      <c r="K31" s="1" t="s">
        <v>9</v>
      </c>
      <c r="L31" s="2">
        <f>ROUNDUP((SQRT((L27/L24^2)*L25+(L28/L24)^2)),2)</f>
        <v>5.51</v>
      </c>
    </row>
    <row r="32" spans="1:13" x14ac:dyDescent="0.25">
      <c r="A32" s="2">
        <v>76</v>
      </c>
      <c r="B32" s="3">
        <f t="shared" si="0"/>
        <v>7.5999999999999998E-2</v>
      </c>
      <c r="C32" s="2">
        <f t="shared" si="1"/>
        <v>6.1400000000000003E-2</v>
      </c>
      <c r="D32" s="2">
        <v>0</v>
      </c>
      <c r="E32" s="3">
        <f t="shared" si="2"/>
        <v>0</v>
      </c>
      <c r="F32" s="3">
        <f>ROUNDUP((0.015%*D32+10*0.01/(SQRT(3))),4)</f>
        <v>5.7800000000000004E-2</v>
      </c>
      <c r="G32" s="3" t="e">
        <f t="shared" si="3"/>
        <v>#NUM!</v>
      </c>
      <c r="H32" s="45"/>
    </row>
    <row r="33" spans="1:12" x14ac:dyDescent="0.25">
      <c r="A33" s="2">
        <v>78</v>
      </c>
      <c r="B33" s="3">
        <f t="shared" si="0"/>
        <v>7.8E-2</v>
      </c>
      <c r="C33" s="2">
        <f t="shared" si="1"/>
        <v>6.3E-2</v>
      </c>
      <c r="D33" s="2">
        <v>0</v>
      </c>
      <c r="E33" s="3">
        <f t="shared" si="2"/>
        <v>0</v>
      </c>
      <c r="F33" s="3">
        <f>ROUNDUP((0.015%*D33+10*0.01/(SQRT(3))),4)</f>
        <v>5.7800000000000004E-2</v>
      </c>
      <c r="G33" s="3" t="e">
        <f t="shared" si="3"/>
        <v>#NUM!</v>
      </c>
      <c r="H33" s="45"/>
    </row>
    <row r="34" spans="1:12" x14ac:dyDescent="0.25">
      <c r="A34" s="2">
        <v>86</v>
      </c>
      <c r="B34" s="3">
        <f t="shared" si="0"/>
        <v>8.6000000000000007E-2</v>
      </c>
      <c r="C34" s="2">
        <f t="shared" si="1"/>
        <v>6.9400000000000003E-2</v>
      </c>
      <c r="D34" s="2">
        <v>0</v>
      </c>
      <c r="E34" s="3">
        <f t="shared" si="2"/>
        <v>0</v>
      </c>
      <c r="F34" s="3">
        <f>ROUNDUP((0.015%*D34+10*0.01/(SQRT(3))),4)</f>
        <v>5.7800000000000004E-2</v>
      </c>
      <c r="G34" s="3" t="e">
        <f t="shared" si="3"/>
        <v>#NUM!</v>
      </c>
      <c r="H34" s="45"/>
    </row>
    <row r="35" spans="1:12" x14ac:dyDescent="0.25">
      <c r="A35" s="2">
        <v>93</v>
      </c>
      <c r="B35" s="3">
        <f t="shared" si="0"/>
        <v>9.2999999999999999E-2</v>
      </c>
      <c r="C35" s="2">
        <f t="shared" si="1"/>
        <v>7.4999999999999997E-2</v>
      </c>
      <c r="D35" s="2">
        <v>0</v>
      </c>
      <c r="E35" s="3">
        <f t="shared" si="2"/>
        <v>0</v>
      </c>
      <c r="F35" s="3">
        <f>ROUNDUP((0.015%*D35+10*0.01/(SQRT(3))),4)</f>
        <v>5.7800000000000004E-2</v>
      </c>
      <c r="G35" s="3" t="e">
        <f t="shared" si="3"/>
        <v>#NUM!</v>
      </c>
      <c r="H35" s="45"/>
    </row>
    <row r="36" spans="1:12" x14ac:dyDescent="0.25">
      <c r="A36" s="2">
        <v>97</v>
      </c>
      <c r="B36" s="3">
        <f t="shared" si="0"/>
        <v>9.7000000000000003E-2</v>
      </c>
      <c r="C36" s="2">
        <f t="shared" si="1"/>
        <v>7.8200000000000006E-2</v>
      </c>
      <c r="D36" s="2">
        <v>0</v>
      </c>
      <c r="E36" s="3">
        <f t="shared" si="2"/>
        <v>0</v>
      </c>
      <c r="F36" s="3">
        <f>ROUNDUP((0.015%*D36+10*0.01/(SQRT(3))),4)</f>
        <v>5.7800000000000004E-2</v>
      </c>
      <c r="G36" s="3" t="e">
        <f t="shared" si="3"/>
        <v>#NUM!</v>
      </c>
      <c r="H36" s="45"/>
    </row>
    <row r="37" spans="1:12" x14ac:dyDescent="0.25">
      <c r="A37" s="2">
        <v>100</v>
      </c>
      <c r="B37" s="3">
        <f t="shared" si="0"/>
        <v>0.1</v>
      </c>
      <c r="C37" s="2">
        <f t="shared" si="1"/>
        <v>8.0600000000000005E-2</v>
      </c>
      <c r="D37" s="2">
        <v>0</v>
      </c>
      <c r="E37" s="3">
        <f t="shared" si="2"/>
        <v>0</v>
      </c>
      <c r="F37" s="3">
        <f>ROUNDUP((0.015%*D37+10*0.01/(SQRT(3))),4)</f>
        <v>5.7800000000000004E-2</v>
      </c>
      <c r="G37" s="3" t="e">
        <f t="shared" si="3"/>
        <v>#NUM!</v>
      </c>
      <c r="H37" s="45"/>
    </row>
    <row r="38" spans="1:12" x14ac:dyDescent="0.25">
      <c r="A38" s="2">
        <v>118</v>
      </c>
      <c r="B38" s="3">
        <f t="shared" si="0"/>
        <v>0.11800000000000001</v>
      </c>
      <c r="C38" s="2">
        <f t="shared" si="1"/>
        <v>9.5000000000000001E-2</v>
      </c>
      <c r="D38" s="2">
        <v>0</v>
      </c>
      <c r="E38" s="3">
        <f t="shared" si="2"/>
        <v>0</v>
      </c>
      <c r="F38" s="3">
        <f>ROUNDUP((0.015%*D38+10*0.01/(SQRT(3))),4)</f>
        <v>5.7800000000000004E-2</v>
      </c>
      <c r="G38" s="3" t="e">
        <f t="shared" si="3"/>
        <v>#NUM!</v>
      </c>
      <c r="H38" s="45"/>
    </row>
    <row r="39" spans="1:12" x14ac:dyDescent="0.25">
      <c r="A39" s="2">
        <v>123</v>
      </c>
      <c r="B39" s="3">
        <f t="shared" si="0"/>
        <v>0.123</v>
      </c>
      <c r="C39" s="2">
        <f t="shared" si="1"/>
        <v>9.9000000000000005E-2</v>
      </c>
      <c r="D39" s="2">
        <v>0</v>
      </c>
      <c r="E39" s="3">
        <f t="shared" si="2"/>
        <v>0</v>
      </c>
      <c r="F39" s="3">
        <f>ROUNDUP((0.015%*D39+10*0.01/(SQRT(3))),4)</f>
        <v>5.7800000000000004E-2</v>
      </c>
      <c r="G39" s="3" t="e">
        <f t="shared" si="3"/>
        <v>#NUM!</v>
      </c>
      <c r="H39" s="45"/>
    </row>
    <row r="40" spans="1:12" x14ac:dyDescent="0.25">
      <c r="A40" s="2">
        <v>127</v>
      </c>
      <c r="B40" s="3">
        <f t="shared" si="0"/>
        <v>0.127</v>
      </c>
      <c r="C40" s="2">
        <f t="shared" si="1"/>
        <v>0.1022</v>
      </c>
      <c r="D40" s="2">
        <v>-1.00000004749745E-3</v>
      </c>
      <c r="E40" s="3">
        <f t="shared" si="2"/>
        <v>-1.00000004749745E-6</v>
      </c>
      <c r="F40" s="3">
        <f>ROUNDUP((0.015%*D40+10*0.01/(SQRT(3))),4)</f>
        <v>5.7800000000000004E-2</v>
      </c>
      <c r="G40" s="3" t="e">
        <f t="shared" si="3"/>
        <v>#NUM!</v>
      </c>
      <c r="H40" s="45"/>
    </row>
    <row r="41" spans="1:12" x14ac:dyDescent="0.25">
      <c r="A41" s="2">
        <v>131</v>
      </c>
      <c r="B41" s="3">
        <f t="shared" si="0"/>
        <v>0.13100000000000001</v>
      </c>
      <c r="C41" s="2">
        <f t="shared" si="1"/>
        <v>0.10540000000000001</v>
      </c>
      <c r="D41" s="2">
        <v>1.00000004749745E-3</v>
      </c>
      <c r="E41" s="3">
        <f t="shared" si="2"/>
        <v>1.00000004749745E-6</v>
      </c>
      <c r="F41" s="3">
        <f>ROUNDUP((0.015%*D41+10*0.01/(SQRT(3))),4)</f>
        <v>5.7800000000000004E-2</v>
      </c>
      <c r="G41" s="3">
        <f t="shared" si="3"/>
        <v>-13.815510510466826</v>
      </c>
      <c r="H41" s="45"/>
    </row>
    <row r="42" spans="1:12" x14ac:dyDescent="0.25">
      <c r="A42" s="2">
        <v>137</v>
      </c>
      <c r="B42" s="3">
        <f t="shared" si="0"/>
        <v>0.13700000000000001</v>
      </c>
      <c r="C42" s="2">
        <f t="shared" si="1"/>
        <v>0.11020000000000001</v>
      </c>
      <c r="D42" s="2">
        <v>1.00000004749745E-3</v>
      </c>
      <c r="E42" s="3">
        <f t="shared" si="2"/>
        <v>1.00000004749745E-6</v>
      </c>
      <c r="F42" s="3">
        <f>ROUNDUP((0.015%*D42+10*0.01/(SQRT(3))),4)</f>
        <v>5.7800000000000004E-2</v>
      </c>
      <c r="G42" s="3">
        <f t="shared" si="3"/>
        <v>-13.815510510466826</v>
      </c>
      <c r="H42" s="45"/>
      <c r="K42" t="s">
        <v>43</v>
      </c>
      <c r="L42" s="3">
        <f>E544</f>
        <v>2.1422000885009802E-2</v>
      </c>
    </row>
    <row r="43" spans="1:12" x14ac:dyDescent="0.25">
      <c r="A43" s="2">
        <v>142</v>
      </c>
      <c r="B43" s="3">
        <f t="shared" si="0"/>
        <v>0.14200000000000002</v>
      </c>
      <c r="C43" s="2">
        <f t="shared" si="1"/>
        <v>0.1142</v>
      </c>
      <c r="D43" s="2">
        <v>-1.00000004749745E-3</v>
      </c>
      <c r="E43" s="3">
        <f t="shared" si="2"/>
        <v>-1.00000004749745E-6</v>
      </c>
      <c r="F43" s="3">
        <f>ROUNDUP((0.015%*D43+10*0.01/(SQRT(3))),4)</f>
        <v>5.7800000000000004E-2</v>
      </c>
      <c r="G43" s="3" t="e">
        <f t="shared" si="3"/>
        <v>#NUM!</v>
      </c>
      <c r="H43" s="45"/>
      <c r="K43" t="s">
        <v>41</v>
      </c>
      <c r="L43" s="3">
        <f>LN(E544)</f>
        <v>-3.8433368063265734</v>
      </c>
    </row>
    <row r="44" spans="1:12" x14ac:dyDescent="0.25">
      <c r="A44" s="2">
        <v>151</v>
      </c>
      <c r="B44" s="3">
        <f t="shared" si="0"/>
        <v>0.151</v>
      </c>
      <c r="C44" s="2">
        <f t="shared" si="1"/>
        <v>0.12140000000000001</v>
      </c>
      <c r="D44" s="2">
        <v>-1.00000004749745E-3</v>
      </c>
      <c r="E44" s="3">
        <f t="shared" si="2"/>
        <v>-1.00000004749745E-6</v>
      </c>
      <c r="F44" s="3">
        <f>ROUNDUP((0.015%*D44+10*0.01/(SQRT(3))),4)</f>
        <v>5.7800000000000004E-2</v>
      </c>
      <c r="G44" s="3" t="e">
        <f t="shared" si="3"/>
        <v>#NUM!</v>
      </c>
      <c r="H44" s="45"/>
      <c r="K44" t="s">
        <v>42</v>
      </c>
      <c r="L44">
        <f>((L43+18.473)/20.644)</f>
        <v>0.708664173303305</v>
      </c>
    </row>
    <row r="45" spans="1:12" x14ac:dyDescent="0.25">
      <c r="A45" s="2">
        <v>155</v>
      </c>
      <c r="B45" s="3">
        <f t="shared" si="0"/>
        <v>0.155</v>
      </c>
      <c r="C45" s="2">
        <f t="shared" si="1"/>
        <v>0.1246</v>
      </c>
      <c r="D45" s="2">
        <v>-1.00000004749745E-3</v>
      </c>
      <c r="E45" s="3">
        <f t="shared" si="2"/>
        <v>-1.00000004749745E-6</v>
      </c>
      <c r="F45" s="3">
        <f>ROUNDUP((0.015%*D45+10*0.01/(SQRT(3))),4)</f>
        <v>5.7800000000000004E-2</v>
      </c>
      <c r="G45" s="3" t="e">
        <f t="shared" si="3"/>
        <v>#NUM!</v>
      </c>
      <c r="H45" s="45"/>
    </row>
    <row r="46" spans="1:12" x14ac:dyDescent="0.25">
      <c r="A46" s="2">
        <v>162</v>
      </c>
      <c r="B46" s="3">
        <f t="shared" si="0"/>
        <v>0.16200000000000001</v>
      </c>
      <c r="C46" s="2">
        <f t="shared" si="1"/>
        <v>0.13019999999999998</v>
      </c>
      <c r="D46" s="2">
        <v>-1.00000004749745E-3</v>
      </c>
      <c r="E46" s="3">
        <f t="shared" si="2"/>
        <v>-1.00000004749745E-6</v>
      </c>
      <c r="F46" s="3">
        <f>ROUNDUP((0.015%*D46+10*0.01/(SQRT(3))),4)</f>
        <v>5.7800000000000004E-2</v>
      </c>
      <c r="G46" s="3" t="e">
        <f t="shared" si="3"/>
        <v>#NUM!</v>
      </c>
      <c r="H46" s="45"/>
      <c r="K46" t="s">
        <v>48</v>
      </c>
      <c r="L46">
        <f>(B544-L44)/E544</f>
        <v>7.81140041935996</v>
      </c>
    </row>
    <row r="47" spans="1:12" x14ac:dyDescent="0.25">
      <c r="A47" s="2">
        <v>168</v>
      </c>
      <c r="B47" s="3">
        <f t="shared" si="0"/>
        <v>0.16800000000000001</v>
      </c>
      <c r="C47" s="2">
        <f t="shared" si="1"/>
        <v>0.13499999999999998</v>
      </c>
      <c r="D47" s="2">
        <v>0</v>
      </c>
      <c r="E47" s="3">
        <f t="shared" si="2"/>
        <v>0</v>
      </c>
      <c r="F47" s="3">
        <f>ROUNDUP((0.015%*D47+10*0.01/(SQRT(3))),4)</f>
        <v>5.7800000000000004E-2</v>
      </c>
      <c r="G47" s="3" t="e">
        <f t="shared" si="3"/>
        <v>#NUM!</v>
      </c>
      <c r="H47" s="45"/>
    </row>
    <row r="48" spans="1:12" x14ac:dyDescent="0.25">
      <c r="A48" s="2">
        <v>185</v>
      </c>
      <c r="B48" s="3">
        <f t="shared" si="0"/>
        <v>0.185</v>
      </c>
      <c r="C48" s="2">
        <f t="shared" si="1"/>
        <v>0.14859999999999998</v>
      </c>
      <c r="D48" s="2">
        <v>0</v>
      </c>
      <c r="E48" s="3">
        <f t="shared" si="2"/>
        <v>0</v>
      </c>
      <c r="F48" s="3">
        <f>ROUNDUP((0.015%*D48+10*0.01/(SQRT(3))),4)</f>
        <v>5.7800000000000004E-2</v>
      </c>
      <c r="G48" s="3" t="e">
        <f t="shared" si="3"/>
        <v>#NUM!</v>
      </c>
      <c r="H48" s="45"/>
    </row>
    <row r="49" spans="1:8" x14ac:dyDescent="0.25">
      <c r="A49" s="2">
        <v>188</v>
      </c>
      <c r="B49" s="3">
        <f t="shared" si="0"/>
        <v>0.188</v>
      </c>
      <c r="C49" s="2">
        <f t="shared" si="1"/>
        <v>0.151</v>
      </c>
      <c r="D49" s="2">
        <v>0</v>
      </c>
      <c r="E49" s="3">
        <f t="shared" si="2"/>
        <v>0</v>
      </c>
      <c r="F49" s="3">
        <f>ROUNDUP((0.015%*D49+10*0.01/(SQRT(3))),4)</f>
        <v>5.7800000000000004E-2</v>
      </c>
      <c r="G49" s="3" t="e">
        <f t="shared" si="3"/>
        <v>#NUM!</v>
      </c>
      <c r="H49" s="45"/>
    </row>
    <row r="50" spans="1:8" x14ac:dyDescent="0.25">
      <c r="A50" s="2">
        <v>191</v>
      </c>
      <c r="B50" s="3">
        <f t="shared" si="0"/>
        <v>0.191</v>
      </c>
      <c r="C50" s="2">
        <f t="shared" si="1"/>
        <v>0.15339999999999998</v>
      </c>
      <c r="D50" s="2">
        <v>0</v>
      </c>
      <c r="E50" s="3">
        <f t="shared" si="2"/>
        <v>0</v>
      </c>
      <c r="F50" s="3">
        <f>ROUNDUP((0.015%*D50+10*0.01/(SQRT(3))),4)</f>
        <v>5.7800000000000004E-2</v>
      </c>
      <c r="G50" s="3" t="e">
        <f t="shared" si="3"/>
        <v>#NUM!</v>
      </c>
      <c r="H50" s="45"/>
    </row>
    <row r="51" spans="1:8" x14ac:dyDescent="0.25">
      <c r="A51" s="2">
        <v>201</v>
      </c>
      <c r="B51" s="3">
        <f t="shared" si="0"/>
        <v>0.20100000000000001</v>
      </c>
      <c r="C51" s="2">
        <f t="shared" si="1"/>
        <v>0.16139999999999999</v>
      </c>
      <c r="D51" s="2">
        <v>0</v>
      </c>
      <c r="E51" s="3">
        <f t="shared" si="2"/>
        <v>0</v>
      </c>
      <c r="F51" s="3">
        <f>ROUNDUP((0.015%*D51+10*0.01/(SQRT(3))),4)</f>
        <v>5.7800000000000004E-2</v>
      </c>
      <c r="G51" s="3" t="e">
        <f t="shared" si="3"/>
        <v>#NUM!</v>
      </c>
      <c r="H51" s="45"/>
    </row>
    <row r="52" spans="1:8" x14ac:dyDescent="0.25">
      <c r="A52" s="2">
        <v>208</v>
      </c>
      <c r="B52" s="3">
        <f t="shared" si="0"/>
        <v>0.20800000000000002</v>
      </c>
      <c r="C52" s="2">
        <f t="shared" si="1"/>
        <v>0.16699999999999998</v>
      </c>
      <c r="D52" s="2">
        <v>0</v>
      </c>
      <c r="E52" s="3">
        <f t="shared" si="2"/>
        <v>0</v>
      </c>
      <c r="F52" s="3">
        <f>ROUNDUP((0.015%*D52+10*0.01/(SQRT(3))),4)</f>
        <v>5.7800000000000004E-2</v>
      </c>
      <c r="G52" s="3" t="e">
        <f t="shared" si="3"/>
        <v>#NUM!</v>
      </c>
      <c r="H52" s="45"/>
    </row>
    <row r="53" spans="1:8" x14ac:dyDescent="0.25">
      <c r="A53" s="2">
        <v>234</v>
      </c>
      <c r="B53" s="3">
        <f t="shared" si="0"/>
        <v>0.23400000000000001</v>
      </c>
      <c r="C53" s="2">
        <f t="shared" si="1"/>
        <v>0.18779999999999999</v>
      </c>
      <c r="D53" s="2">
        <v>-1.00000004749745E-3</v>
      </c>
      <c r="E53" s="3">
        <f t="shared" si="2"/>
        <v>-1.00000004749745E-6</v>
      </c>
      <c r="F53" s="3">
        <f>ROUNDUP((0.015%*D53+10*0.01/(SQRT(3))),4)</f>
        <v>5.7800000000000004E-2</v>
      </c>
      <c r="G53" s="3" t="e">
        <f t="shared" si="3"/>
        <v>#NUM!</v>
      </c>
      <c r="H53" s="45"/>
    </row>
    <row r="54" spans="1:8" x14ac:dyDescent="0.25">
      <c r="A54" s="2">
        <v>241</v>
      </c>
      <c r="B54" s="3">
        <f t="shared" si="0"/>
        <v>0.24099999999999999</v>
      </c>
      <c r="C54" s="2">
        <f t="shared" si="1"/>
        <v>0.19339999999999999</v>
      </c>
      <c r="D54" s="2">
        <v>1.00000004749745E-3</v>
      </c>
      <c r="E54" s="3">
        <f t="shared" si="2"/>
        <v>1.00000004749745E-6</v>
      </c>
      <c r="F54" s="3">
        <f>ROUNDUP((0.015%*D54+10*0.01/(SQRT(3))),4)</f>
        <v>5.7800000000000004E-2</v>
      </c>
      <c r="G54" s="3">
        <f t="shared" si="3"/>
        <v>-13.815510510466826</v>
      </c>
      <c r="H54" s="45"/>
    </row>
    <row r="55" spans="1:8" x14ac:dyDescent="0.25">
      <c r="A55" s="2">
        <v>246</v>
      </c>
      <c r="B55" s="3">
        <f t="shared" si="0"/>
        <v>0.246</v>
      </c>
      <c r="C55" s="2">
        <f t="shared" si="1"/>
        <v>0.19739999999999999</v>
      </c>
      <c r="D55" s="2">
        <v>0</v>
      </c>
      <c r="E55" s="3">
        <f t="shared" si="2"/>
        <v>0</v>
      </c>
      <c r="F55" s="3">
        <f>ROUNDUP((0.015%*D55+10*0.01/(SQRT(3))),4)</f>
        <v>5.7800000000000004E-2</v>
      </c>
      <c r="G55" s="3" t="e">
        <f t="shared" si="3"/>
        <v>#NUM!</v>
      </c>
      <c r="H55" s="45"/>
    </row>
    <row r="56" spans="1:8" x14ac:dyDescent="0.25">
      <c r="A56" s="2">
        <v>251</v>
      </c>
      <c r="B56" s="3">
        <f t="shared" si="0"/>
        <v>0.251</v>
      </c>
      <c r="C56" s="2">
        <f t="shared" si="1"/>
        <v>0.2014</v>
      </c>
      <c r="D56" s="2">
        <v>0</v>
      </c>
      <c r="E56" s="3">
        <f t="shared" si="2"/>
        <v>0</v>
      </c>
      <c r="F56" s="3">
        <f>ROUNDUP((0.015%*D56+10*0.01/(SQRT(3))),4)</f>
        <v>5.7800000000000004E-2</v>
      </c>
      <c r="G56" s="3" t="e">
        <f t="shared" si="3"/>
        <v>#NUM!</v>
      </c>
      <c r="H56" s="45"/>
    </row>
    <row r="57" spans="1:8" x14ac:dyDescent="0.25">
      <c r="A57" s="2">
        <v>264</v>
      </c>
      <c r="B57" s="3">
        <f t="shared" si="0"/>
        <v>0.26400000000000001</v>
      </c>
      <c r="C57" s="2">
        <f t="shared" si="1"/>
        <v>0.21179999999999999</v>
      </c>
      <c r="D57" s="2">
        <v>0</v>
      </c>
      <c r="E57" s="3">
        <f t="shared" si="2"/>
        <v>0</v>
      </c>
      <c r="F57" s="3">
        <f>ROUNDUP((0.015%*D57+10*0.01/(SQRT(3))),4)</f>
        <v>5.7800000000000004E-2</v>
      </c>
      <c r="G57" s="3" t="e">
        <f t="shared" si="3"/>
        <v>#NUM!</v>
      </c>
      <c r="H57" s="45"/>
    </row>
    <row r="58" spans="1:8" x14ac:dyDescent="0.25">
      <c r="A58" s="2">
        <v>269</v>
      </c>
      <c r="B58" s="3">
        <f t="shared" si="0"/>
        <v>0.26900000000000002</v>
      </c>
      <c r="C58" s="2">
        <f t="shared" si="1"/>
        <v>0.21579999999999999</v>
      </c>
      <c r="D58" s="2">
        <v>0</v>
      </c>
      <c r="E58" s="3">
        <f t="shared" si="2"/>
        <v>0</v>
      </c>
      <c r="F58" s="3">
        <f>ROUNDUP((0.015%*D58+10*0.01/(SQRT(3))),4)</f>
        <v>5.7800000000000004E-2</v>
      </c>
      <c r="G58" s="3" t="e">
        <f t="shared" si="3"/>
        <v>#NUM!</v>
      </c>
      <c r="H58" s="45"/>
    </row>
    <row r="59" spans="1:8" x14ac:dyDescent="0.25">
      <c r="A59" s="2">
        <v>276</v>
      </c>
      <c r="B59" s="3">
        <f t="shared" si="0"/>
        <v>0.27600000000000002</v>
      </c>
      <c r="C59" s="2">
        <f t="shared" si="1"/>
        <v>0.22139999999999999</v>
      </c>
      <c r="D59" s="2">
        <v>0</v>
      </c>
      <c r="E59" s="3">
        <f t="shared" si="2"/>
        <v>0</v>
      </c>
      <c r="F59" s="3">
        <f>ROUNDUP((0.015%*D59+10*0.01/(SQRT(3))),4)</f>
        <v>5.7800000000000004E-2</v>
      </c>
      <c r="G59" s="3" t="e">
        <f t="shared" si="3"/>
        <v>#NUM!</v>
      </c>
      <c r="H59" s="45"/>
    </row>
    <row r="60" spans="1:8" x14ac:dyDescent="0.25">
      <c r="A60" s="2">
        <v>283</v>
      </c>
      <c r="B60" s="3">
        <f t="shared" si="0"/>
        <v>0.28300000000000003</v>
      </c>
      <c r="C60" s="2">
        <f t="shared" si="1"/>
        <v>0.22699999999999998</v>
      </c>
      <c r="D60" s="2">
        <v>0</v>
      </c>
      <c r="E60" s="3">
        <f t="shared" si="2"/>
        <v>0</v>
      </c>
      <c r="F60" s="3">
        <f>ROUNDUP((0.015%*D60+10*0.01/(SQRT(3))),4)</f>
        <v>5.7800000000000004E-2</v>
      </c>
      <c r="G60" s="3" t="e">
        <f t="shared" si="3"/>
        <v>#NUM!</v>
      </c>
      <c r="H60" s="45"/>
    </row>
    <row r="61" spans="1:8" x14ac:dyDescent="0.25">
      <c r="A61" s="2">
        <v>289</v>
      </c>
      <c r="B61" s="3">
        <f t="shared" si="0"/>
        <v>0.28899999999999998</v>
      </c>
      <c r="C61" s="2">
        <f t="shared" si="1"/>
        <v>0.23179999999999998</v>
      </c>
      <c r="D61" s="2">
        <v>0</v>
      </c>
      <c r="E61" s="3">
        <f t="shared" si="2"/>
        <v>0</v>
      </c>
      <c r="F61" s="3">
        <f>ROUNDUP((0.015%*D61+10*0.01/(SQRT(3))),4)</f>
        <v>5.7800000000000004E-2</v>
      </c>
      <c r="G61" s="3" t="e">
        <f t="shared" si="3"/>
        <v>#NUM!</v>
      </c>
      <c r="H61" s="45"/>
    </row>
    <row r="62" spans="1:8" x14ac:dyDescent="0.25">
      <c r="A62" s="2">
        <v>294</v>
      </c>
      <c r="B62" s="3">
        <f t="shared" si="0"/>
        <v>0.29399999999999998</v>
      </c>
      <c r="C62" s="2">
        <f t="shared" si="1"/>
        <v>0.23579999999999998</v>
      </c>
      <c r="D62" s="2">
        <v>0</v>
      </c>
      <c r="E62" s="3">
        <f t="shared" si="2"/>
        <v>0</v>
      </c>
      <c r="F62" s="3">
        <f>ROUNDUP((0.015%*D62+10*0.01/(SQRT(3))),4)</f>
        <v>5.7800000000000004E-2</v>
      </c>
      <c r="G62" s="3" t="e">
        <f t="shared" si="3"/>
        <v>#NUM!</v>
      </c>
      <c r="H62" s="45"/>
    </row>
    <row r="63" spans="1:8" x14ac:dyDescent="0.25">
      <c r="A63" s="2">
        <v>299</v>
      </c>
      <c r="B63" s="3">
        <f t="shared" si="0"/>
        <v>0.29899999999999999</v>
      </c>
      <c r="C63" s="2">
        <f t="shared" si="1"/>
        <v>0.23979999999999999</v>
      </c>
      <c r="D63" s="2">
        <v>0</v>
      </c>
      <c r="E63" s="3">
        <f t="shared" si="2"/>
        <v>0</v>
      </c>
      <c r="F63" s="3">
        <f>ROUNDUP((0.015%*D63+10*0.01/(SQRT(3))),4)</f>
        <v>5.7800000000000004E-2</v>
      </c>
      <c r="G63" s="3" t="e">
        <f t="shared" si="3"/>
        <v>#NUM!</v>
      </c>
      <c r="H63" s="45"/>
    </row>
    <row r="64" spans="1:8" x14ac:dyDescent="0.25">
      <c r="A64" s="2">
        <v>300</v>
      </c>
      <c r="B64" s="3">
        <f t="shared" si="0"/>
        <v>0.3</v>
      </c>
      <c r="C64" s="2">
        <f t="shared" si="1"/>
        <v>0.24059999999999998</v>
      </c>
      <c r="D64" s="2">
        <v>0</v>
      </c>
      <c r="E64" s="3">
        <f t="shared" si="2"/>
        <v>0</v>
      </c>
      <c r="F64" s="3">
        <f>ROUNDUP((0.015%*D64+10*0.01/(SQRT(3))),4)</f>
        <v>5.7800000000000004E-2</v>
      </c>
      <c r="G64" s="3" t="e">
        <f t="shared" si="3"/>
        <v>#NUM!</v>
      </c>
      <c r="H64" s="45"/>
    </row>
    <row r="65" spans="1:8" x14ac:dyDescent="0.25">
      <c r="A65" s="2">
        <v>305</v>
      </c>
      <c r="B65" s="3">
        <f t="shared" si="0"/>
        <v>0.30499999999999999</v>
      </c>
      <c r="C65" s="2">
        <f t="shared" si="1"/>
        <v>0.24459999999999998</v>
      </c>
      <c r="D65" s="2">
        <v>1.00000004749745E-3</v>
      </c>
      <c r="E65" s="3">
        <f t="shared" si="2"/>
        <v>1.00000004749745E-6</v>
      </c>
      <c r="F65" s="3">
        <f>ROUNDUP((0.015%*D65+10*0.01/(SQRT(3))),4)</f>
        <v>5.7800000000000004E-2</v>
      </c>
      <c r="G65" s="3">
        <f t="shared" si="3"/>
        <v>-13.815510510466826</v>
      </c>
      <c r="H65" s="45"/>
    </row>
    <row r="66" spans="1:8" x14ac:dyDescent="0.25">
      <c r="A66" s="2">
        <v>308</v>
      </c>
      <c r="B66" s="3">
        <f t="shared" si="0"/>
        <v>0.308</v>
      </c>
      <c r="C66" s="2">
        <f t="shared" si="1"/>
        <v>0.247</v>
      </c>
      <c r="D66" s="2">
        <v>1.00000004749745E-3</v>
      </c>
      <c r="E66" s="3">
        <f t="shared" si="2"/>
        <v>1.00000004749745E-6</v>
      </c>
      <c r="F66" s="3">
        <f>ROUNDUP((0.015%*D66+10*0.01/(SQRT(3))),4)</f>
        <v>5.7800000000000004E-2</v>
      </c>
      <c r="G66" s="3">
        <f t="shared" si="3"/>
        <v>-13.815510510466826</v>
      </c>
      <c r="H66" s="45"/>
    </row>
    <row r="67" spans="1:8" x14ac:dyDescent="0.25">
      <c r="A67" s="2">
        <v>317</v>
      </c>
      <c r="B67" s="3">
        <f t="shared" si="0"/>
        <v>0.317</v>
      </c>
      <c r="C67" s="2">
        <f t="shared" si="1"/>
        <v>0.25419999999999998</v>
      </c>
      <c r="D67" s="2">
        <v>2.0000000949949E-3</v>
      </c>
      <c r="E67" s="3">
        <f t="shared" si="2"/>
        <v>2.0000000949949E-6</v>
      </c>
      <c r="F67" s="3">
        <f>ROUNDUP((0.015%*D67+10*0.01/(SQRT(3))),4)</f>
        <v>5.7800000000000004E-2</v>
      </c>
      <c r="G67" s="3">
        <f t="shared" si="3"/>
        <v>-13.12236332990688</v>
      </c>
      <c r="H67" s="45"/>
    </row>
    <row r="68" spans="1:8" x14ac:dyDescent="0.25">
      <c r="A68" s="2">
        <v>321</v>
      </c>
      <c r="B68" s="3">
        <f t="shared" si="0"/>
        <v>0.32100000000000001</v>
      </c>
      <c r="C68" s="2">
        <f t="shared" si="1"/>
        <v>0.25739999999999996</v>
      </c>
      <c r="D68" s="2">
        <v>3.0000000260770299E-3</v>
      </c>
      <c r="E68" s="3">
        <f t="shared" si="2"/>
        <v>3.00000002607703E-6</v>
      </c>
      <c r="F68" s="3">
        <f>ROUNDUP((0.015%*D68+10*0.01/(SQRT(3))),4)</f>
        <v>5.7800000000000004E-2</v>
      </c>
      <c r="G68" s="3">
        <f t="shared" si="3"/>
        <v>-12.716898260603822</v>
      </c>
      <c r="H68" s="45"/>
    </row>
    <row r="69" spans="1:8" x14ac:dyDescent="0.25">
      <c r="A69" s="2">
        <v>325</v>
      </c>
      <c r="B69" s="3">
        <f t="shared" si="0"/>
        <v>0.32500000000000001</v>
      </c>
      <c r="C69" s="2">
        <f t="shared" si="1"/>
        <v>0.2606</v>
      </c>
      <c r="D69" s="2">
        <v>3.0000000260770299E-3</v>
      </c>
      <c r="E69" s="3">
        <f t="shared" si="2"/>
        <v>3.00000002607703E-6</v>
      </c>
      <c r="F69" s="3">
        <f>ROUNDUP((0.015%*D69+10*0.01/(SQRT(3))),4)</f>
        <v>5.7800000000000004E-2</v>
      </c>
      <c r="G69" s="3">
        <f t="shared" si="3"/>
        <v>-12.716898260603822</v>
      </c>
      <c r="H69" s="45"/>
    </row>
    <row r="70" spans="1:8" x14ac:dyDescent="0.25">
      <c r="A70" s="2">
        <v>327</v>
      </c>
      <c r="B70" s="3">
        <f t="shared" si="0"/>
        <v>0.32700000000000001</v>
      </c>
      <c r="C70" s="2">
        <f t="shared" si="1"/>
        <v>0.26219999999999999</v>
      </c>
      <c r="D70" s="2">
        <v>3.0000000260770299E-3</v>
      </c>
      <c r="E70" s="3">
        <f t="shared" si="2"/>
        <v>3.00000002607703E-6</v>
      </c>
      <c r="F70" s="3">
        <f>ROUNDUP((0.015%*D70+10*0.01/(SQRT(3))),4)</f>
        <v>5.7800000000000004E-2</v>
      </c>
      <c r="G70" s="3">
        <f t="shared" si="3"/>
        <v>-12.716898260603822</v>
      </c>
      <c r="H70" s="45"/>
    </row>
    <row r="71" spans="1:8" x14ac:dyDescent="0.25">
      <c r="A71" s="2">
        <v>332</v>
      </c>
      <c r="B71" s="3">
        <f t="shared" si="0"/>
        <v>0.33200000000000002</v>
      </c>
      <c r="C71" s="2">
        <f t="shared" si="1"/>
        <v>0.26619999999999999</v>
      </c>
      <c r="D71" s="2">
        <v>4.0000001899898104E-3</v>
      </c>
      <c r="E71" s="3">
        <f t="shared" si="2"/>
        <v>4.0000001899898109E-6</v>
      </c>
      <c r="F71" s="3">
        <f>ROUNDUP((0.015%*D71+10*0.01/(SQRT(3))),4)</f>
        <v>5.7800000000000004E-2</v>
      </c>
      <c r="G71" s="3">
        <f t="shared" si="3"/>
        <v>-12.429216149346932</v>
      </c>
      <c r="H71" s="45"/>
    </row>
    <row r="72" spans="1:8" x14ac:dyDescent="0.25">
      <c r="A72" s="2">
        <v>335</v>
      </c>
      <c r="B72" s="3">
        <f t="shared" si="0"/>
        <v>0.33500000000000002</v>
      </c>
      <c r="C72" s="2">
        <f t="shared" si="1"/>
        <v>0.26860000000000001</v>
      </c>
      <c r="D72" s="2">
        <v>4.9999998882412902E-3</v>
      </c>
      <c r="E72" s="3">
        <f t="shared" si="2"/>
        <v>4.99999988824129E-6</v>
      </c>
      <c r="F72" s="3">
        <f>ROUNDUP((0.015%*D72+10*0.01/(SQRT(3))),4)</f>
        <v>5.7800000000000004E-2</v>
      </c>
      <c r="G72" s="3">
        <f t="shared" si="3"/>
        <v>-12.206072667881916</v>
      </c>
      <c r="H72" s="45"/>
    </row>
    <row r="73" spans="1:8" x14ac:dyDescent="0.25">
      <c r="A73" s="2">
        <v>338</v>
      </c>
      <c r="B73" s="3">
        <f t="shared" si="0"/>
        <v>0.33800000000000002</v>
      </c>
      <c r="C73" s="2">
        <f t="shared" si="1"/>
        <v>0.27099999999999996</v>
      </c>
      <c r="D73" s="2">
        <v>6.0000000521540598E-3</v>
      </c>
      <c r="E73" s="3">
        <f t="shared" si="2"/>
        <v>6.00000005215406E-6</v>
      </c>
      <c r="F73" s="3">
        <f>ROUNDUP((0.015%*D73+10*0.01/(SQRT(3))),4)</f>
        <v>5.7800000000000004E-2</v>
      </c>
      <c r="G73" s="3">
        <f t="shared" si="3"/>
        <v>-12.023751080043876</v>
      </c>
      <c r="H73" s="45"/>
    </row>
    <row r="74" spans="1:8" x14ac:dyDescent="0.25">
      <c r="A74" s="2">
        <v>362</v>
      </c>
      <c r="B74" s="3">
        <f t="shared" si="0"/>
        <v>0.36199999999999999</v>
      </c>
      <c r="C74" s="2">
        <f t="shared" si="1"/>
        <v>0.29020000000000001</v>
      </c>
      <c r="D74" s="2">
        <v>8.9999996125698107E-3</v>
      </c>
      <c r="E74" s="3">
        <f t="shared" si="2"/>
        <v>8.9999996125698102E-6</v>
      </c>
      <c r="F74" s="3">
        <f>ROUNDUP((0.015%*D74+10*0.01/(SQRT(3))),4)</f>
        <v>5.7800000000000004E-2</v>
      </c>
      <c r="G74" s="3">
        <f t="shared" si="3"/>
        <v>-11.618286023675855</v>
      </c>
      <c r="H74" s="45"/>
    </row>
    <row r="75" spans="1:8" x14ac:dyDescent="0.25">
      <c r="A75" s="2">
        <v>371</v>
      </c>
      <c r="B75" s="3">
        <f t="shared" si="0"/>
        <v>0.371</v>
      </c>
      <c r="C75" s="2">
        <f t="shared" si="1"/>
        <v>0.2974</v>
      </c>
      <c r="D75" s="2">
        <v>1.2000000104308101E-2</v>
      </c>
      <c r="E75" s="3">
        <f t="shared" si="2"/>
        <v>1.2000000104308101E-5</v>
      </c>
      <c r="F75" s="3">
        <f>ROUNDUP((0.015%*D75+10*0.01/(SQRT(3))),4)</f>
        <v>5.7800000000000004E-2</v>
      </c>
      <c r="G75" s="3">
        <f t="shared" si="3"/>
        <v>-11.330603899483933</v>
      </c>
      <c r="H75" s="45"/>
    </row>
    <row r="76" spans="1:8" x14ac:dyDescent="0.25">
      <c r="A76" s="2">
        <v>374</v>
      </c>
      <c r="B76" s="3">
        <f t="shared" ref="B76:B139" si="4">A76*0.001</f>
        <v>0.374</v>
      </c>
      <c r="C76" s="2">
        <f t="shared" ref="C76:C139" si="5">ROUNDUP((0.08%*A76+0.001/(SQRT(3))),4)</f>
        <v>0.29980000000000001</v>
      </c>
      <c r="D76" s="2">
        <v>1.60000007599592E-2</v>
      </c>
      <c r="E76" s="3">
        <f t="shared" ref="E76:E139" si="6">D76*0.001</f>
        <v>1.60000007599592E-5</v>
      </c>
      <c r="F76" s="3">
        <f>ROUNDUP((0.015%*D76+10*0.01/(SQRT(3))),4)</f>
        <v>5.7800000000000004E-2</v>
      </c>
      <c r="G76" s="3">
        <f t="shared" ref="G76:G139" si="7">LN(E76)</f>
        <v>-11.042921788227044</v>
      </c>
      <c r="H76" s="45"/>
    </row>
    <row r="77" spans="1:8" x14ac:dyDescent="0.25">
      <c r="A77" s="2">
        <v>377</v>
      </c>
      <c r="B77" s="3">
        <f t="shared" si="4"/>
        <v>0.377</v>
      </c>
      <c r="C77" s="2">
        <f t="shared" si="5"/>
        <v>0.30219999999999997</v>
      </c>
      <c r="D77" s="2">
        <v>1.8999999389052401E-2</v>
      </c>
      <c r="E77" s="3">
        <f t="shared" si="6"/>
        <v>1.8999999389052402E-5</v>
      </c>
      <c r="F77" s="3">
        <f>ROUNDUP((0.015%*D77+10*0.01/(SQRT(3))),4)</f>
        <v>5.7800000000000004E-2</v>
      </c>
      <c r="G77" s="3">
        <f t="shared" si="7"/>
        <v>-10.871071610952971</v>
      </c>
      <c r="H77" s="45"/>
    </row>
    <row r="78" spans="1:8" x14ac:dyDescent="0.25">
      <c r="A78" s="2">
        <v>380</v>
      </c>
      <c r="B78" s="3">
        <f t="shared" si="4"/>
        <v>0.38</v>
      </c>
      <c r="C78" s="2">
        <f t="shared" si="5"/>
        <v>0.30459999999999998</v>
      </c>
      <c r="D78" s="2">
        <v>2.0999999716877899E-2</v>
      </c>
      <c r="E78" s="3">
        <f t="shared" si="6"/>
        <v>2.0999999716877898E-5</v>
      </c>
      <c r="F78" s="3">
        <f>ROUNDUP((0.015%*D78+10*0.01/(SQRT(3))),4)</f>
        <v>5.7800000000000004E-2</v>
      </c>
      <c r="G78" s="3">
        <f t="shared" si="7"/>
        <v>-10.770988133722856</v>
      </c>
      <c r="H78" s="45"/>
    </row>
    <row r="79" spans="1:8" x14ac:dyDescent="0.25">
      <c r="A79" s="2">
        <v>382</v>
      </c>
      <c r="B79" s="3">
        <f t="shared" si="4"/>
        <v>0.38200000000000001</v>
      </c>
      <c r="C79" s="2">
        <f t="shared" si="5"/>
        <v>0.30619999999999997</v>
      </c>
      <c r="D79" s="2">
        <v>2.3000000044703501E-2</v>
      </c>
      <c r="E79" s="3">
        <f t="shared" si="6"/>
        <v>2.3000000044703502E-5</v>
      </c>
      <c r="F79" s="3">
        <f>ROUNDUP((0.015%*D79+10*0.01/(SQRT(3))),4)</f>
        <v>5.7800000000000004E-2</v>
      </c>
      <c r="G79" s="3">
        <f t="shared" si="7"/>
        <v>-10.680016340091495</v>
      </c>
      <c r="H79" s="45"/>
    </row>
    <row r="80" spans="1:8" x14ac:dyDescent="0.25">
      <c r="A80" s="2">
        <v>388</v>
      </c>
      <c r="B80" s="3">
        <f t="shared" si="4"/>
        <v>0.38800000000000001</v>
      </c>
      <c r="C80" s="2">
        <f t="shared" si="5"/>
        <v>0.311</v>
      </c>
      <c r="D80" s="2">
        <v>2.5000000372528999E-2</v>
      </c>
      <c r="E80" s="3">
        <f t="shared" si="6"/>
        <v>2.5000000372528998E-5</v>
      </c>
      <c r="F80" s="3">
        <f>ROUNDUP((0.015%*D80+10*0.01/(SQRT(3))),4)</f>
        <v>5.7800000000000004E-2</v>
      </c>
      <c r="G80" s="3">
        <f t="shared" si="7"/>
        <v>-10.596634718194913</v>
      </c>
      <c r="H80" s="45"/>
    </row>
    <row r="81" spans="1:8" x14ac:dyDescent="0.25">
      <c r="A81" s="2">
        <v>393</v>
      </c>
      <c r="B81" s="3">
        <f t="shared" si="4"/>
        <v>0.39300000000000002</v>
      </c>
      <c r="C81" s="2">
        <f t="shared" si="5"/>
        <v>0.315</v>
      </c>
      <c r="D81" s="2">
        <v>2.8000000864267301E-2</v>
      </c>
      <c r="E81" s="3">
        <f t="shared" si="6"/>
        <v>2.8000000864267303E-5</v>
      </c>
      <c r="F81" s="3">
        <f>ROUNDUP((0.015%*D81+10*0.01/(SQRT(3))),4)</f>
        <v>5.7800000000000004E-2</v>
      </c>
      <c r="G81" s="3">
        <f t="shared" si="7"/>
        <v>-10.483306016922381</v>
      </c>
      <c r="H81" s="45"/>
    </row>
    <row r="82" spans="1:8" x14ac:dyDescent="0.25">
      <c r="A82" s="2">
        <v>394</v>
      </c>
      <c r="B82" s="3">
        <f t="shared" si="4"/>
        <v>0.39400000000000002</v>
      </c>
      <c r="C82" s="2">
        <f t="shared" si="5"/>
        <v>0.31579999999999997</v>
      </c>
      <c r="D82" s="2">
        <v>3.0999999493360499E-2</v>
      </c>
      <c r="E82" s="3">
        <f t="shared" si="6"/>
        <v>3.0999999493360498E-5</v>
      </c>
      <c r="F82" s="3">
        <f>ROUNDUP((0.015%*D82+10*0.01/(SQRT(3))),4)</f>
        <v>5.7800000000000004E-2</v>
      </c>
      <c r="G82" s="3">
        <f t="shared" si="7"/>
        <v>-10.381523369822338</v>
      </c>
      <c r="H82" s="45"/>
    </row>
    <row r="83" spans="1:8" x14ac:dyDescent="0.25">
      <c r="A83" s="2">
        <v>396</v>
      </c>
      <c r="B83" s="3">
        <f t="shared" si="4"/>
        <v>0.39600000000000002</v>
      </c>
      <c r="C83" s="2">
        <f t="shared" si="5"/>
        <v>0.31740000000000002</v>
      </c>
      <c r="D83" s="2">
        <v>3.4000001847744002E-2</v>
      </c>
      <c r="E83" s="3">
        <f t="shared" si="6"/>
        <v>3.4000001847744003E-5</v>
      </c>
      <c r="F83" s="3">
        <f>ROUNDUP((0.015%*D83+10*0.01/(SQRT(3))),4)</f>
        <v>5.7800000000000004E-2</v>
      </c>
      <c r="G83" s="3">
        <f t="shared" si="7"/>
        <v>-10.289149979002703</v>
      </c>
      <c r="H83" s="45"/>
    </row>
    <row r="84" spans="1:8" x14ac:dyDescent="0.25">
      <c r="A84" s="2">
        <v>397</v>
      </c>
      <c r="B84" s="3">
        <f t="shared" si="4"/>
        <v>0.39700000000000002</v>
      </c>
      <c r="C84" s="2">
        <f t="shared" si="5"/>
        <v>0.31819999999999998</v>
      </c>
      <c r="D84" s="2">
        <v>3.5999998450279201E-2</v>
      </c>
      <c r="E84" s="3">
        <f t="shared" si="6"/>
        <v>3.59999984502792E-5</v>
      </c>
      <c r="F84" s="3">
        <f>ROUNDUP((0.015%*D84+10*0.01/(SQRT(3))),4)</f>
        <v>5.7800000000000004E-2</v>
      </c>
      <c r="G84" s="3">
        <f t="shared" si="7"/>
        <v>-10.231991662555965</v>
      </c>
      <c r="H84" s="45"/>
    </row>
    <row r="85" spans="1:8" x14ac:dyDescent="0.25">
      <c r="A85" s="2">
        <v>403</v>
      </c>
      <c r="B85" s="3">
        <f t="shared" si="4"/>
        <v>0.40300000000000002</v>
      </c>
      <c r="C85" s="2">
        <f t="shared" si="5"/>
        <v>0.32300000000000001</v>
      </c>
      <c r="D85" s="2">
        <v>3.7999998778104803E-2</v>
      </c>
      <c r="E85" s="3">
        <f t="shared" si="6"/>
        <v>3.7999998778104804E-5</v>
      </c>
      <c r="F85" s="3">
        <f>ROUNDUP((0.015%*D85+10*0.01/(SQRT(3))),4)</f>
        <v>5.7800000000000004E-2</v>
      </c>
      <c r="G85" s="3">
        <f t="shared" si="7"/>
        <v>-10.177924430393025</v>
      </c>
      <c r="H85" s="45"/>
    </row>
    <row r="86" spans="1:8" x14ac:dyDescent="0.25">
      <c r="A86" s="2">
        <v>407</v>
      </c>
      <c r="B86" s="3">
        <f t="shared" si="4"/>
        <v>0.40700000000000003</v>
      </c>
      <c r="C86" s="2">
        <f t="shared" si="5"/>
        <v>0.32619999999999999</v>
      </c>
      <c r="D86" s="2">
        <v>4.1000001132488299E-2</v>
      </c>
      <c r="E86" s="3">
        <f t="shared" si="6"/>
        <v>4.1000001132488303E-5</v>
      </c>
      <c r="F86" s="3">
        <f>ROUNDUP((0.015%*D86+10*0.01/(SQRT(3))),4)</f>
        <v>5.7800000000000004E-2</v>
      </c>
      <c r="G86" s="3">
        <f t="shared" si="7"/>
        <v>-10.101938463638302</v>
      </c>
      <c r="H86" s="45"/>
    </row>
    <row r="87" spans="1:8" x14ac:dyDescent="0.25">
      <c r="A87" s="2">
        <v>410</v>
      </c>
      <c r="B87" s="3">
        <f t="shared" si="4"/>
        <v>0.41000000000000003</v>
      </c>
      <c r="C87" s="2">
        <f t="shared" si="5"/>
        <v>0.3286</v>
      </c>
      <c r="D87" s="2">
        <v>4.39999997615814E-2</v>
      </c>
      <c r="E87" s="3">
        <f t="shared" si="6"/>
        <v>4.39999997615814E-5</v>
      </c>
      <c r="F87" s="3">
        <f>ROUNDUP((0.015%*D87+10*0.01/(SQRT(3))),4)</f>
        <v>5.7800000000000004E-2</v>
      </c>
      <c r="G87" s="3">
        <f t="shared" si="7"/>
        <v>-10.031320929464618</v>
      </c>
      <c r="H87" s="45"/>
    </row>
    <row r="88" spans="1:8" x14ac:dyDescent="0.25">
      <c r="A88" s="2">
        <v>416</v>
      </c>
      <c r="B88" s="3">
        <f t="shared" si="4"/>
        <v>0.41600000000000004</v>
      </c>
      <c r="C88" s="2">
        <f t="shared" si="5"/>
        <v>0.33339999999999997</v>
      </c>
      <c r="D88" s="2">
        <v>4.80000004172325E-2</v>
      </c>
      <c r="E88" s="3">
        <f t="shared" si="6"/>
        <v>4.80000004172325E-5</v>
      </c>
      <c r="F88" s="3">
        <f>ROUNDUP((0.015%*D88+10*0.01/(SQRT(3))),4)</f>
        <v>5.7800000000000004E-2</v>
      </c>
      <c r="G88" s="3">
        <f t="shared" si="7"/>
        <v>-9.9443095383640401</v>
      </c>
      <c r="H88" s="45"/>
    </row>
    <row r="89" spans="1:8" x14ac:dyDescent="0.25">
      <c r="A89" s="2">
        <v>420</v>
      </c>
      <c r="B89" s="3">
        <f t="shared" si="4"/>
        <v>0.42</v>
      </c>
      <c r="C89" s="2">
        <f t="shared" si="5"/>
        <v>0.33660000000000001</v>
      </c>
      <c r="D89" s="2">
        <v>5.2999999374151202E-2</v>
      </c>
      <c r="E89" s="3">
        <f t="shared" si="6"/>
        <v>5.2999999374151202E-5</v>
      </c>
      <c r="F89" s="3">
        <f>ROUNDUP((0.015%*D89+10*0.01/(SQRT(3))),4)</f>
        <v>5.7800000000000004E-2</v>
      </c>
      <c r="G89" s="3">
        <f t="shared" si="7"/>
        <v>-9.8452186562206201</v>
      </c>
      <c r="H89" s="45"/>
    </row>
    <row r="90" spans="1:8" x14ac:dyDescent="0.25">
      <c r="A90" s="2">
        <v>424</v>
      </c>
      <c r="B90" s="3">
        <f t="shared" si="4"/>
        <v>0.42399999999999999</v>
      </c>
      <c r="C90" s="2">
        <f t="shared" si="5"/>
        <v>0.33979999999999999</v>
      </c>
      <c r="D90" s="2">
        <v>5.9999998658895499E-2</v>
      </c>
      <c r="E90" s="3">
        <f t="shared" si="6"/>
        <v>5.9999998658895501E-5</v>
      </c>
      <c r="F90" s="3">
        <f>ROUNDUP((0.015%*D90+10*0.01/(SQRT(3))),4)</f>
        <v>5.7800000000000004E-2</v>
      </c>
      <c r="G90" s="3">
        <f t="shared" si="7"/>
        <v>-9.7211660180939159</v>
      </c>
      <c r="H90" s="45"/>
    </row>
    <row r="91" spans="1:8" x14ac:dyDescent="0.25">
      <c r="A91" s="2">
        <v>437</v>
      </c>
      <c r="B91" s="3">
        <f t="shared" si="4"/>
        <v>0.437</v>
      </c>
      <c r="C91" s="2">
        <f t="shared" si="5"/>
        <v>0.35020000000000001</v>
      </c>
      <c r="D91" s="2">
        <v>7.9999998211860698E-2</v>
      </c>
      <c r="E91" s="3">
        <f t="shared" si="6"/>
        <v>7.9999998211860695E-5</v>
      </c>
      <c r="F91" s="3">
        <f>ROUNDUP((0.015%*D91+10*0.01/(SQRT(3))),4)</f>
        <v>5.7800000000000004E-2</v>
      </c>
      <c r="G91" s="3">
        <f t="shared" si="7"/>
        <v>-9.4334839456421342</v>
      </c>
      <c r="H91" s="45"/>
    </row>
    <row r="92" spans="1:8" x14ac:dyDescent="0.25">
      <c r="A92" s="2">
        <v>440</v>
      </c>
      <c r="B92" s="3">
        <f t="shared" si="4"/>
        <v>0.44</v>
      </c>
      <c r="C92" s="2">
        <f t="shared" si="5"/>
        <v>0.35259999999999997</v>
      </c>
      <c r="D92" s="2">
        <v>8.6999997496604906E-2</v>
      </c>
      <c r="E92" s="3">
        <f t="shared" si="6"/>
        <v>8.6999997496604913E-5</v>
      </c>
      <c r="F92" s="3">
        <f>ROUNDUP((0.015%*D92+10*0.01/(SQRT(3))),4)</f>
        <v>5.7800000000000004E-2</v>
      </c>
      <c r="G92" s="3">
        <f t="shared" si="7"/>
        <v>-9.3496024680843473</v>
      </c>
      <c r="H92" s="45"/>
    </row>
    <row r="93" spans="1:8" x14ac:dyDescent="0.25">
      <c r="A93" s="2">
        <v>442</v>
      </c>
      <c r="B93" s="3">
        <f t="shared" si="4"/>
        <v>0.442</v>
      </c>
      <c r="C93" s="2">
        <f t="shared" si="5"/>
        <v>0.35420000000000001</v>
      </c>
      <c r="D93" s="2">
        <v>9.3000002205371898E-2</v>
      </c>
      <c r="E93" s="3">
        <f t="shared" si="6"/>
        <v>9.3000002205371896E-5</v>
      </c>
      <c r="F93" s="3">
        <f>ROUNDUP((0.015%*D93+10*0.01/(SQRT(3))),4)</f>
        <v>5.7800000000000004E-2</v>
      </c>
      <c r="G93" s="3">
        <f t="shared" si="7"/>
        <v>-9.2829110410973428</v>
      </c>
      <c r="H93" s="45"/>
    </row>
    <row r="94" spans="1:8" x14ac:dyDescent="0.25">
      <c r="A94" s="2">
        <v>445</v>
      </c>
      <c r="B94" s="3">
        <f t="shared" si="4"/>
        <v>0.44500000000000001</v>
      </c>
      <c r="C94" s="2">
        <f t="shared" si="5"/>
        <v>0.35659999999999997</v>
      </c>
      <c r="D94" s="2">
        <v>9.8999999463558197E-2</v>
      </c>
      <c r="E94" s="3">
        <f t="shared" si="6"/>
        <v>9.8999999463558199E-5</v>
      </c>
      <c r="F94" s="3">
        <f>ROUNDUP((0.015%*D94+10*0.01/(SQRT(3))),4)</f>
        <v>5.7800000000000004E-2</v>
      </c>
      <c r="G94" s="3">
        <f t="shared" si="7"/>
        <v>-9.220390713248289</v>
      </c>
      <c r="H94" s="45"/>
    </row>
    <row r="95" spans="1:8" x14ac:dyDescent="0.25">
      <c r="A95" s="2">
        <v>456</v>
      </c>
      <c r="B95" s="3">
        <f t="shared" si="4"/>
        <v>0.45600000000000002</v>
      </c>
      <c r="C95" s="2">
        <f t="shared" si="5"/>
        <v>0.3654</v>
      </c>
      <c r="D95" s="2">
        <v>0.129999995231628</v>
      </c>
      <c r="E95" s="3">
        <f t="shared" si="6"/>
        <v>1.2999999523162801E-4</v>
      </c>
      <c r="F95" s="3">
        <f>ROUNDUP((0.015%*D95+10*0.01/(SQRT(3))),4)</f>
        <v>5.7800000000000004E-2</v>
      </c>
      <c r="G95" s="3">
        <f t="shared" si="7"/>
        <v>-8.9479761441884769</v>
      </c>
      <c r="H95" s="45"/>
    </row>
    <row r="96" spans="1:8" x14ac:dyDescent="0.25">
      <c r="A96" s="2">
        <v>458</v>
      </c>
      <c r="B96" s="3">
        <f t="shared" si="4"/>
        <v>0.45800000000000002</v>
      </c>
      <c r="C96" s="2">
        <f t="shared" si="5"/>
        <v>0.36699999999999999</v>
      </c>
      <c r="D96" s="2">
        <v>0.135000005364418</v>
      </c>
      <c r="E96" s="3">
        <f t="shared" si="6"/>
        <v>1.35000005364418E-4</v>
      </c>
      <c r="F96" s="3">
        <f>ROUNDUP((0.015%*D96+10*0.01/(SQRT(3))),4)</f>
        <v>5.7800000000000004E-2</v>
      </c>
      <c r="G96" s="3">
        <f t="shared" si="7"/>
        <v>-8.9102357397894156</v>
      </c>
      <c r="H96" s="45"/>
    </row>
    <row r="97" spans="1:8" x14ac:dyDescent="0.25">
      <c r="A97" s="2">
        <v>461</v>
      </c>
      <c r="B97" s="3">
        <f t="shared" si="4"/>
        <v>0.46100000000000002</v>
      </c>
      <c r="C97" s="2">
        <f t="shared" si="5"/>
        <v>0.36940000000000001</v>
      </c>
      <c r="D97" s="2">
        <v>0.14100000262260401</v>
      </c>
      <c r="E97" s="3">
        <f t="shared" si="6"/>
        <v>1.4100000262260402E-4</v>
      </c>
      <c r="F97" s="3">
        <f>ROUNDUP((0.015%*D97+10*0.01/(SQRT(3))),4)</f>
        <v>5.7800000000000004E-2</v>
      </c>
      <c r="G97" s="3">
        <f t="shared" si="7"/>
        <v>-8.866750648986077</v>
      </c>
      <c r="H97" s="45"/>
    </row>
    <row r="98" spans="1:8" x14ac:dyDescent="0.25">
      <c r="A98" s="2">
        <v>463</v>
      </c>
      <c r="B98" s="3">
        <f t="shared" si="4"/>
        <v>0.46300000000000002</v>
      </c>
      <c r="C98" s="2">
        <f t="shared" si="5"/>
        <v>0.371</v>
      </c>
      <c r="D98" s="2">
        <v>0.158999994397163</v>
      </c>
      <c r="E98" s="3">
        <f t="shared" si="6"/>
        <v>1.58999994397163E-4</v>
      </c>
      <c r="F98" s="3">
        <f>ROUNDUP((0.015%*D98+10*0.01/(SQRT(3))),4)</f>
        <v>5.7800000000000004E-2</v>
      </c>
      <c r="G98" s="3">
        <f t="shared" si="7"/>
        <v>-8.7466063909820111</v>
      </c>
      <c r="H98" s="45"/>
    </row>
    <row r="99" spans="1:8" x14ac:dyDescent="0.25">
      <c r="A99" s="2">
        <v>464</v>
      </c>
      <c r="B99" s="3">
        <f t="shared" si="4"/>
        <v>0.46400000000000002</v>
      </c>
      <c r="C99" s="2">
        <f t="shared" si="5"/>
        <v>0.37179999999999996</v>
      </c>
      <c r="D99" s="2">
        <v>0.15999999642372101</v>
      </c>
      <c r="E99" s="3">
        <f t="shared" si="6"/>
        <v>1.5999999642372101E-4</v>
      </c>
      <c r="F99" s="3">
        <f>ROUNDUP((0.015%*D99+10*0.01/(SQRT(3))),4)</f>
        <v>5.7800000000000004E-2</v>
      </c>
      <c r="G99" s="3">
        <f t="shared" si="7"/>
        <v>-8.7403367650821906</v>
      </c>
      <c r="H99" s="45"/>
    </row>
    <row r="100" spans="1:8" x14ac:dyDescent="0.25">
      <c r="A100" s="2">
        <v>469</v>
      </c>
      <c r="B100" s="3">
        <f t="shared" si="4"/>
        <v>0.46900000000000003</v>
      </c>
      <c r="C100" s="2">
        <f t="shared" si="5"/>
        <v>0.37579999999999997</v>
      </c>
      <c r="D100" s="2">
        <v>0.181999996304512</v>
      </c>
      <c r="E100" s="3">
        <f t="shared" si="6"/>
        <v>1.81999996304512E-4</v>
      </c>
      <c r="F100" s="3">
        <f>ROUNDUP((0.015%*D100+10*0.01/(SQRT(3))),4)</f>
        <v>5.7800000000000004E-2</v>
      </c>
      <c r="G100" s="3">
        <f t="shared" si="7"/>
        <v>-8.611503891192358</v>
      </c>
      <c r="H100" s="45"/>
    </row>
    <row r="101" spans="1:8" x14ac:dyDescent="0.25">
      <c r="A101" s="2">
        <v>473</v>
      </c>
      <c r="B101" s="3">
        <f t="shared" si="4"/>
        <v>0.47300000000000003</v>
      </c>
      <c r="C101" s="2">
        <f t="shared" si="5"/>
        <v>0.379</v>
      </c>
      <c r="D101" s="2">
        <v>0.18400000035762801</v>
      </c>
      <c r="E101" s="3">
        <f t="shared" si="6"/>
        <v>1.8400000035762802E-4</v>
      </c>
      <c r="F101" s="3">
        <f>ROUNDUP((0.015%*D101+10*0.01/(SQRT(3))),4)</f>
        <v>5.7800000000000004E-2</v>
      </c>
      <c r="G101" s="3">
        <f t="shared" si="7"/>
        <v>-8.6005747984116585</v>
      </c>
      <c r="H101" s="45"/>
    </row>
    <row r="102" spans="1:8" x14ac:dyDescent="0.25">
      <c r="A102" s="2">
        <v>475</v>
      </c>
      <c r="B102" s="3">
        <f t="shared" si="4"/>
        <v>0.47500000000000003</v>
      </c>
      <c r="C102" s="2">
        <f t="shared" si="5"/>
        <v>0.38059999999999999</v>
      </c>
      <c r="D102" s="2">
        <v>0.20399999618530301</v>
      </c>
      <c r="E102" s="3">
        <f t="shared" si="6"/>
        <v>2.0399999618530301E-4</v>
      </c>
      <c r="F102" s="3">
        <f>ROUNDUP((0.015%*D102+10*0.01/(SQRT(3))),4)</f>
        <v>5.7800000000000004E-2</v>
      </c>
      <c r="G102" s="3">
        <f t="shared" si="7"/>
        <v>-8.4973905828195537</v>
      </c>
      <c r="H102" s="45"/>
    </row>
    <row r="103" spans="1:8" x14ac:dyDescent="0.25">
      <c r="A103" s="2">
        <v>478</v>
      </c>
      <c r="B103" s="3">
        <f t="shared" si="4"/>
        <v>0.47800000000000004</v>
      </c>
      <c r="C103" s="2">
        <f t="shared" si="5"/>
        <v>0.38300000000000001</v>
      </c>
      <c r="D103" s="2">
        <v>0.206000000238419</v>
      </c>
      <c r="E103" s="3">
        <f t="shared" si="6"/>
        <v>2.06000000238419E-4</v>
      </c>
      <c r="F103" s="3">
        <f>ROUNDUP((0.015%*D103+10*0.01/(SQRT(3))),4)</f>
        <v>5.7800000000000004E-2</v>
      </c>
      <c r="G103" s="3">
        <f t="shared" si="7"/>
        <v>-8.4876343880173195</v>
      </c>
      <c r="H103" s="45"/>
    </row>
    <row r="104" spans="1:8" x14ac:dyDescent="0.25">
      <c r="A104" s="2">
        <v>480</v>
      </c>
      <c r="B104" s="3">
        <f t="shared" si="4"/>
        <v>0.48</v>
      </c>
      <c r="C104" s="2">
        <f t="shared" si="5"/>
        <v>0.3846</v>
      </c>
      <c r="D104" s="2">
        <v>0.20999999344348899</v>
      </c>
      <c r="E104" s="3">
        <f t="shared" si="6"/>
        <v>2.0999999344348901E-4</v>
      </c>
      <c r="F104" s="3">
        <f>ROUNDUP((0.015%*D104+10*0.01/(SQRT(3))),4)</f>
        <v>5.7800000000000004E-2</v>
      </c>
      <c r="G104" s="3">
        <f t="shared" si="7"/>
        <v>-8.4684030584682866</v>
      </c>
      <c r="H104" s="45"/>
    </row>
    <row r="105" spans="1:8" x14ac:dyDescent="0.25">
      <c r="A105" s="2">
        <v>483</v>
      </c>
      <c r="B105" s="3">
        <f t="shared" si="4"/>
        <v>0.48299999999999998</v>
      </c>
      <c r="C105" s="2">
        <f t="shared" si="5"/>
        <v>0.38700000000000001</v>
      </c>
      <c r="D105" s="2">
        <v>0.23199999332428001</v>
      </c>
      <c r="E105" s="3">
        <f t="shared" si="6"/>
        <v>2.3199999332428002E-4</v>
      </c>
      <c r="F105" s="3">
        <f>ROUNDUP((0.015%*D105+10*0.01/(SQRT(3))),4)</f>
        <v>5.7800000000000004E-2</v>
      </c>
      <c r="G105" s="3">
        <f t="shared" si="7"/>
        <v>-8.3687732150726202</v>
      </c>
      <c r="H105" s="45"/>
    </row>
    <row r="106" spans="1:8" x14ac:dyDescent="0.25">
      <c r="A106" s="2">
        <v>485</v>
      </c>
      <c r="B106" s="3">
        <f t="shared" si="4"/>
        <v>0.48499999999999999</v>
      </c>
      <c r="C106" s="2">
        <f t="shared" si="5"/>
        <v>0.3886</v>
      </c>
      <c r="D106" s="2">
        <v>0.23700000345706901</v>
      </c>
      <c r="E106" s="3">
        <f t="shared" si="6"/>
        <v>2.3700000345706901E-4</v>
      </c>
      <c r="F106" s="3">
        <f>ROUNDUP((0.015%*D106+10*0.01/(SQRT(3))),4)</f>
        <v>5.7800000000000004E-2</v>
      </c>
      <c r="G106" s="3">
        <f t="shared" si="7"/>
        <v>-8.3474504022423535</v>
      </c>
      <c r="H106" s="45"/>
    </row>
    <row r="107" spans="1:8" x14ac:dyDescent="0.25">
      <c r="A107" s="2">
        <v>489</v>
      </c>
      <c r="B107" s="3">
        <f t="shared" si="4"/>
        <v>0.48899999999999999</v>
      </c>
      <c r="C107" s="2">
        <f t="shared" si="5"/>
        <v>0.39179999999999998</v>
      </c>
      <c r="D107" s="2">
        <v>0.25799998641014099</v>
      </c>
      <c r="E107" s="3">
        <f t="shared" si="6"/>
        <v>2.5799998641014098E-4</v>
      </c>
      <c r="F107" s="3">
        <f>ROUNDUP((0.015%*D107+10*0.01/(SQRT(3))),4)</f>
        <v>5.7800000000000004E-2</v>
      </c>
      <c r="G107" s="3">
        <f t="shared" si="7"/>
        <v>-8.2625510257165296</v>
      </c>
      <c r="H107" s="45"/>
    </row>
    <row r="108" spans="1:8" x14ac:dyDescent="0.25">
      <c r="A108" s="2">
        <v>492</v>
      </c>
      <c r="B108" s="3">
        <f t="shared" si="4"/>
        <v>0.49199999999999999</v>
      </c>
      <c r="C108" s="2">
        <f t="shared" si="5"/>
        <v>0.39419999999999999</v>
      </c>
      <c r="D108" s="2">
        <v>0.277999997138977</v>
      </c>
      <c r="E108" s="3">
        <f t="shared" si="6"/>
        <v>2.7799999713897698E-4</v>
      </c>
      <c r="F108" s="3">
        <f>ROUNDUP((0.015%*D108+10*0.01/(SQRT(3))),4)</f>
        <v>5.7800000000000004E-2</v>
      </c>
      <c r="G108" s="3">
        <f t="shared" si="7"/>
        <v>-8.1878894545650862</v>
      </c>
      <c r="H108" s="45"/>
    </row>
    <row r="109" spans="1:8" x14ac:dyDescent="0.25">
      <c r="A109" s="2">
        <v>492</v>
      </c>
      <c r="B109" s="3">
        <f t="shared" si="4"/>
        <v>0.49199999999999999</v>
      </c>
      <c r="C109" s="2">
        <f t="shared" si="5"/>
        <v>0.39419999999999999</v>
      </c>
      <c r="D109" s="2">
        <v>0.28000000119209301</v>
      </c>
      <c r="E109" s="3">
        <f t="shared" si="6"/>
        <v>2.80000001192093E-4</v>
      </c>
      <c r="F109" s="3">
        <f>ROUNDUP((0.015%*D109+10*0.01/(SQRT(3))),4)</f>
        <v>5.7800000000000004E-2</v>
      </c>
      <c r="G109" s="3">
        <f t="shared" si="7"/>
        <v>-8.18072095053755</v>
      </c>
      <c r="H109" s="45"/>
    </row>
    <row r="110" spans="1:8" x14ac:dyDescent="0.25">
      <c r="A110" s="2">
        <v>494</v>
      </c>
      <c r="B110" s="3">
        <f t="shared" si="4"/>
        <v>0.49399999999999999</v>
      </c>
      <c r="C110" s="2">
        <f t="shared" si="5"/>
        <v>0.39579999999999999</v>
      </c>
      <c r="D110" s="2">
        <v>0.28499999642372098</v>
      </c>
      <c r="E110" s="3">
        <f t="shared" si="6"/>
        <v>2.8499999642372101E-4</v>
      </c>
      <c r="F110" s="3">
        <f>ROUNDUP((0.015%*D110+10*0.01/(SQRT(3))),4)</f>
        <v>5.7800000000000004E-2</v>
      </c>
      <c r="G110" s="3">
        <f t="shared" si="7"/>
        <v>-8.163021390243971</v>
      </c>
      <c r="H110" s="45"/>
    </row>
    <row r="111" spans="1:8" x14ac:dyDescent="0.25">
      <c r="A111" s="2">
        <v>497</v>
      </c>
      <c r="B111" s="3">
        <f t="shared" si="4"/>
        <v>0.497</v>
      </c>
      <c r="C111" s="2">
        <f t="shared" si="5"/>
        <v>0.3982</v>
      </c>
      <c r="D111" s="2">
        <v>0.30799999833107</v>
      </c>
      <c r="E111" s="3">
        <f t="shared" si="6"/>
        <v>3.0799999833106998E-4</v>
      </c>
      <c r="F111" s="3">
        <f>ROUNDUP((0.015%*D111+10*0.01/(SQRT(3))),4)</f>
        <v>5.7800000000000004E-2</v>
      </c>
      <c r="G111" s="3">
        <f t="shared" si="7"/>
        <v>-8.0854107804093029</v>
      </c>
      <c r="H111" s="45"/>
    </row>
    <row r="112" spans="1:8" x14ac:dyDescent="0.25">
      <c r="A112" s="2">
        <v>500</v>
      </c>
      <c r="B112" s="3">
        <f t="shared" si="4"/>
        <v>0.5</v>
      </c>
      <c r="C112" s="2">
        <f t="shared" si="5"/>
        <v>0.40060000000000001</v>
      </c>
      <c r="D112" s="2">
        <v>0.33000001311302202</v>
      </c>
      <c r="E112" s="3">
        <f t="shared" si="6"/>
        <v>3.3000001311302201E-4</v>
      </c>
      <c r="F112" s="3">
        <f>ROUNDUP((0.015%*D112+10*0.01/(SQRT(3))),4)</f>
        <v>5.7800000000000004E-2</v>
      </c>
      <c r="G112" s="3">
        <f t="shared" si="7"/>
        <v>-8.0164178637673178</v>
      </c>
      <c r="H112" s="45"/>
    </row>
    <row r="113" spans="1:8" x14ac:dyDescent="0.25">
      <c r="A113" s="2">
        <v>502</v>
      </c>
      <c r="B113" s="3">
        <f t="shared" si="4"/>
        <v>0.502</v>
      </c>
      <c r="C113" s="2">
        <f t="shared" si="5"/>
        <v>0.4022</v>
      </c>
      <c r="D113" s="2">
        <v>0.33199998736381497</v>
      </c>
      <c r="E113" s="3">
        <f t="shared" si="6"/>
        <v>3.3199998736381498E-4</v>
      </c>
      <c r="F113" s="3">
        <f>ROUNDUP((0.015%*D113+10*0.01/(SQRT(3))),4)</f>
        <v>5.7800000000000004E-2</v>
      </c>
      <c r="G113" s="3">
        <f t="shared" si="7"/>
        <v>-8.0103756271085853</v>
      </c>
      <c r="H113" s="45"/>
    </row>
    <row r="114" spans="1:8" x14ac:dyDescent="0.25">
      <c r="A114" s="2">
        <v>504</v>
      </c>
      <c r="B114" s="3">
        <f t="shared" si="4"/>
        <v>0.504</v>
      </c>
      <c r="C114" s="2">
        <f t="shared" si="5"/>
        <v>0.40379999999999999</v>
      </c>
      <c r="D114" s="2">
        <v>0.354999989271164</v>
      </c>
      <c r="E114" s="3">
        <f t="shared" si="6"/>
        <v>3.54999989271164E-4</v>
      </c>
      <c r="F114" s="3">
        <f>ROUNDUP((0.015%*D114+10*0.01/(SQRT(3))),4)</f>
        <v>5.7800000000000004E-2</v>
      </c>
      <c r="G114" s="3">
        <f t="shared" si="7"/>
        <v>-7.9433927987109323</v>
      </c>
      <c r="H114" s="45"/>
    </row>
    <row r="115" spans="1:8" x14ac:dyDescent="0.25">
      <c r="A115" s="2">
        <v>506</v>
      </c>
      <c r="B115" s="3">
        <f t="shared" si="4"/>
        <v>0.50600000000000001</v>
      </c>
      <c r="C115" s="2">
        <f t="shared" si="5"/>
        <v>0.40539999999999998</v>
      </c>
      <c r="D115" s="2">
        <v>0.375</v>
      </c>
      <c r="E115" s="3">
        <f t="shared" si="6"/>
        <v>3.7500000000000001E-4</v>
      </c>
      <c r="F115" s="3">
        <f>ROUNDUP((0.015%*D115+10*0.01/(SQRT(3))),4)</f>
        <v>5.7800000000000004E-2</v>
      </c>
      <c r="G115" s="3">
        <f t="shared" si="7"/>
        <v>-7.888584531993863</v>
      </c>
      <c r="H115" s="45"/>
    </row>
    <row r="116" spans="1:8" x14ac:dyDescent="0.25">
      <c r="A116" s="2">
        <v>508</v>
      </c>
      <c r="B116" s="3">
        <f t="shared" si="4"/>
        <v>0.50800000000000001</v>
      </c>
      <c r="C116" s="2">
        <f t="shared" si="5"/>
        <v>0.40699999999999997</v>
      </c>
      <c r="D116" s="2">
        <v>0.37700000405311601</v>
      </c>
      <c r="E116" s="3">
        <f t="shared" si="6"/>
        <v>3.7700000405311603E-4</v>
      </c>
      <c r="F116" s="3">
        <f>ROUNDUP((0.015%*D116+10*0.01/(SQRT(3))),4)</f>
        <v>5.7800000000000004E-2</v>
      </c>
      <c r="G116" s="3">
        <f t="shared" si="7"/>
        <v>-7.8832653597652929</v>
      </c>
      <c r="H116" s="45"/>
    </row>
    <row r="117" spans="1:8" x14ac:dyDescent="0.25">
      <c r="A117" s="2">
        <v>510</v>
      </c>
      <c r="B117" s="3">
        <f t="shared" si="4"/>
        <v>0.51</v>
      </c>
      <c r="C117" s="2">
        <f t="shared" si="5"/>
        <v>0.40859999999999996</v>
      </c>
      <c r="D117" s="2">
        <v>0.39599999785423301</v>
      </c>
      <c r="E117" s="3">
        <f t="shared" si="6"/>
        <v>3.9599999785423301E-4</v>
      </c>
      <c r="F117" s="3">
        <f>ROUNDUP((0.015%*D117+10*0.01/(SQRT(3))),4)</f>
        <v>5.7800000000000004E-2</v>
      </c>
      <c r="G117" s="3">
        <f t="shared" si="7"/>
        <v>-7.8340963521283973</v>
      </c>
      <c r="H117" s="45"/>
    </row>
    <row r="118" spans="1:8" x14ac:dyDescent="0.25">
      <c r="A118" s="2">
        <v>522</v>
      </c>
      <c r="B118" s="3">
        <f t="shared" si="4"/>
        <v>0.52200000000000002</v>
      </c>
      <c r="C118" s="2">
        <f t="shared" si="5"/>
        <v>0.41820000000000002</v>
      </c>
      <c r="D118" s="2">
        <v>0.49700000882148698</v>
      </c>
      <c r="E118" s="3">
        <f t="shared" si="6"/>
        <v>4.9700000882148699E-4</v>
      </c>
      <c r="F118" s="3">
        <f>ROUNDUP((0.015%*D118+10*0.01/(SQRT(3))),4)</f>
        <v>5.79E-2</v>
      </c>
      <c r="G118" s="3">
        <f t="shared" si="7"/>
        <v>-7.6069205141181744</v>
      </c>
      <c r="H118" s="45"/>
    </row>
    <row r="119" spans="1:8" x14ac:dyDescent="0.25">
      <c r="A119" s="2">
        <v>525</v>
      </c>
      <c r="B119" s="3">
        <f t="shared" si="4"/>
        <v>0.52500000000000002</v>
      </c>
      <c r="C119" s="2">
        <f t="shared" si="5"/>
        <v>0.42059999999999997</v>
      </c>
      <c r="D119" s="2">
        <v>0.52200001478195202</v>
      </c>
      <c r="E119" s="3">
        <f t="shared" si="6"/>
        <v>5.2200001478195203E-4</v>
      </c>
      <c r="F119" s="3">
        <f>ROUNDUP((0.015%*D119+10*0.01/(SQRT(3))),4)</f>
        <v>5.79E-2</v>
      </c>
      <c r="G119" s="3">
        <f t="shared" si="7"/>
        <v>-7.5578429417637203</v>
      </c>
      <c r="H119" s="45"/>
    </row>
    <row r="120" spans="1:8" x14ac:dyDescent="0.25">
      <c r="A120" s="2">
        <v>528</v>
      </c>
      <c r="B120" s="3">
        <f t="shared" si="4"/>
        <v>0.52800000000000002</v>
      </c>
      <c r="C120" s="2">
        <f t="shared" si="5"/>
        <v>0.42299999999999999</v>
      </c>
      <c r="D120" s="2">
        <v>0.55900001525878895</v>
      </c>
      <c r="E120" s="3">
        <f t="shared" si="6"/>
        <v>5.5900001525878895E-4</v>
      </c>
      <c r="F120" s="3">
        <f>ROUNDUP((0.015%*D120+10*0.01/(SQRT(3))),4)</f>
        <v>5.79E-2</v>
      </c>
      <c r="G120" s="3">
        <f t="shared" si="7"/>
        <v>-7.4893610575125944</v>
      </c>
      <c r="H120" s="45"/>
    </row>
    <row r="121" spans="1:8" x14ac:dyDescent="0.25">
      <c r="A121" s="2">
        <v>530</v>
      </c>
      <c r="B121" s="3">
        <f t="shared" si="4"/>
        <v>0.53</v>
      </c>
      <c r="C121" s="2">
        <f t="shared" si="5"/>
        <v>0.42459999999999998</v>
      </c>
      <c r="D121" s="2">
        <v>0.58099997043609597</v>
      </c>
      <c r="E121" s="3">
        <f t="shared" si="6"/>
        <v>5.8099997043609597E-4</v>
      </c>
      <c r="F121" s="3">
        <f>ROUNDUP((0.015%*D121+10*0.01/(SQRT(3))),4)</f>
        <v>5.79E-2</v>
      </c>
      <c r="G121" s="3">
        <f t="shared" si="7"/>
        <v>-7.4507598519968807</v>
      </c>
      <c r="H121" s="45"/>
    </row>
    <row r="122" spans="1:8" x14ac:dyDescent="0.25">
      <c r="A122" s="2">
        <v>534</v>
      </c>
      <c r="B122" s="3">
        <f t="shared" si="4"/>
        <v>0.53400000000000003</v>
      </c>
      <c r="C122" s="2">
        <f t="shared" si="5"/>
        <v>0.42780000000000001</v>
      </c>
      <c r="D122" s="2">
        <v>0.62599998712539695</v>
      </c>
      <c r="E122" s="3">
        <f t="shared" si="6"/>
        <v>6.2599998712539696E-4</v>
      </c>
      <c r="F122" s="3">
        <f>ROUNDUP((0.015%*D122+10*0.01/(SQRT(3))),4)</f>
        <v>5.79E-2</v>
      </c>
      <c r="G122" s="3">
        <f t="shared" si="7"/>
        <v>-7.3761602074306341</v>
      </c>
      <c r="H122" s="45"/>
    </row>
    <row r="123" spans="1:8" x14ac:dyDescent="0.25">
      <c r="A123" s="2">
        <v>534</v>
      </c>
      <c r="B123" s="3">
        <f t="shared" si="4"/>
        <v>0.53400000000000003</v>
      </c>
      <c r="C123" s="2">
        <f t="shared" si="5"/>
        <v>0.42780000000000001</v>
      </c>
      <c r="D123" s="2">
        <v>0.625</v>
      </c>
      <c r="E123" s="3">
        <f t="shared" si="6"/>
        <v>6.2500000000000001E-4</v>
      </c>
      <c r="F123" s="3">
        <f>ROUNDUP((0.015%*D123+10*0.01/(SQRT(3))),4)</f>
        <v>5.79E-2</v>
      </c>
      <c r="G123" s="3">
        <f t="shared" si="7"/>
        <v>-7.3777589082278725</v>
      </c>
      <c r="H123" s="45"/>
    </row>
    <row r="124" spans="1:8" x14ac:dyDescent="0.25">
      <c r="A124" s="2">
        <v>536</v>
      </c>
      <c r="B124" s="3">
        <f t="shared" si="4"/>
        <v>0.53600000000000003</v>
      </c>
      <c r="C124" s="2">
        <f t="shared" si="5"/>
        <v>0.4294</v>
      </c>
      <c r="D124" s="2">
        <v>0.64899998903274503</v>
      </c>
      <c r="E124" s="3">
        <f t="shared" si="6"/>
        <v>6.4899998903274506E-4</v>
      </c>
      <c r="F124" s="3">
        <f>ROUNDUP((0.015%*D124+10*0.01/(SQRT(3))),4)</f>
        <v>5.79E-2</v>
      </c>
      <c r="G124" s="3">
        <f t="shared" si="7"/>
        <v>-7.3400778581588826</v>
      </c>
      <c r="H124" s="45"/>
    </row>
    <row r="125" spans="1:8" x14ac:dyDescent="0.25">
      <c r="A125" s="2">
        <v>541</v>
      </c>
      <c r="B125" s="3">
        <f t="shared" si="4"/>
        <v>0.54100000000000004</v>
      </c>
      <c r="C125" s="2">
        <f t="shared" si="5"/>
        <v>0.43340000000000001</v>
      </c>
      <c r="D125" s="2">
        <v>0.69400000572204601</v>
      </c>
      <c r="E125" s="3">
        <f t="shared" si="6"/>
        <v>6.9400000572204606E-4</v>
      </c>
      <c r="F125" s="3">
        <f>ROUNDUP((0.015%*D125+10*0.01/(SQRT(3))),4)</f>
        <v>5.79E-2</v>
      </c>
      <c r="G125" s="3">
        <f t="shared" si="7"/>
        <v>-7.2730385892124465</v>
      </c>
      <c r="H125" s="45"/>
    </row>
    <row r="126" spans="1:8" x14ac:dyDescent="0.25">
      <c r="A126" s="2">
        <v>544</v>
      </c>
      <c r="B126" s="3">
        <f t="shared" si="4"/>
        <v>0.54400000000000004</v>
      </c>
      <c r="C126" s="2">
        <f t="shared" si="5"/>
        <v>0.43579999999999997</v>
      </c>
      <c r="D126" s="2">
        <v>0.72899997234344505</v>
      </c>
      <c r="E126" s="3">
        <f t="shared" si="6"/>
        <v>7.2899997234344505E-4</v>
      </c>
      <c r="F126" s="3">
        <f>ROUNDUP((0.015%*D126+10*0.01/(SQRT(3))),4)</f>
        <v>5.79E-2</v>
      </c>
      <c r="G126" s="3">
        <f t="shared" si="7"/>
        <v>-7.2238368638932782</v>
      </c>
      <c r="H126" s="45"/>
    </row>
    <row r="127" spans="1:8" x14ac:dyDescent="0.25">
      <c r="A127" s="2">
        <v>547</v>
      </c>
      <c r="B127" s="3">
        <f t="shared" si="4"/>
        <v>0.54700000000000004</v>
      </c>
      <c r="C127" s="2">
        <f t="shared" si="5"/>
        <v>0.43819999999999998</v>
      </c>
      <c r="D127" s="2">
        <v>0.778999984264374</v>
      </c>
      <c r="E127" s="3">
        <f t="shared" si="6"/>
        <v>7.7899998426437405E-4</v>
      </c>
      <c r="F127" s="3">
        <f>ROUNDUP((0.015%*D127+10*0.01/(SQRT(3))),4)</f>
        <v>5.79E-2</v>
      </c>
      <c r="G127" s="3">
        <f t="shared" si="7"/>
        <v>-7.1574995322933024</v>
      </c>
      <c r="H127" s="45"/>
    </row>
    <row r="128" spans="1:8" x14ac:dyDescent="0.25">
      <c r="A128" s="2">
        <v>549</v>
      </c>
      <c r="B128" s="3">
        <f t="shared" si="4"/>
        <v>0.54900000000000004</v>
      </c>
      <c r="C128" s="2">
        <f t="shared" si="5"/>
        <v>0.43979999999999997</v>
      </c>
      <c r="D128" s="2">
        <v>0.799000024795532</v>
      </c>
      <c r="E128" s="3">
        <f t="shared" si="6"/>
        <v>7.9900002479553207E-4</v>
      </c>
      <c r="F128" s="3">
        <f>ROUNDUP((0.015%*D128+10*0.01/(SQRT(3))),4)</f>
        <v>5.79E-2</v>
      </c>
      <c r="G128" s="3">
        <f t="shared" si="7"/>
        <v>-7.1321495811647937</v>
      </c>
      <c r="H128" s="45"/>
    </row>
    <row r="129" spans="1:8" x14ac:dyDescent="0.25">
      <c r="A129" s="2">
        <v>551</v>
      </c>
      <c r="B129" s="3">
        <f t="shared" si="4"/>
        <v>0.55100000000000005</v>
      </c>
      <c r="C129" s="2">
        <f t="shared" si="5"/>
        <v>0.44140000000000001</v>
      </c>
      <c r="D129" s="2">
        <v>0.837000012397766</v>
      </c>
      <c r="E129" s="3">
        <f t="shared" si="6"/>
        <v>8.3700001239776604E-4</v>
      </c>
      <c r="F129" s="3">
        <f>ROUNDUP((0.015%*D129+10*0.01/(SQRT(3))),4)</f>
        <v>5.79E-2</v>
      </c>
      <c r="G129" s="3">
        <f t="shared" si="7"/>
        <v>-7.0856864726626529</v>
      </c>
      <c r="H129" s="45"/>
    </row>
    <row r="130" spans="1:8" x14ac:dyDescent="0.25">
      <c r="A130" s="2">
        <v>554</v>
      </c>
      <c r="B130" s="3">
        <f t="shared" si="4"/>
        <v>0.55400000000000005</v>
      </c>
      <c r="C130" s="2">
        <f t="shared" si="5"/>
        <v>0.44379999999999997</v>
      </c>
      <c r="D130" s="2">
        <v>0.86100000143051103</v>
      </c>
      <c r="E130" s="3">
        <f t="shared" si="6"/>
        <v>8.6100000143051109E-4</v>
      </c>
      <c r="F130" s="3">
        <f>ROUNDUP((0.015%*D130+10*0.01/(SQRT(3))),4)</f>
        <v>5.79E-2</v>
      </c>
      <c r="G130" s="3">
        <f t="shared" si="7"/>
        <v>-7.0574160518750899</v>
      </c>
      <c r="H130" s="45"/>
    </row>
    <row r="131" spans="1:8" x14ac:dyDescent="0.25">
      <c r="A131" s="2">
        <v>556</v>
      </c>
      <c r="B131" s="3">
        <f t="shared" si="4"/>
        <v>0.55600000000000005</v>
      </c>
      <c r="C131" s="2">
        <f t="shared" si="5"/>
        <v>0.44539999999999996</v>
      </c>
      <c r="D131" s="2">
        <v>0.90200001001357999</v>
      </c>
      <c r="E131" s="3">
        <f t="shared" si="6"/>
        <v>9.0200001001358005E-4</v>
      </c>
      <c r="F131" s="3">
        <f>ROUNDUP((0.015%*D131+10*0.01/(SQRT(3))),4)</f>
        <v>5.79E-2</v>
      </c>
      <c r="G131" s="3">
        <f t="shared" si="7"/>
        <v>-7.0108960268001201</v>
      </c>
      <c r="H131" s="45"/>
    </row>
    <row r="132" spans="1:8" x14ac:dyDescent="0.25">
      <c r="A132" s="2">
        <v>558</v>
      </c>
      <c r="B132" s="3">
        <f t="shared" si="4"/>
        <v>0.55800000000000005</v>
      </c>
      <c r="C132" s="2">
        <f t="shared" si="5"/>
        <v>0.44700000000000001</v>
      </c>
      <c r="D132" s="2">
        <v>0.94599997997283902</v>
      </c>
      <c r="E132" s="3">
        <f t="shared" si="6"/>
        <v>9.4599997997283909E-4</v>
      </c>
      <c r="F132" s="3">
        <f>ROUNDUP((0.015%*D132+10*0.01/(SQRT(3))),4)</f>
        <v>5.79E-2</v>
      </c>
      <c r="G132" s="3">
        <f t="shared" si="7"/>
        <v>-6.9632680100827562</v>
      </c>
      <c r="H132" s="45"/>
    </row>
    <row r="133" spans="1:8" x14ac:dyDescent="0.25">
      <c r="A133" s="2">
        <v>560</v>
      </c>
      <c r="B133" s="3">
        <f t="shared" si="4"/>
        <v>0.56000000000000005</v>
      </c>
      <c r="C133" s="2">
        <f t="shared" si="5"/>
        <v>0.4486</v>
      </c>
      <c r="D133" s="2">
        <v>0.96899998188018799</v>
      </c>
      <c r="E133" s="3">
        <f t="shared" si="6"/>
        <v>9.6899998188018806E-4</v>
      </c>
      <c r="F133" s="3">
        <f>ROUNDUP((0.015%*D133+10*0.01/(SQRT(3))),4)</f>
        <v>5.79E-2</v>
      </c>
      <c r="G133" s="3">
        <f t="shared" si="7"/>
        <v>-6.9392459647730043</v>
      </c>
      <c r="H133" s="45"/>
    </row>
    <row r="134" spans="1:8" x14ac:dyDescent="0.25">
      <c r="A134" s="2">
        <v>562</v>
      </c>
      <c r="B134" s="3">
        <f t="shared" si="4"/>
        <v>0.56200000000000006</v>
      </c>
      <c r="C134" s="2">
        <f t="shared" si="5"/>
        <v>0.45019999999999999</v>
      </c>
      <c r="D134" s="2">
        <v>0.99299997091293302</v>
      </c>
      <c r="E134" s="3">
        <f t="shared" si="6"/>
        <v>9.92999970912933E-4</v>
      </c>
      <c r="F134" s="3">
        <f>ROUNDUP((0.015%*D134+10*0.01/(SQRT(3))),4)</f>
        <v>5.79E-2</v>
      </c>
      <c r="G134" s="3">
        <f t="shared" si="7"/>
        <v>-6.9147799232112135</v>
      </c>
      <c r="H134" s="45"/>
    </row>
    <row r="135" spans="1:8" x14ac:dyDescent="0.25">
      <c r="A135" s="2">
        <v>568</v>
      </c>
      <c r="B135" s="3">
        <f t="shared" si="4"/>
        <v>0.56800000000000006</v>
      </c>
      <c r="C135" s="2">
        <f t="shared" si="5"/>
        <v>0.45500000000000002</v>
      </c>
      <c r="D135" s="2">
        <v>1.09300005435944</v>
      </c>
      <c r="E135" s="3">
        <f t="shared" si="6"/>
        <v>1.0930000543594401E-3</v>
      </c>
      <c r="F135" s="3">
        <f>ROUNDUP((0.015%*D135+10*0.01/(SQRT(3))),4)</f>
        <v>5.79E-2</v>
      </c>
      <c r="G135" s="3">
        <f t="shared" si="7"/>
        <v>-6.8188290200535739</v>
      </c>
      <c r="H135" s="45"/>
    </row>
    <row r="136" spans="1:8" x14ac:dyDescent="0.25">
      <c r="A136" s="2">
        <v>569</v>
      </c>
      <c r="B136" s="3">
        <f t="shared" si="4"/>
        <v>0.56900000000000006</v>
      </c>
      <c r="C136" s="2">
        <f t="shared" si="5"/>
        <v>0.45579999999999998</v>
      </c>
      <c r="D136" s="2">
        <v>1.11199998855591</v>
      </c>
      <c r="E136" s="3">
        <f t="shared" si="6"/>
        <v>1.1119999885559101E-3</v>
      </c>
      <c r="F136" s="3">
        <f>ROUNDUP((0.015%*D136+10*0.01/(SQRT(3))),4)</f>
        <v>5.8000000000000003E-2</v>
      </c>
      <c r="G136" s="3">
        <f t="shared" si="7"/>
        <v>-6.8015950934451945</v>
      </c>
      <c r="H136" s="45"/>
    </row>
    <row r="137" spans="1:8" x14ac:dyDescent="0.25">
      <c r="A137" s="2">
        <v>571</v>
      </c>
      <c r="B137" s="3">
        <f t="shared" si="4"/>
        <v>0.57100000000000006</v>
      </c>
      <c r="C137" s="2">
        <f t="shared" si="5"/>
        <v>0.45739999999999997</v>
      </c>
      <c r="D137" s="2">
        <v>1.1490000486373899</v>
      </c>
      <c r="E137" s="3">
        <f t="shared" si="6"/>
        <v>1.14900004863739E-3</v>
      </c>
      <c r="F137" s="3">
        <f>ROUNDUP((0.015%*D137+10*0.01/(SQRT(3))),4)</f>
        <v>5.8000000000000003E-2</v>
      </c>
      <c r="G137" s="3">
        <f t="shared" si="7"/>
        <v>-6.7688632377853279</v>
      </c>
      <c r="H137" s="45"/>
    </row>
    <row r="138" spans="1:8" x14ac:dyDescent="0.25">
      <c r="A138" s="2">
        <v>573</v>
      </c>
      <c r="B138" s="3">
        <f t="shared" si="4"/>
        <v>0.57300000000000006</v>
      </c>
      <c r="C138" s="2">
        <f t="shared" si="5"/>
        <v>0.45899999999999996</v>
      </c>
      <c r="D138" s="2">
        <v>1.18799996376038</v>
      </c>
      <c r="E138" s="3">
        <f t="shared" si="6"/>
        <v>1.18799996376038E-3</v>
      </c>
      <c r="F138" s="3">
        <f>ROUNDUP((0.015%*D138+10*0.01/(SQRT(3))),4)</f>
        <v>5.8000000000000003E-2</v>
      </c>
      <c r="G138" s="3">
        <f t="shared" si="7"/>
        <v>-6.7354840885464151</v>
      </c>
      <c r="H138" s="45"/>
    </row>
    <row r="139" spans="1:8" x14ac:dyDescent="0.25">
      <c r="A139" s="2">
        <v>576</v>
      </c>
      <c r="B139" s="3">
        <f t="shared" si="4"/>
        <v>0.57600000000000007</v>
      </c>
      <c r="C139" s="2">
        <f t="shared" si="5"/>
        <v>0.46139999999999998</v>
      </c>
      <c r="D139" s="2">
        <v>1.2339999675750699</v>
      </c>
      <c r="E139" s="3">
        <f t="shared" si="6"/>
        <v>1.2339999675750699E-3</v>
      </c>
      <c r="F139" s="3">
        <f>ROUNDUP((0.015%*D139+10*0.01/(SQRT(3))),4)</f>
        <v>5.8000000000000003E-2</v>
      </c>
      <c r="G139" s="3">
        <f t="shared" si="7"/>
        <v>-6.6974943797752218</v>
      </c>
      <c r="H139" s="45"/>
    </row>
    <row r="140" spans="1:8" x14ac:dyDescent="0.25">
      <c r="A140" s="2">
        <v>577</v>
      </c>
      <c r="B140" s="3">
        <f t="shared" ref="B140:B203" si="8">A140*0.001</f>
        <v>0.57699999999999996</v>
      </c>
      <c r="C140" s="2">
        <f t="shared" ref="C140:C203" si="9">ROUNDUP((0.08%*A140+0.001/(SQRT(3))),4)</f>
        <v>0.4622</v>
      </c>
      <c r="D140" s="2">
        <v>1.2560000419616699</v>
      </c>
      <c r="E140" s="3">
        <f t="shared" ref="E140:E203" si="10">D140*0.001</f>
        <v>1.25600004196167E-3</v>
      </c>
      <c r="F140" s="3">
        <f>ROUNDUP((0.015%*D140+10*0.01/(SQRT(3))),4)</f>
        <v>5.8000000000000003E-2</v>
      </c>
      <c r="G140" s="3">
        <f t="shared" ref="G140:G203" si="11">LN(E140)</f>
        <v>-6.6798231775271582</v>
      </c>
      <c r="H140" s="45"/>
    </row>
    <row r="141" spans="1:8" x14ac:dyDescent="0.25">
      <c r="A141" s="2">
        <v>577</v>
      </c>
      <c r="B141" s="3">
        <f t="shared" si="8"/>
        <v>0.57699999999999996</v>
      </c>
      <c r="C141" s="2">
        <f t="shared" si="9"/>
        <v>0.4622</v>
      </c>
      <c r="D141" s="2">
        <v>1.25899994373322</v>
      </c>
      <c r="E141" s="3">
        <f t="shared" si="10"/>
        <v>1.2589999437332201E-3</v>
      </c>
      <c r="F141" s="3">
        <f>ROUNDUP((0.015%*D141+10*0.01/(SQRT(3))),4)</f>
        <v>5.8000000000000003E-2</v>
      </c>
      <c r="G141" s="3">
        <f t="shared" si="11"/>
        <v>-6.6774375686115723</v>
      </c>
      <c r="H141" s="45"/>
    </row>
    <row r="142" spans="1:8" x14ac:dyDescent="0.25">
      <c r="A142" s="2">
        <v>578</v>
      </c>
      <c r="B142" s="3">
        <f t="shared" si="8"/>
        <v>0.57799999999999996</v>
      </c>
      <c r="C142" s="2">
        <f t="shared" si="9"/>
        <v>0.46299999999999997</v>
      </c>
      <c r="D142" s="2">
        <v>1.2790000438690201</v>
      </c>
      <c r="E142" s="3">
        <f t="shared" si="10"/>
        <v>1.2790000438690202E-3</v>
      </c>
      <c r="F142" s="3">
        <f>ROUNDUP((0.015%*D142+10*0.01/(SQRT(3))),4)</f>
        <v>5.8000000000000003E-2</v>
      </c>
      <c r="G142" s="3">
        <f t="shared" si="11"/>
        <v>-6.6616767220859634</v>
      </c>
      <c r="H142" s="45"/>
    </row>
    <row r="143" spans="1:8" x14ac:dyDescent="0.25">
      <c r="A143" s="2">
        <v>579</v>
      </c>
      <c r="B143" s="3">
        <f t="shared" si="8"/>
        <v>0.57899999999999996</v>
      </c>
      <c r="C143" s="2">
        <f t="shared" si="9"/>
        <v>0.46379999999999999</v>
      </c>
      <c r="D143" s="2">
        <v>1.2979999780654901</v>
      </c>
      <c r="E143" s="3">
        <f t="shared" si="10"/>
        <v>1.2979999780654901E-3</v>
      </c>
      <c r="F143" s="3">
        <f>ROUNDUP((0.015%*D143+10*0.01/(SQRT(3))),4)</f>
        <v>5.8000000000000003E-2</v>
      </c>
      <c r="G143" s="3">
        <f t="shared" si="11"/>
        <v>-6.6469306775989372</v>
      </c>
      <c r="H143" s="45"/>
    </row>
    <row r="144" spans="1:8" x14ac:dyDescent="0.25">
      <c r="A144" s="2">
        <v>579</v>
      </c>
      <c r="B144" s="3">
        <f t="shared" si="8"/>
        <v>0.57899999999999996</v>
      </c>
      <c r="C144" s="2">
        <f t="shared" si="9"/>
        <v>0.46379999999999999</v>
      </c>
      <c r="D144" s="2">
        <v>1.3190000057220499</v>
      </c>
      <c r="E144" s="3">
        <f t="shared" si="10"/>
        <v>1.3190000057220499E-3</v>
      </c>
      <c r="F144" s="3">
        <f>ROUNDUP((0.015%*D144+10*0.01/(SQRT(3))),4)</f>
        <v>5.8000000000000003E-2</v>
      </c>
      <c r="G144" s="3">
        <f t="shared" si="11"/>
        <v>-6.6308814009087866</v>
      </c>
      <c r="H144" s="45"/>
    </row>
    <row r="145" spans="1:8" x14ac:dyDescent="0.25">
      <c r="A145" s="2">
        <v>581</v>
      </c>
      <c r="B145" s="3">
        <f t="shared" si="8"/>
        <v>0.58099999999999996</v>
      </c>
      <c r="C145" s="2">
        <f t="shared" si="9"/>
        <v>0.46539999999999998</v>
      </c>
      <c r="D145" s="2">
        <v>1.3380000591278101</v>
      </c>
      <c r="E145" s="3">
        <f t="shared" si="10"/>
        <v>1.3380000591278101E-3</v>
      </c>
      <c r="F145" s="3">
        <f>ROUNDUP((0.015%*D145+10*0.01/(SQRT(3))),4)</f>
        <v>5.8000000000000003E-2</v>
      </c>
      <c r="G145" s="3">
        <f t="shared" si="11"/>
        <v>-6.6165792730849127</v>
      </c>
      <c r="H145" s="45"/>
    </row>
    <row r="146" spans="1:8" x14ac:dyDescent="0.25">
      <c r="A146" s="2">
        <v>582</v>
      </c>
      <c r="B146" s="3">
        <f t="shared" si="8"/>
        <v>0.58199999999999996</v>
      </c>
      <c r="C146" s="2">
        <f t="shared" si="9"/>
        <v>0.4662</v>
      </c>
      <c r="D146" s="2">
        <v>1.36199998855591</v>
      </c>
      <c r="E146" s="3">
        <f t="shared" si="10"/>
        <v>1.3619999885559101E-3</v>
      </c>
      <c r="F146" s="3">
        <f>ROUNDUP((0.015%*D146+10*0.01/(SQRT(3))),4)</f>
        <v>5.8000000000000003E-2</v>
      </c>
      <c r="G146" s="3">
        <f t="shared" si="11"/>
        <v>-6.5988010796572318</v>
      </c>
      <c r="H146" s="45"/>
    </row>
    <row r="147" spans="1:8" x14ac:dyDescent="0.25">
      <c r="A147" s="2">
        <v>583</v>
      </c>
      <c r="B147" s="3">
        <f t="shared" si="8"/>
        <v>0.58299999999999996</v>
      </c>
      <c r="C147" s="2">
        <f t="shared" si="9"/>
        <v>0.46699999999999997</v>
      </c>
      <c r="D147" s="2">
        <v>1.38399994373322</v>
      </c>
      <c r="E147" s="3">
        <f t="shared" si="10"/>
        <v>1.3839999437332199E-3</v>
      </c>
      <c r="F147" s="3">
        <f>ROUNDUP((0.015%*D147+10*0.01/(SQRT(3))),4)</f>
        <v>5.8000000000000003E-2</v>
      </c>
      <c r="G147" s="3">
        <f t="shared" si="11"/>
        <v>-6.5827774624418476</v>
      </c>
      <c r="H147" s="45"/>
    </row>
    <row r="148" spans="1:8" x14ac:dyDescent="0.25">
      <c r="A148" s="2">
        <v>584</v>
      </c>
      <c r="B148" s="3">
        <f t="shared" si="8"/>
        <v>0.58399999999999996</v>
      </c>
      <c r="C148" s="2">
        <f t="shared" si="9"/>
        <v>0.46779999999999999</v>
      </c>
      <c r="D148" s="2">
        <v>1.4190000295639</v>
      </c>
      <c r="E148" s="3">
        <f t="shared" si="10"/>
        <v>1.4190000295639001E-3</v>
      </c>
      <c r="F148" s="3">
        <f>ROUNDUP((0.015%*D148+10*0.01/(SQRT(3))),4)</f>
        <v>5.8000000000000003E-2</v>
      </c>
      <c r="G148" s="3">
        <f t="shared" si="11"/>
        <v>-6.5578028599699119</v>
      </c>
      <c r="H148" s="45"/>
    </row>
    <row r="149" spans="1:8" x14ac:dyDescent="0.25">
      <c r="A149" s="2">
        <v>585</v>
      </c>
      <c r="B149" s="3">
        <f t="shared" si="8"/>
        <v>0.58499999999999996</v>
      </c>
      <c r="C149" s="2">
        <f t="shared" si="9"/>
        <v>0.46860000000000002</v>
      </c>
      <c r="D149" s="2">
        <v>1.442999958992</v>
      </c>
      <c r="E149" s="3">
        <f t="shared" si="10"/>
        <v>1.4429999589919999E-3</v>
      </c>
      <c r="F149" s="3">
        <f>ROUNDUP((0.015%*D149+10*0.01/(SQRT(3))),4)</f>
        <v>5.8000000000000003E-2</v>
      </c>
      <c r="G149" s="3">
        <f t="shared" si="11"/>
        <v>-6.5410310276089758</v>
      </c>
      <c r="H149" s="45"/>
    </row>
    <row r="150" spans="1:8" x14ac:dyDescent="0.25">
      <c r="A150" s="2">
        <v>589</v>
      </c>
      <c r="B150" s="3">
        <f t="shared" si="8"/>
        <v>0.58899999999999997</v>
      </c>
      <c r="C150" s="2">
        <f t="shared" si="9"/>
        <v>0.4718</v>
      </c>
      <c r="D150" s="2">
        <v>1.5210000276565601</v>
      </c>
      <c r="E150" s="3">
        <f t="shared" si="10"/>
        <v>1.52100002765656E-3</v>
      </c>
      <c r="F150" s="3">
        <f>ROUNDUP((0.015%*D150+10*0.01/(SQRT(3))),4)</f>
        <v>5.8000000000000003E-2</v>
      </c>
      <c r="G150" s="3">
        <f t="shared" si="11"/>
        <v>-6.4883872475218389</v>
      </c>
      <c r="H150" s="45"/>
    </row>
    <row r="151" spans="1:8" x14ac:dyDescent="0.25">
      <c r="A151" s="2">
        <v>590</v>
      </c>
      <c r="B151" s="3">
        <f t="shared" si="8"/>
        <v>0.59</v>
      </c>
      <c r="C151" s="2">
        <f t="shared" si="9"/>
        <v>0.47259999999999996</v>
      </c>
      <c r="D151" s="2">
        <v>1.5420000553131099</v>
      </c>
      <c r="E151" s="3">
        <f t="shared" si="10"/>
        <v>1.54200005531311E-3</v>
      </c>
      <c r="F151" s="3">
        <f>ROUNDUP((0.015%*D151+10*0.01/(SQRT(3))),4)</f>
        <v>5.8000000000000003E-2</v>
      </c>
      <c r="G151" s="3">
        <f t="shared" si="11"/>
        <v>-6.4746749679699818</v>
      </c>
      <c r="H151" s="45"/>
    </row>
    <row r="152" spans="1:8" x14ac:dyDescent="0.25">
      <c r="A152" s="2">
        <v>592</v>
      </c>
      <c r="B152" s="3">
        <f t="shared" si="8"/>
        <v>0.59199999999999997</v>
      </c>
      <c r="C152" s="2">
        <f t="shared" si="9"/>
        <v>0.47420000000000001</v>
      </c>
      <c r="D152" s="2">
        <v>1.5809999704361</v>
      </c>
      <c r="E152" s="3">
        <f t="shared" si="10"/>
        <v>1.5809999704361E-3</v>
      </c>
      <c r="F152" s="3">
        <f>ROUNDUP((0.015%*D152+10*0.01/(SQRT(3))),4)</f>
        <v>5.8000000000000003E-2</v>
      </c>
      <c r="G152" s="3">
        <f t="shared" si="11"/>
        <v>-6.4496977394542965</v>
      </c>
      <c r="H152" s="45"/>
    </row>
    <row r="153" spans="1:8" x14ac:dyDescent="0.25">
      <c r="A153" s="2">
        <v>594</v>
      </c>
      <c r="B153" s="3">
        <f t="shared" si="8"/>
        <v>0.59399999999999997</v>
      </c>
      <c r="C153" s="2">
        <f t="shared" si="9"/>
        <v>0.4758</v>
      </c>
      <c r="D153" s="2">
        <v>1.6349999904632599</v>
      </c>
      <c r="E153" s="3">
        <f t="shared" si="10"/>
        <v>1.6349999904632601E-3</v>
      </c>
      <c r="F153" s="3">
        <f>ROUNDUP((0.015%*D153+10*0.01/(SQRT(3))),4)</f>
        <v>5.8000000000000003E-2</v>
      </c>
      <c r="G153" s="3">
        <f t="shared" si="11"/>
        <v>-6.416112480465789</v>
      </c>
      <c r="H153" s="45"/>
    </row>
    <row r="154" spans="1:8" x14ac:dyDescent="0.25">
      <c r="A154" s="2">
        <v>601</v>
      </c>
      <c r="B154" s="3">
        <f t="shared" si="8"/>
        <v>0.60099999999999998</v>
      </c>
      <c r="C154" s="2">
        <f t="shared" si="9"/>
        <v>0.48139999999999999</v>
      </c>
      <c r="D154" s="2">
        <v>1.7979999780654901</v>
      </c>
      <c r="E154" s="3">
        <f t="shared" si="10"/>
        <v>1.7979999780654901E-3</v>
      </c>
      <c r="F154" s="3">
        <f>ROUNDUP((0.015%*D154+10*0.01/(SQRT(3))),4)</f>
        <v>5.8100000000000006E-2</v>
      </c>
      <c r="G154" s="3">
        <f t="shared" si="11"/>
        <v>-6.3210803551321026</v>
      </c>
      <c r="H154" s="45"/>
    </row>
    <row r="155" spans="1:8" x14ac:dyDescent="0.25">
      <c r="A155" s="2">
        <v>602</v>
      </c>
      <c r="B155" s="3">
        <f t="shared" si="8"/>
        <v>0.60199999999999998</v>
      </c>
      <c r="C155" s="2">
        <f t="shared" si="9"/>
        <v>0.48219999999999996</v>
      </c>
      <c r="D155" s="2">
        <v>1.8240000009536701</v>
      </c>
      <c r="E155" s="3">
        <f t="shared" si="10"/>
        <v>1.8240000009536702E-3</v>
      </c>
      <c r="F155" s="3">
        <f>ROUNDUP((0.015%*D155+10*0.01/(SQRT(3))),4)</f>
        <v>5.8100000000000006E-2</v>
      </c>
      <c r="G155" s="3">
        <f t="shared" si="11"/>
        <v>-6.3067233868071515</v>
      </c>
      <c r="H155" s="45"/>
    </row>
    <row r="156" spans="1:8" x14ac:dyDescent="0.25">
      <c r="A156" s="2">
        <v>603</v>
      </c>
      <c r="B156" s="3">
        <f t="shared" si="8"/>
        <v>0.60299999999999998</v>
      </c>
      <c r="C156" s="2">
        <f t="shared" si="9"/>
        <v>0.48299999999999998</v>
      </c>
      <c r="D156" s="2">
        <v>1.84899997711182</v>
      </c>
      <c r="E156" s="3">
        <f t="shared" si="10"/>
        <v>1.8489999771118201E-3</v>
      </c>
      <c r="F156" s="3">
        <f>ROUNDUP((0.015%*D156+10*0.01/(SQRT(3))),4)</f>
        <v>5.8100000000000006E-2</v>
      </c>
      <c r="G156" s="3">
        <f t="shared" si="11"/>
        <v>-6.2931103389558301</v>
      </c>
      <c r="H156" s="45"/>
    </row>
    <row r="157" spans="1:8" x14ac:dyDescent="0.25">
      <c r="A157" s="2">
        <v>603</v>
      </c>
      <c r="B157" s="3">
        <f t="shared" si="8"/>
        <v>0.60299999999999998</v>
      </c>
      <c r="C157" s="2">
        <f t="shared" si="9"/>
        <v>0.48299999999999998</v>
      </c>
      <c r="D157" s="2">
        <v>1.85199999809265</v>
      </c>
      <c r="E157" s="3">
        <f t="shared" si="10"/>
        <v>1.85199999809265E-3</v>
      </c>
      <c r="F157" s="3">
        <f>ROUNDUP((0.015%*D157+10*0.01/(SQRT(3))),4)</f>
        <v>5.8100000000000006E-2</v>
      </c>
      <c r="G157" s="3">
        <f t="shared" si="11"/>
        <v>-6.291489143788036</v>
      </c>
      <c r="H157" s="45"/>
    </row>
    <row r="158" spans="1:8" x14ac:dyDescent="0.25">
      <c r="A158" s="2">
        <v>604</v>
      </c>
      <c r="B158" s="3">
        <f t="shared" si="8"/>
        <v>0.60399999999999998</v>
      </c>
      <c r="C158" s="2">
        <f t="shared" si="9"/>
        <v>0.48380000000000001</v>
      </c>
      <c r="D158" s="2">
        <v>1.8719999790191699</v>
      </c>
      <c r="E158" s="3">
        <f t="shared" si="10"/>
        <v>1.87199997901917E-3</v>
      </c>
      <c r="F158" s="3">
        <f>ROUNDUP((0.015%*D158+10*0.01/(SQRT(3))),4)</f>
        <v>5.8100000000000006E-2</v>
      </c>
      <c r="G158" s="3">
        <f t="shared" si="11"/>
        <v>-6.2807479121344452</v>
      </c>
      <c r="H158" s="45"/>
    </row>
    <row r="159" spans="1:8" x14ac:dyDescent="0.25">
      <c r="A159" s="2">
        <v>604</v>
      </c>
      <c r="B159" s="3">
        <f t="shared" si="8"/>
        <v>0.60399999999999998</v>
      </c>
      <c r="C159" s="2">
        <f t="shared" si="9"/>
        <v>0.48380000000000001</v>
      </c>
      <c r="D159" s="2">
        <v>1.8940000534057599</v>
      </c>
      <c r="E159" s="3">
        <f t="shared" si="10"/>
        <v>1.8940000534057599E-3</v>
      </c>
      <c r="F159" s="3">
        <f>ROUNDUP((0.015%*D159+10*0.01/(SQRT(3))),4)</f>
        <v>5.8100000000000006E-2</v>
      </c>
      <c r="G159" s="3">
        <f t="shared" si="11"/>
        <v>-6.2690642560209122</v>
      </c>
      <c r="H159" s="45"/>
    </row>
    <row r="160" spans="1:8" x14ac:dyDescent="0.25">
      <c r="A160" s="2">
        <v>606</v>
      </c>
      <c r="B160" s="3">
        <f t="shared" si="8"/>
        <v>0.60599999999999998</v>
      </c>
      <c r="C160" s="2">
        <f t="shared" si="9"/>
        <v>0.4854</v>
      </c>
      <c r="D160" s="2">
        <v>1.92400002479553</v>
      </c>
      <c r="E160" s="3">
        <f t="shared" si="10"/>
        <v>1.9240000247955301E-3</v>
      </c>
      <c r="F160" s="3">
        <f>ROUNDUP((0.015%*D160+10*0.01/(SQRT(3))),4)</f>
        <v>5.8100000000000006E-2</v>
      </c>
      <c r="G160" s="3">
        <f t="shared" si="11"/>
        <v>-6.2533489138511325</v>
      </c>
      <c r="H160" s="45"/>
    </row>
    <row r="161" spans="1:8" x14ac:dyDescent="0.25">
      <c r="A161" s="2">
        <v>607</v>
      </c>
      <c r="B161" s="3">
        <f t="shared" si="8"/>
        <v>0.60699999999999998</v>
      </c>
      <c r="C161" s="2">
        <f t="shared" si="9"/>
        <v>0.48619999999999997</v>
      </c>
      <c r="D161" s="2">
        <v>1.94599997997284</v>
      </c>
      <c r="E161" s="3">
        <f t="shared" si="10"/>
        <v>1.94599997997284E-3</v>
      </c>
      <c r="F161" s="3">
        <f>ROUNDUP((0.015%*D161+10*0.01/(SQRT(3))),4)</f>
        <v>5.8100000000000006E-2</v>
      </c>
      <c r="G161" s="3">
        <f t="shared" si="11"/>
        <v>-6.2419793055097728</v>
      </c>
      <c r="H161" s="45"/>
    </row>
    <row r="162" spans="1:8" x14ac:dyDescent="0.25">
      <c r="A162" s="2">
        <v>608</v>
      </c>
      <c r="B162" s="3">
        <f t="shared" si="8"/>
        <v>0.60799999999999998</v>
      </c>
      <c r="C162" s="2">
        <f t="shared" si="9"/>
        <v>0.48699999999999999</v>
      </c>
      <c r="D162" s="2">
        <v>1.96800005435944</v>
      </c>
      <c r="E162" s="3">
        <f t="shared" si="10"/>
        <v>1.9680000543594403E-3</v>
      </c>
      <c r="F162" s="3">
        <f>ROUNDUP((0.015%*D162+10*0.01/(SQRT(3))),4)</f>
        <v>5.8100000000000006E-2</v>
      </c>
      <c r="G162" s="3">
        <f t="shared" si="11"/>
        <v>-6.2307374527304091</v>
      </c>
      <c r="H162" s="45"/>
    </row>
    <row r="163" spans="1:8" x14ac:dyDescent="0.25">
      <c r="A163" s="2">
        <v>608</v>
      </c>
      <c r="B163" s="3">
        <f t="shared" si="8"/>
        <v>0.60799999999999998</v>
      </c>
      <c r="C163" s="2">
        <f t="shared" si="9"/>
        <v>0.48699999999999999</v>
      </c>
      <c r="D163" s="2">
        <v>2.0060000419616699</v>
      </c>
      <c r="E163" s="3">
        <f t="shared" si="10"/>
        <v>2.0060000419616698E-3</v>
      </c>
      <c r="F163" s="3">
        <f>ROUNDUP((0.015%*D163+10*0.01/(SQRT(3))),4)</f>
        <v>5.8100000000000006E-2</v>
      </c>
      <c r="G163" s="3">
        <f t="shared" si="11"/>
        <v>-6.2116125685243126</v>
      </c>
      <c r="H163" s="45"/>
    </row>
    <row r="164" spans="1:8" x14ac:dyDescent="0.25">
      <c r="A164" s="2">
        <v>609</v>
      </c>
      <c r="B164" s="3">
        <f t="shared" si="8"/>
        <v>0.60899999999999999</v>
      </c>
      <c r="C164" s="2">
        <f t="shared" si="9"/>
        <v>0.48780000000000001</v>
      </c>
      <c r="D164" s="2">
        <v>2.0439999103546098</v>
      </c>
      <c r="E164" s="3">
        <f t="shared" si="10"/>
        <v>2.0439999103546097E-3</v>
      </c>
      <c r="F164" s="3">
        <f>ROUNDUP((0.015%*D164+10*0.01/(SQRT(3))),4)</f>
        <v>5.8100000000000006E-2</v>
      </c>
      <c r="G164" s="3">
        <f t="shared" si="11"/>
        <v>-6.1928466504985034</v>
      </c>
      <c r="H164" s="45"/>
    </row>
    <row r="165" spans="1:8" x14ac:dyDescent="0.25">
      <c r="A165" s="2">
        <v>610</v>
      </c>
      <c r="B165" s="3">
        <f t="shared" si="8"/>
        <v>0.61</v>
      </c>
      <c r="C165" s="2">
        <f t="shared" si="9"/>
        <v>0.48859999999999998</v>
      </c>
      <c r="D165" s="2">
        <v>2.0480000972747798</v>
      </c>
      <c r="E165" s="3">
        <f t="shared" si="10"/>
        <v>2.0480000972747797E-3</v>
      </c>
      <c r="F165" s="3">
        <f>ROUNDUP((0.015%*D165+10*0.01/(SQRT(3))),4)</f>
        <v>5.8100000000000006E-2</v>
      </c>
      <c r="G165" s="3">
        <f t="shared" si="11"/>
        <v>-6.1908915243074256</v>
      </c>
      <c r="H165" s="45"/>
    </row>
    <row r="166" spans="1:8" x14ac:dyDescent="0.25">
      <c r="A166" s="2">
        <v>611</v>
      </c>
      <c r="B166" s="3">
        <f t="shared" si="8"/>
        <v>0.61099999999999999</v>
      </c>
      <c r="C166" s="2">
        <f t="shared" si="9"/>
        <v>0.4894</v>
      </c>
      <c r="D166" s="2">
        <v>2.0910000801086399</v>
      </c>
      <c r="E166" s="3">
        <f t="shared" si="10"/>
        <v>2.0910000801086398E-3</v>
      </c>
      <c r="F166" s="3">
        <f>ROUNDUP((0.015%*D166+10*0.01/(SQRT(3))),4)</f>
        <v>5.8100000000000006E-2</v>
      </c>
      <c r="G166" s="3">
        <f t="shared" si="11"/>
        <v>-6.170112820224479</v>
      </c>
      <c r="H166" s="45"/>
    </row>
    <row r="167" spans="1:8" x14ac:dyDescent="0.25">
      <c r="A167" s="2">
        <v>613</v>
      </c>
      <c r="B167" s="3">
        <f t="shared" si="8"/>
        <v>0.61299999999999999</v>
      </c>
      <c r="C167" s="2">
        <f t="shared" si="9"/>
        <v>0.49099999999999999</v>
      </c>
      <c r="D167" s="2">
        <v>2.1150000095367401</v>
      </c>
      <c r="E167" s="3">
        <f t="shared" si="10"/>
        <v>2.11500000953674E-3</v>
      </c>
      <c r="F167" s="3">
        <f>ROUNDUP((0.015%*D167+10*0.01/(SQRT(3))),4)</f>
        <v>5.8100000000000006E-2</v>
      </c>
      <c r="G167" s="3">
        <f t="shared" si="11"/>
        <v>-6.1587004619747985</v>
      </c>
      <c r="H167" s="45"/>
    </row>
    <row r="168" spans="1:8" x14ac:dyDescent="0.25">
      <c r="A168" s="2">
        <v>613</v>
      </c>
      <c r="B168" s="3">
        <f t="shared" si="8"/>
        <v>0.61299999999999999</v>
      </c>
      <c r="C168" s="2">
        <f t="shared" si="9"/>
        <v>0.49099999999999999</v>
      </c>
      <c r="D168" s="2">
        <v>2.1329998970031698</v>
      </c>
      <c r="E168" s="3">
        <f t="shared" si="10"/>
        <v>2.1329998970031697E-3</v>
      </c>
      <c r="F168" s="3">
        <f>ROUNDUP((0.015%*D168+10*0.01/(SQRT(3))),4)</f>
        <v>5.8100000000000006E-2</v>
      </c>
      <c r="G168" s="3">
        <f t="shared" si="11"/>
        <v>-6.150225887780234</v>
      </c>
      <c r="H168" s="45"/>
    </row>
    <row r="169" spans="1:8" x14ac:dyDescent="0.25">
      <c r="A169" s="2">
        <v>614</v>
      </c>
      <c r="B169" s="3">
        <f t="shared" si="8"/>
        <v>0.61399999999999999</v>
      </c>
      <c r="C169" s="2">
        <f t="shared" si="9"/>
        <v>0.49180000000000001</v>
      </c>
      <c r="D169" s="2">
        <v>2.17400002479553</v>
      </c>
      <c r="E169" s="3">
        <f t="shared" si="10"/>
        <v>2.1740000247955299E-3</v>
      </c>
      <c r="F169" s="3">
        <f>ROUNDUP((0.015%*D169+10*0.01/(SQRT(3))),4)</f>
        <v>5.8100000000000006E-2</v>
      </c>
      <c r="G169" s="3">
        <f t="shared" si="11"/>
        <v>-6.1311864788776322</v>
      </c>
      <c r="H169" s="45"/>
    </row>
    <row r="170" spans="1:8" x14ac:dyDescent="0.25">
      <c r="A170" s="2">
        <v>615</v>
      </c>
      <c r="B170" s="3">
        <f t="shared" si="8"/>
        <v>0.61499999999999999</v>
      </c>
      <c r="C170" s="2">
        <f t="shared" si="9"/>
        <v>0.49259999999999998</v>
      </c>
      <c r="D170" s="2">
        <v>2.1960000991821298</v>
      </c>
      <c r="E170" s="3">
        <f t="shared" si="10"/>
        <v>2.19600009918213E-3</v>
      </c>
      <c r="F170" s="3">
        <f>ROUNDUP((0.015%*D170+10*0.01/(SQRT(3))),4)</f>
        <v>5.8100000000000006E-2</v>
      </c>
      <c r="G170" s="3">
        <f t="shared" si="11"/>
        <v>-6.1211177101699494</v>
      </c>
      <c r="H170" s="45"/>
    </row>
    <row r="171" spans="1:8" x14ac:dyDescent="0.25">
      <c r="A171" s="2">
        <v>618</v>
      </c>
      <c r="B171" s="3">
        <f t="shared" si="8"/>
        <v>0.61799999999999999</v>
      </c>
      <c r="C171" s="2">
        <f t="shared" si="9"/>
        <v>0.495</v>
      </c>
      <c r="D171" s="2">
        <v>2.27600002288818</v>
      </c>
      <c r="E171" s="3">
        <f t="shared" si="10"/>
        <v>2.2760000228881799E-3</v>
      </c>
      <c r="F171" s="3">
        <f>ROUNDUP((0.015%*D171+10*0.01/(SQRT(3))),4)</f>
        <v>5.8100000000000006E-2</v>
      </c>
      <c r="G171" s="3">
        <f t="shared" si="11"/>
        <v>-6.0853357526617344</v>
      </c>
      <c r="H171" s="45"/>
    </row>
    <row r="172" spans="1:8" x14ac:dyDescent="0.25">
      <c r="A172" s="2">
        <v>620</v>
      </c>
      <c r="B172" s="3">
        <f t="shared" si="8"/>
        <v>0.62</v>
      </c>
      <c r="C172" s="2">
        <f t="shared" si="9"/>
        <v>0.49659999999999999</v>
      </c>
      <c r="D172" s="2">
        <v>2.3250000476837198</v>
      </c>
      <c r="E172" s="3">
        <f t="shared" si="10"/>
        <v>2.3250000476837201E-3</v>
      </c>
      <c r="F172" s="3">
        <f>ROUNDUP((0.015%*D172+10*0.01/(SQRT(3))),4)</f>
        <v>5.8100000000000006E-2</v>
      </c>
      <c r="G172" s="3">
        <f t="shared" si="11"/>
        <v>-6.0640352194336904</v>
      </c>
      <c r="H172" s="45"/>
    </row>
    <row r="173" spans="1:8" x14ac:dyDescent="0.25">
      <c r="A173" s="2">
        <v>621</v>
      </c>
      <c r="B173" s="3">
        <f t="shared" si="8"/>
        <v>0.621</v>
      </c>
      <c r="C173" s="2">
        <f t="shared" si="9"/>
        <v>0.49740000000000001</v>
      </c>
      <c r="D173" s="2">
        <v>2.3499999046325701</v>
      </c>
      <c r="E173" s="3">
        <f t="shared" si="10"/>
        <v>2.34999990463257E-3</v>
      </c>
      <c r="F173" s="3">
        <f>ROUNDUP((0.015%*D173+10*0.01/(SQRT(3))),4)</f>
        <v>5.8100000000000006E-2</v>
      </c>
      <c r="G173" s="3">
        <f t="shared" si="11"/>
        <v>-6.0533399914079551</v>
      </c>
      <c r="H173" s="45"/>
    </row>
    <row r="174" spans="1:8" x14ac:dyDescent="0.25">
      <c r="A174" s="2">
        <v>622</v>
      </c>
      <c r="B174" s="3">
        <f t="shared" si="8"/>
        <v>0.622</v>
      </c>
      <c r="C174" s="2">
        <f t="shared" si="9"/>
        <v>0.49819999999999998</v>
      </c>
      <c r="D174" s="2">
        <v>2.3940000534057599</v>
      </c>
      <c r="E174" s="3">
        <f t="shared" si="10"/>
        <v>2.3940000534057601E-3</v>
      </c>
      <c r="F174" s="3">
        <f>ROUNDUP((0.015%*D174+10*0.01/(SQRT(3))),4)</f>
        <v>5.8100000000000006E-2</v>
      </c>
      <c r="G174" s="3">
        <f t="shared" si="11"/>
        <v>-6.034789649538185</v>
      </c>
      <c r="H174" s="45"/>
    </row>
    <row r="175" spans="1:8" x14ac:dyDescent="0.25">
      <c r="A175" s="2">
        <v>626</v>
      </c>
      <c r="B175" s="3">
        <f t="shared" si="8"/>
        <v>0.626</v>
      </c>
      <c r="C175" s="2">
        <f t="shared" si="9"/>
        <v>0.50139999999999996</v>
      </c>
      <c r="D175" s="2">
        <v>2.5309998989105198</v>
      </c>
      <c r="E175" s="3">
        <f t="shared" si="10"/>
        <v>2.5309998989105197E-3</v>
      </c>
      <c r="F175" s="3">
        <f>ROUNDUP((0.015%*D175+10*0.01/(SQRT(3))),4)</f>
        <v>5.8200000000000002E-2</v>
      </c>
      <c r="G175" s="3">
        <f t="shared" si="11"/>
        <v>-5.9791408373596804</v>
      </c>
      <c r="H175" s="45"/>
    </row>
    <row r="176" spans="1:8" x14ac:dyDescent="0.25">
      <c r="A176" s="2">
        <v>627</v>
      </c>
      <c r="B176" s="3">
        <f t="shared" si="8"/>
        <v>0.627</v>
      </c>
      <c r="C176" s="2">
        <f t="shared" si="9"/>
        <v>0.50219999999999998</v>
      </c>
      <c r="D176" s="2">
        <v>2.56599998474121</v>
      </c>
      <c r="E176" s="3">
        <f t="shared" si="10"/>
        <v>2.5659999847412102E-3</v>
      </c>
      <c r="F176" s="3">
        <f>ROUNDUP((0.015%*D176+10*0.01/(SQRT(3))),4)</f>
        <v>5.8200000000000002E-2</v>
      </c>
      <c r="G176" s="3">
        <f t="shared" si="11"/>
        <v>-5.9654070187352204</v>
      </c>
      <c r="H176" s="45"/>
    </row>
    <row r="177" spans="1:8" x14ac:dyDescent="0.25">
      <c r="A177" s="2">
        <v>628</v>
      </c>
      <c r="B177" s="3">
        <f t="shared" si="8"/>
        <v>0.628</v>
      </c>
      <c r="C177" s="2">
        <f t="shared" si="9"/>
        <v>0.503</v>
      </c>
      <c r="D177" s="2">
        <v>2.5869998931884801</v>
      </c>
      <c r="E177" s="3">
        <f t="shared" si="10"/>
        <v>2.5869998931884802E-3</v>
      </c>
      <c r="F177" s="3">
        <f>ROUNDUP((0.015%*D177+10*0.01/(SQRT(3))),4)</f>
        <v>5.8200000000000002E-2</v>
      </c>
      <c r="G177" s="3">
        <f t="shared" si="11"/>
        <v>-5.9572564170660387</v>
      </c>
      <c r="H177" s="45"/>
    </row>
    <row r="178" spans="1:8" x14ac:dyDescent="0.25">
      <c r="A178" s="2">
        <v>629</v>
      </c>
      <c r="B178" s="3">
        <f t="shared" si="8"/>
        <v>0.629</v>
      </c>
      <c r="C178" s="2">
        <f t="shared" si="9"/>
        <v>0.50380000000000003</v>
      </c>
      <c r="D178" s="2">
        <v>2.6059999465942401</v>
      </c>
      <c r="E178" s="3">
        <f t="shared" si="10"/>
        <v>2.60599994659424E-3</v>
      </c>
      <c r="F178" s="3">
        <f>ROUNDUP((0.015%*D178+10*0.01/(SQRT(3))),4)</f>
        <v>5.8200000000000002E-2</v>
      </c>
      <c r="G178" s="3">
        <f t="shared" si="11"/>
        <v>-5.9499388207728687</v>
      </c>
      <c r="H178" s="45"/>
    </row>
    <row r="179" spans="1:8" x14ac:dyDescent="0.25">
      <c r="A179" s="2">
        <v>630</v>
      </c>
      <c r="B179" s="3">
        <f t="shared" si="8"/>
        <v>0.63</v>
      </c>
      <c r="C179" s="2">
        <f t="shared" si="9"/>
        <v>0.50459999999999994</v>
      </c>
      <c r="D179" s="2">
        <v>2.65100002288818</v>
      </c>
      <c r="E179" s="3">
        <f t="shared" si="10"/>
        <v>2.6510000228881802E-3</v>
      </c>
      <c r="F179" s="3">
        <f>ROUNDUP((0.015%*D179+10*0.01/(SQRT(3))),4)</f>
        <v>5.8200000000000002E-2</v>
      </c>
      <c r="G179" s="3">
        <f t="shared" si="11"/>
        <v>-5.9328183430414576</v>
      </c>
      <c r="H179" s="45"/>
    </row>
    <row r="180" spans="1:8" x14ac:dyDescent="0.25">
      <c r="A180" s="2">
        <v>631</v>
      </c>
      <c r="B180" s="3">
        <f t="shared" si="8"/>
        <v>0.63100000000000001</v>
      </c>
      <c r="C180" s="2">
        <f t="shared" si="9"/>
        <v>0.50539999999999996</v>
      </c>
      <c r="D180" s="2">
        <v>2.6689999103546098</v>
      </c>
      <c r="E180" s="3">
        <f t="shared" si="10"/>
        <v>2.6689999103546099E-3</v>
      </c>
      <c r="F180" s="3">
        <f>ROUNDUP((0.015%*D180+10*0.01/(SQRT(3))),4)</f>
        <v>5.8200000000000002E-2</v>
      </c>
      <c r="G180" s="3">
        <f t="shared" si="11"/>
        <v>-5.9260514421473829</v>
      </c>
      <c r="H180" s="45"/>
    </row>
    <row r="181" spans="1:8" x14ac:dyDescent="0.25">
      <c r="A181" s="2">
        <v>631</v>
      </c>
      <c r="B181" s="3">
        <f t="shared" si="8"/>
        <v>0.63100000000000001</v>
      </c>
      <c r="C181" s="2">
        <f t="shared" si="9"/>
        <v>0.50539999999999996</v>
      </c>
      <c r="D181" s="2">
        <v>2.69099998474121</v>
      </c>
      <c r="E181" s="3">
        <f t="shared" si="10"/>
        <v>2.6909999847412099E-3</v>
      </c>
      <c r="F181" s="3">
        <f>ROUNDUP((0.015%*D181+10*0.01/(SQRT(3))),4)</f>
        <v>5.8200000000000002E-2</v>
      </c>
      <c r="G181" s="3">
        <f t="shared" si="11"/>
        <v>-5.9178424129076728</v>
      </c>
      <c r="H181" s="45"/>
    </row>
    <row r="182" spans="1:8" x14ac:dyDescent="0.25">
      <c r="A182" s="2">
        <v>632</v>
      </c>
      <c r="B182" s="3">
        <f t="shared" si="8"/>
        <v>0.63200000000000001</v>
      </c>
      <c r="C182" s="2">
        <f t="shared" si="9"/>
        <v>0.50619999999999998</v>
      </c>
      <c r="D182" s="2">
        <v>2.7170000076293901</v>
      </c>
      <c r="E182" s="3">
        <f t="shared" si="10"/>
        <v>2.71700000762939E-3</v>
      </c>
      <c r="F182" s="3">
        <f>ROUNDUP((0.015%*D182+10*0.01/(SQRT(3))),4)</f>
        <v>5.8200000000000002E-2</v>
      </c>
      <c r="G182" s="3">
        <f t="shared" si="11"/>
        <v>-5.9082269457299068</v>
      </c>
      <c r="H182" s="45"/>
    </row>
    <row r="183" spans="1:8" x14ac:dyDescent="0.25">
      <c r="A183" s="2">
        <v>633</v>
      </c>
      <c r="B183" s="3">
        <f t="shared" si="8"/>
        <v>0.63300000000000001</v>
      </c>
      <c r="C183" s="2">
        <f t="shared" si="9"/>
        <v>0.50700000000000001</v>
      </c>
      <c r="D183" s="2">
        <v>2.7349998950958301</v>
      </c>
      <c r="E183" s="3">
        <f t="shared" si="10"/>
        <v>2.73499989509583E-3</v>
      </c>
      <c r="F183" s="3">
        <f>ROUNDUP((0.015%*D183+10*0.01/(SQRT(3))),4)</f>
        <v>5.8200000000000002E-2</v>
      </c>
      <c r="G183" s="3">
        <f t="shared" si="11"/>
        <v>-5.9016238814643796</v>
      </c>
      <c r="H183" s="45"/>
    </row>
    <row r="184" spans="1:8" x14ac:dyDescent="0.25">
      <c r="A184" s="2">
        <v>634</v>
      </c>
      <c r="B184" s="3">
        <f t="shared" si="8"/>
        <v>0.63400000000000001</v>
      </c>
      <c r="C184" s="2">
        <f t="shared" si="9"/>
        <v>0.50780000000000003</v>
      </c>
      <c r="D184" s="2">
        <v>2.77600002288818</v>
      </c>
      <c r="E184" s="3">
        <f t="shared" si="10"/>
        <v>2.7760000228881799E-3</v>
      </c>
      <c r="F184" s="3">
        <f>ROUNDUP((0.015%*D184+10*0.01/(SQRT(3))),4)</f>
        <v>5.8200000000000002E-2</v>
      </c>
      <c r="G184" s="3">
        <f t="shared" si="11"/>
        <v>-5.8867442280925575</v>
      </c>
      <c r="H184" s="45"/>
    </row>
    <row r="185" spans="1:8" x14ac:dyDescent="0.25">
      <c r="A185" s="2">
        <v>635</v>
      </c>
      <c r="B185" s="3">
        <f t="shared" si="8"/>
        <v>0.63500000000000001</v>
      </c>
      <c r="C185" s="2">
        <f t="shared" si="9"/>
        <v>0.50859999999999994</v>
      </c>
      <c r="D185" s="2">
        <v>2.81299996376038</v>
      </c>
      <c r="E185" s="3">
        <f t="shared" si="10"/>
        <v>2.8129999637603802E-3</v>
      </c>
      <c r="F185" s="3">
        <f>ROUNDUP((0.015%*D185+10*0.01/(SQRT(3))),4)</f>
        <v>5.8200000000000002E-2</v>
      </c>
      <c r="G185" s="3">
        <f t="shared" si="11"/>
        <v>-5.8735037623573252</v>
      </c>
      <c r="H185" s="45"/>
    </row>
    <row r="186" spans="1:8" x14ac:dyDescent="0.25">
      <c r="A186" s="2">
        <v>636</v>
      </c>
      <c r="B186" s="3">
        <f t="shared" si="8"/>
        <v>0.63600000000000001</v>
      </c>
      <c r="C186" s="2">
        <f t="shared" si="9"/>
        <v>0.50939999999999996</v>
      </c>
      <c r="D186" s="2">
        <v>2.8610000610351598</v>
      </c>
      <c r="E186" s="3">
        <f t="shared" si="10"/>
        <v>2.8610000610351598E-3</v>
      </c>
      <c r="F186" s="3">
        <f>ROUNDUP((0.015%*D186+10*0.01/(SQRT(3))),4)</f>
        <v>5.8200000000000002E-2</v>
      </c>
      <c r="G186" s="3">
        <f t="shared" si="11"/>
        <v>-5.856584043580658</v>
      </c>
      <c r="H186" s="45"/>
    </row>
    <row r="187" spans="1:8" x14ac:dyDescent="0.25">
      <c r="A187" s="2">
        <v>637</v>
      </c>
      <c r="B187" s="3">
        <f t="shared" si="8"/>
        <v>0.63700000000000001</v>
      </c>
      <c r="C187" s="2">
        <f t="shared" si="9"/>
        <v>0.51019999999999999</v>
      </c>
      <c r="D187" s="2">
        <v>2.8819999694824201</v>
      </c>
      <c r="E187" s="3">
        <f t="shared" si="10"/>
        <v>2.8819999694824202E-3</v>
      </c>
      <c r="F187" s="3">
        <f>ROUNDUP((0.015%*D187+10*0.01/(SQRT(3))),4)</f>
        <v>5.8200000000000002E-2</v>
      </c>
      <c r="G187" s="3">
        <f t="shared" si="11"/>
        <v>-5.8492707919938347</v>
      </c>
      <c r="H187" s="45"/>
    </row>
    <row r="188" spans="1:8" x14ac:dyDescent="0.25">
      <c r="A188" s="2">
        <v>638</v>
      </c>
      <c r="B188" s="3">
        <f t="shared" si="8"/>
        <v>0.63800000000000001</v>
      </c>
      <c r="C188" s="2">
        <f t="shared" si="9"/>
        <v>0.51100000000000001</v>
      </c>
      <c r="D188" s="2">
        <v>2.9040000438690199</v>
      </c>
      <c r="E188" s="3">
        <f t="shared" si="10"/>
        <v>2.9040000438690199E-3</v>
      </c>
      <c r="F188" s="3">
        <f>ROUNDUP((0.015%*D188+10*0.01/(SQRT(3))),4)</f>
        <v>5.8200000000000002E-2</v>
      </c>
      <c r="G188" s="3">
        <f t="shared" si="11"/>
        <v>-5.8416661669131758</v>
      </c>
      <c r="H188" s="45"/>
    </row>
    <row r="189" spans="1:8" x14ac:dyDescent="0.25">
      <c r="A189" s="2">
        <v>639</v>
      </c>
      <c r="B189" s="3">
        <f t="shared" si="8"/>
        <v>0.63900000000000001</v>
      </c>
      <c r="C189" s="2">
        <f t="shared" si="9"/>
        <v>0.51180000000000003</v>
      </c>
      <c r="D189" s="2">
        <v>2.9500000476837198</v>
      </c>
      <c r="E189" s="3">
        <f t="shared" si="10"/>
        <v>2.9500000476837198E-3</v>
      </c>
      <c r="F189" s="3">
        <f>ROUNDUP((0.015%*D189+10*0.01/(SQRT(3))),4)</f>
        <v>5.8200000000000002E-2</v>
      </c>
      <c r="G189" s="3">
        <f t="shared" si="11"/>
        <v>-5.825950092466436</v>
      </c>
      <c r="H189" s="45"/>
    </row>
    <row r="190" spans="1:8" x14ac:dyDescent="0.25">
      <c r="A190" s="2">
        <v>640</v>
      </c>
      <c r="B190" s="3">
        <f t="shared" si="8"/>
        <v>0.64</v>
      </c>
      <c r="C190" s="2">
        <f t="shared" si="9"/>
        <v>0.51259999999999994</v>
      </c>
      <c r="D190" s="2">
        <v>2.9930000305175799</v>
      </c>
      <c r="E190" s="3">
        <f t="shared" si="10"/>
        <v>2.9930000305175798E-3</v>
      </c>
      <c r="F190" s="3">
        <f>ROUNDUP((0.015%*D190+10*0.01/(SQRT(3))),4)</f>
        <v>5.8200000000000002E-2</v>
      </c>
      <c r="G190" s="3">
        <f t="shared" si="11"/>
        <v>-5.8114790399152572</v>
      </c>
      <c r="H190" s="45"/>
    </row>
    <row r="191" spans="1:8" x14ac:dyDescent="0.25">
      <c r="A191" s="2">
        <v>641</v>
      </c>
      <c r="B191" s="3">
        <f t="shared" si="8"/>
        <v>0.64100000000000001</v>
      </c>
      <c r="C191" s="2">
        <f t="shared" si="9"/>
        <v>0.51339999999999997</v>
      </c>
      <c r="D191" s="2">
        <v>3.0409998893737802</v>
      </c>
      <c r="E191" s="3">
        <f t="shared" si="10"/>
        <v>3.0409998893737803E-3</v>
      </c>
      <c r="F191" s="3">
        <f>ROUNDUP((0.015%*D191+10*0.01/(SQRT(3))),4)</f>
        <v>5.8200000000000002E-2</v>
      </c>
      <c r="G191" s="3">
        <f t="shared" si="11"/>
        <v>-5.7955689066651477</v>
      </c>
      <c r="H191" s="45"/>
    </row>
    <row r="192" spans="1:8" x14ac:dyDescent="0.25">
      <c r="A192" s="2">
        <v>644</v>
      </c>
      <c r="B192" s="3">
        <f t="shared" si="8"/>
        <v>0.64400000000000002</v>
      </c>
      <c r="C192" s="2">
        <f t="shared" si="9"/>
        <v>0.51580000000000004</v>
      </c>
      <c r="D192" s="2">
        <v>3.1370000839233398</v>
      </c>
      <c r="E192" s="3">
        <f t="shared" si="10"/>
        <v>3.1370000839233401E-3</v>
      </c>
      <c r="F192" s="3">
        <f>ROUNDUP((0.015%*D192+10*0.01/(SQRT(3))),4)</f>
        <v>5.8300000000000005E-2</v>
      </c>
      <c r="G192" s="3">
        <f t="shared" si="11"/>
        <v>-5.7644883230208581</v>
      </c>
      <c r="H192" s="45"/>
    </row>
    <row r="193" spans="1:8" x14ac:dyDescent="0.25">
      <c r="A193" s="2">
        <v>645</v>
      </c>
      <c r="B193" s="3">
        <f t="shared" si="8"/>
        <v>0.64500000000000002</v>
      </c>
      <c r="C193" s="2">
        <f t="shared" si="9"/>
        <v>0.51659999999999995</v>
      </c>
      <c r="D193" s="2">
        <v>3.1730000972747798</v>
      </c>
      <c r="E193" s="3">
        <f t="shared" si="10"/>
        <v>3.1730000972747799E-3</v>
      </c>
      <c r="F193" s="3">
        <f>ROUNDUP((0.015%*D193+10*0.01/(SQRT(3))),4)</f>
        <v>5.8300000000000005E-2</v>
      </c>
      <c r="G193" s="3">
        <f t="shared" si="11"/>
        <v>-5.7530777357240419</v>
      </c>
      <c r="H193" s="45"/>
    </row>
    <row r="194" spans="1:8" x14ac:dyDescent="0.25">
      <c r="A194" s="2">
        <v>645</v>
      </c>
      <c r="B194" s="3">
        <f t="shared" si="8"/>
        <v>0.64500000000000002</v>
      </c>
      <c r="C194" s="2">
        <f t="shared" si="9"/>
        <v>0.51659999999999995</v>
      </c>
      <c r="D194" s="2">
        <v>3.1940000057220499</v>
      </c>
      <c r="E194" s="3">
        <f t="shared" si="10"/>
        <v>3.1940000057220498E-3</v>
      </c>
      <c r="F194" s="3">
        <f>ROUNDUP((0.015%*D194+10*0.01/(SQRT(3))),4)</f>
        <v>5.8300000000000005E-2</v>
      </c>
      <c r="G194" s="3">
        <f t="shared" si="11"/>
        <v>-5.7464812273978163</v>
      </c>
      <c r="H194" s="45"/>
    </row>
    <row r="195" spans="1:8" x14ac:dyDescent="0.25">
      <c r="A195" s="2">
        <v>646</v>
      </c>
      <c r="B195" s="3">
        <f t="shared" si="8"/>
        <v>0.64600000000000002</v>
      </c>
      <c r="C195" s="2">
        <f t="shared" si="9"/>
        <v>0.51739999999999997</v>
      </c>
      <c r="D195" s="2">
        <v>3.2119998931884801</v>
      </c>
      <c r="E195" s="3">
        <f t="shared" si="10"/>
        <v>3.2119998931884803E-3</v>
      </c>
      <c r="F195" s="3">
        <f>ROUNDUP((0.015%*D195+10*0.01/(SQRT(3))),4)</f>
        <v>5.8300000000000005E-2</v>
      </c>
      <c r="G195" s="3">
        <f t="shared" si="11"/>
        <v>-5.7408615161515204</v>
      </c>
      <c r="H195" s="45"/>
    </row>
    <row r="196" spans="1:8" x14ac:dyDescent="0.25">
      <c r="A196" s="2">
        <v>649</v>
      </c>
      <c r="B196" s="3">
        <f t="shared" si="8"/>
        <v>0.64900000000000002</v>
      </c>
      <c r="C196" s="2">
        <f t="shared" si="9"/>
        <v>0.51980000000000004</v>
      </c>
      <c r="D196" s="2">
        <v>3.3410000801086399</v>
      </c>
      <c r="E196" s="3">
        <f t="shared" si="10"/>
        <v>3.34100008010864E-3</v>
      </c>
      <c r="F196" s="3">
        <f>ROUNDUP((0.015%*D196+10*0.01/(SQRT(3))),4)</f>
        <v>5.8300000000000005E-2</v>
      </c>
      <c r="G196" s="3">
        <f t="shared" si="11"/>
        <v>-5.7014850916300741</v>
      </c>
      <c r="H196" s="45"/>
    </row>
    <row r="197" spans="1:8" x14ac:dyDescent="0.25">
      <c r="A197" s="2">
        <v>651</v>
      </c>
      <c r="B197" s="3">
        <f t="shared" si="8"/>
        <v>0.65100000000000002</v>
      </c>
      <c r="C197" s="2">
        <f t="shared" si="9"/>
        <v>0.52139999999999997</v>
      </c>
      <c r="D197" s="2">
        <v>3.3910000324249299</v>
      </c>
      <c r="E197" s="3">
        <f t="shared" si="10"/>
        <v>3.3910000324249298E-3</v>
      </c>
      <c r="F197" s="3">
        <f>ROUNDUP((0.015%*D197+10*0.01/(SQRT(3))),4)</f>
        <v>5.8300000000000005E-2</v>
      </c>
      <c r="G197" s="3">
        <f t="shared" si="11"/>
        <v>-5.6866304062765805</v>
      </c>
      <c r="H197" s="45"/>
    </row>
    <row r="198" spans="1:8" x14ac:dyDescent="0.25">
      <c r="A198" s="2">
        <v>652</v>
      </c>
      <c r="B198" s="3">
        <f t="shared" si="8"/>
        <v>0.65200000000000002</v>
      </c>
      <c r="C198" s="2">
        <f t="shared" si="9"/>
        <v>0.5222</v>
      </c>
      <c r="D198" s="2">
        <v>3.4330000877380402</v>
      </c>
      <c r="E198" s="3">
        <f t="shared" si="10"/>
        <v>3.4330000877380402E-3</v>
      </c>
      <c r="F198" s="3">
        <f>ROUNDUP((0.015%*D198+10*0.01/(SQRT(3))),4)</f>
        <v>5.8300000000000005E-2</v>
      </c>
      <c r="G198" s="3">
        <f t="shared" si="11"/>
        <v>-5.6743207389493318</v>
      </c>
      <c r="H198" s="45"/>
    </row>
    <row r="199" spans="1:8" x14ac:dyDescent="0.25">
      <c r="A199" s="2">
        <v>652</v>
      </c>
      <c r="B199" s="3">
        <f t="shared" si="8"/>
        <v>0.65200000000000002</v>
      </c>
      <c r="C199" s="2">
        <f t="shared" si="9"/>
        <v>0.5222</v>
      </c>
      <c r="D199" s="2">
        <v>3.4360001087188698</v>
      </c>
      <c r="E199" s="3">
        <f t="shared" si="10"/>
        <v>3.4360001087188701E-3</v>
      </c>
      <c r="F199" s="3">
        <f>ROUNDUP((0.015%*D199+10*0.01/(SQRT(3))),4)</f>
        <v>5.8300000000000005E-2</v>
      </c>
      <c r="G199" s="3">
        <f t="shared" si="11"/>
        <v>-5.6734472432190142</v>
      </c>
      <c r="H199" s="45"/>
    </row>
    <row r="200" spans="1:8" x14ac:dyDescent="0.25">
      <c r="A200" s="2">
        <v>652</v>
      </c>
      <c r="B200" s="3">
        <f t="shared" si="8"/>
        <v>0.65200000000000002</v>
      </c>
      <c r="C200" s="2">
        <f t="shared" si="9"/>
        <v>0.5222</v>
      </c>
      <c r="D200" s="2">
        <v>3.44099998474121</v>
      </c>
      <c r="E200" s="3">
        <f t="shared" si="10"/>
        <v>3.4409999847412102E-3</v>
      </c>
      <c r="F200" s="3">
        <f>ROUNDUP((0.015%*D200+10*0.01/(SQRT(3))),4)</f>
        <v>5.8300000000000005E-2</v>
      </c>
      <c r="G200" s="3">
        <f t="shared" si="11"/>
        <v>-5.6719931566011992</v>
      </c>
      <c r="H200" s="45"/>
    </row>
    <row r="201" spans="1:8" x14ac:dyDescent="0.25">
      <c r="A201" s="2">
        <v>653</v>
      </c>
      <c r="B201" s="3">
        <f t="shared" si="8"/>
        <v>0.65300000000000002</v>
      </c>
      <c r="C201" s="2">
        <f t="shared" si="9"/>
        <v>0.52300000000000002</v>
      </c>
      <c r="D201" s="2">
        <v>3.4619998931884801</v>
      </c>
      <c r="E201" s="3">
        <f t="shared" si="10"/>
        <v>3.4619998931884801E-3</v>
      </c>
      <c r="F201" s="3">
        <f>ROUNDUP((0.015%*D201+10*0.01/(SQRT(3))),4)</f>
        <v>5.8300000000000005E-2</v>
      </c>
      <c r="G201" s="3">
        <f t="shared" si="11"/>
        <v>-5.6659088530806674</v>
      </c>
      <c r="H201" s="45"/>
    </row>
    <row r="202" spans="1:8" x14ac:dyDescent="0.25">
      <c r="A202" s="2">
        <v>653</v>
      </c>
      <c r="B202" s="3">
        <f t="shared" si="8"/>
        <v>0.65300000000000002</v>
      </c>
      <c r="C202" s="2">
        <f t="shared" si="9"/>
        <v>0.52300000000000002</v>
      </c>
      <c r="D202" s="2">
        <v>3.4660000801086399</v>
      </c>
      <c r="E202" s="3">
        <f t="shared" si="10"/>
        <v>3.4660000801086401E-3</v>
      </c>
      <c r="F202" s="3">
        <f>ROUNDUP((0.015%*D202+10*0.01/(SQRT(3))),4)</f>
        <v>5.8300000000000005E-2</v>
      </c>
      <c r="G202" s="3">
        <f t="shared" si="11"/>
        <v>-5.6647540645760168</v>
      </c>
      <c r="H202" s="45"/>
    </row>
    <row r="203" spans="1:8" x14ac:dyDescent="0.25">
      <c r="A203" s="2">
        <v>653</v>
      </c>
      <c r="B203" s="3">
        <f t="shared" si="8"/>
        <v>0.65300000000000002</v>
      </c>
      <c r="C203" s="2">
        <f t="shared" si="9"/>
        <v>0.52300000000000002</v>
      </c>
      <c r="D203" s="2">
        <v>3.4849998950958301</v>
      </c>
      <c r="E203" s="3">
        <f t="shared" si="10"/>
        <v>3.4849998950958303E-3</v>
      </c>
      <c r="F203" s="3">
        <f>ROUNDUP((0.015%*D203+10*0.01/(SQRT(3))),4)</f>
        <v>5.8300000000000005E-2</v>
      </c>
      <c r="G203" s="3">
        <f t="shared" si="11"/>
        <v>-5.6592872648712769</v>
      </c>
      <c r="H203" s="45"/>
    </row>
    <row r="204" spans="1:8" x14ac:dyDescent="0.25">
      <c r="A204" s="2">
        <v>653</v>
      </c>
      <c r="B204" s="3">
        <f t="shared" ref="B204:B267" si="12">A204*0.001</f>
        <v>0.65300000000000002</v>
      </c>
      <c r="C204" s="2">
        <f t="shared" ref="C204:C267" si="13">ROUNDUP((0.08%*A204+0.001/(SQRT(3))),4)</f>
        <v>0.52300000000000002</v>
      </c>
      <c r="D204" s="2">
        <v>3.48699998855591</v>
      </c>
      <c r="E204" s="3">
        <f t="shared" ref="E204:E267" si="14">D204*0.001</f>
        <v>3.48699998855591E-3</v>
      </c>
      <c r="F204" s="3">
        <f>ROUNDUP((0.015%*D204+10*0.01/(SQRT(3))),4)</f>
        <v>5.8300000000000005E-2</v>
      </c>
      <c r="G204" s="3">
        <f t="shared" ref="G204:G267" si="15">LN(E204)</f>
        <v>-5.6587135145705529</v>
      </c>
      <c r="H204" s="45"/>
    </row>
    <row r="205" spans="1:8" x14ac:dyDescent="0.25">
      <c r="A205" s="2">
        <v>654</v>
      </c>
      <c r="B205" s="3">
        <f t="shared" si="12"/>
        <v>0.65400000000000003</v>
      </c>
      <c r="C205" s="2">
        <f t="shared" si="13"/>
        <v>0.52380000000000004</v>
      </c>
      <c r="D205" s="2">
        <v>3.5060000419616699</v>
      </c>
      <c r="E205" s="3">
        <f t="shared" si="14"/>
        <v>3.5060000419616698E-3</v>
      </c>
      <c r="F205" s="3">
        <f>ROUNDUP((0.015%*D205+10*0.01/(SQRT(3))),4)</f>
        <v>5.8300000000000005E-2</v>
      </c>
      <c r="G205" s="3">
        <f t="shared" si="15"/>
        <v>-5.6532794805145636</v>
      </c>
      <c r="H205" s="45"/>
    </row>
    <row r="206" spans="1:8" x14ac:dyDescent="0.25">
      <c r="A206" s="2">
        <v>654</v>
      </c>
      <c r="B206" s="3">
        <f t="shared" si="12"/>
        <v>0.65400000000000003</v>
      </c>
      <c r="C206" s="2">
        <f t="shared" si="13"/>
        <v>0.52380000000000004</v>
      </c>
      <c r="D206" s="2">
        <v>3.52600002288818</v>
      </c>
      <c r="E206" s="3">
        <f t="shared" si="14"/>
        <v>3.5260000228881801E-3</v>
      </c>
      <c r="F206" s="3">
        <f>ROUNDUP((0.015%*D206+10*0.01/(SQRT(3))),4)</f>
        <v>5.8300000000000005E-2</v>
      </c>
      <c r="G206" s="3">
        <f t="shared" si="15"/>
        <v>-5.6475911885151993</v>
      </c>
      <c r="H206" s="45"/>
    </row>
    <row r="207" spans="1:8" x14ac:dyDescent="0.25">
      <c r="A207" s="2">
        <v>656</v>
      </c>
      <c r="B207" s="3">
        <f t="shared" si="12"/>
        <v>0.65600000000000003</v>
      </c>
      <c r="C207" s="2">
        <f t="shared" si="13"/>
        <v>0.52539999999999998</v>
      </c>
      <c r="D207" s="2">
        <v>3.58899998664856</v>
      </c>
      <c r="E207" s="3">
        <f t="shared" si="14"/>
        <v>3.58899998664856E-3</v>
      </c>
      <c r="F207" s="3">
        <f>ROUNDUP((0.015%*D207+10*0.01/(SQRT(3))),4)</f>
        <v>5.8300000000000005E-2</v>
      </c>
      <c r="G207" s="3">
        <f t="shared" si="15"/>
        <v>-5.6298816705367676</v>
      </c>
      <c r="H207" s="45"/>
    </row>
    <row r="208" spans="1:8" x14ac:dyDescent="0.25">
      <c r="A208" s="2">
        <v>656</v>
      </c>
      <c r="B208" s="3">
        <f t="shared" si="12"/>
        <v>0.65600000000000003</v>
      </c>
      <c r="C208" s="2">
        <f t="shared" si="13"/>
        <v>0.52539999999999998</v>
      </c>
      <c r="D208" s="2">
        <v>3.5940001010894802</v>
      </c>
      <c r="E208" s="3">
        <f t="shared" si="14"/>
        <v>3.5940001010894801E-3</v>
      </c>
      <c r="F208" s="3">
        <f>ROUNDUP((0.015%*D208+10*0.01/(SQRT(3))),4)</f>
        <v>5.8300000000000005E-2</v>
      </c>
      <c r="G208" s="3">
        <f t="shared" si="15"/>
        <v>-5.62848946249348</v>
      </c>
      <c r="H208" s="45"/>
    </row>
    <row r="209" spans="1:8" x14ac:dyDescent="0.25">
      <c r="A209" s="2">
        <v>656</v>
      </c>
      <c r="B209" s="3">
        <f t="shared" si="12"/>
        <v>0.65600000000000003</v>
      </c>
      <c r="C209" s="2">
        <f t="shared" si="13"/>
        <v>0.52539999999999998</v>
      </c>
      <c r="D209" s="2">
        <v>3.59899997711182</v>
      </c>
      <c r="E209" s="3">
        <f t="shared" si="14"/>
        <v>3.5989999771118201E-3</v>
      </c>
      <c r="F209" s="3">
        <f>ROUNDUP((0.015%*D209+10*0.01/(SQRT(3))),4)</f>
        <v>5.8300000000000005E-2</v>
      </c>
      <c r="G209" s="3">
        <f t="shared" si="15"/>
        <v>-5.6270992562448381</v>
      </c>
      <c r="H209" s="45"/>
    </row>
    <row r="210" spans="1:8" x14ac:dyDescent="0.25">
      <c r="A210" s="2">
        <v>656</v>
      </c>
      <c r="B210" s="3">
        <f t="shared" si="12"/>
        <v>0.65600000000000003</v>
      </c>
      <c r="C210" s="2">
        <f t="shared" si="13"/>
        <v>0.52539999999999998</v>
      </c>
      <c r="D210" s="2">
        <v>3.6240000724792498</v>
      </c>
      <c r="E210" s="3">
        <f t="shared" si="14"/>
        <v>3.6240000724792501E-3</v>
      </c>
      <c r="F210" s="3">
        <f>ROUNDUP((0.015%*D210+10*0.01/(SQRT(3))),4)</f>
        <v>5.8300000000000005E-2</v>
      </c>
      <c r="G210" s="3">
        <f t="shared" si="15"/>
        <v>-5.6201768708016111</v>
      </c>
      <c r="H210" s="45"/>
    </row>
    <row r="211" spans="1:8" x14ac:dyDescent="0.25">
      <c r="A211" s="2">
        <v>658</v>
      </c>
      <c r="B211" s="3">
        <f t="shared" si="12"/>
        <v>0.65800000000000003</v>
      </c>
      <c r="C211" s="2">
        <f t="shared" si="13"/>
        <v>0.52700000000000002</v>
      </c>
      <c r="D211" s="2">
        <v>3.6670000553131099</v>
      </c>
      <c r="E211" s="3">
        <f t="shared" si="14"/>
        <v>3.6670000553131101E-3</v>
      </c>
      <c r="F211" s="3">
        <f>ROUNDUP((0.015%*D211+10*0.01/(SQRT(3))),4)</f>
        <v>5.8300000000000005E-2</v>
      </c>
      <c r="G211" s="3">
        <f t="shared" si="15"/>
        <v>-5.6083813748089257</v>
      </c>
      <c r="H211" s="45"/>
    </row>
    <row r="212" spans="1:8" x14ac:dyDescent="0.25">
      <c r="A212" s="2">
        <v>658</v>
      </c>
      <c r="B212" s="3">
        <f t="shared" si="12"/>
        <v>0.65800000000000003</v>
      </c>
      <c r="C212" s="2">
        <f t="shared" si="13"/>
        <v>0.52700000000000002</v>
      </c>
      <c r="D212" s="2">
        <v>3.6900000572204599</v>
      </c>
      <c r="E212" s="3">
        <f t="shared" si="14"/>
        <v>3.6900000572204598E-3</v>
      </c>
      <c r="F212" s="3">
        <f>ROUNDUP((0.015%*D212+10*0.01/(SQRT(3))),4)</f>
        <v>5.8300000000000005E-2</v>
      </c>
      <c r="G212" s="3">
        <f t="shared" si="15"/>
        <v>-5.6021288054228018</v>
      </c>
      <c r="H212" s="45"/>
    </row>
    <row r="213" spans="1:8" x14ac:dyDescent="0.25">
      <c r="A213" s="2">
        <v>658</v>
      </c>
      <c r="B213" s="3">
        <f t="shared" si="12"/>
        <v>0.65800000000000003</v>
      </c>
      <c r="C213" s="2">
        <f t="shared" si="13"/>
        <v>0.52700000000000002</v>
      </c>
      <c r="D213" s="2">
        <v>3.6900000572204599</v>
      </c>
      <c r="E213" s="3">
        <f t="shared" si="14"/>
        <v>3.6900000572204598E-3</v>
      </c>
      <c r="F213" s="3">
        <f>ROUNDUP((0.015%*D213+10*0.01/(SQRT(3))),4)</f>
        <v>5.8300000000000005E-2</v>
      </c>
      <c r="G213" s="3">
        <f t="shared" si="15"/>
        <v>-5.6021288054228018</v>
      </c>
      <c r="H213" s="45"/>
    </row>
    <row r="214" spans="1:8" x14ac:dyDescent="0.25">
      <c r="A214" s="2">
        <v>659</v>
      </c>
      <c r="B214" s="3">
        <f t="shared" si="12"/>
        <v>0.65900000000000003</v>
      </c>
      <c r="C214" s="2">
        <f t="shared" si="13"/>
        <v>0.52779999999999994</v>
      </c>
      <c r="D214" s="2">
        <v>3.7390000820159899</v>
      </c>
      <c r="E214" s="3">
        <f t="shared" si="14"/>
        <v>3.7390000820159901E-3</v>
      </c>
      <c r="F214" s="3">
        <f>ROUNDUP((0.015%*D214+10*0.01/(SQRT(3))),4)</f>
        <v>5.8300000000000005E-2</v>
      </c>
      <c r="G214" s="3">
        <f t="shared" si="15"/>
        <v>-5.5889370610518867</v>
      </c>
      <c r="H214" s="45"/>
    </row>
    <row r="215" spans="1:8" x14ac:dyDescent="0.25">
      <c r="A215" s="2">
        <v>660</v>
      </c>
      <c r="B215" s="3">
        <f t="shared" si="12"/>
        <v>0.66</v>
      </c>
      <c r="C215" s="2">
        <f t="shared" si="13"/>
        <v>0.52859999999999996</v>
      </c>
      <c r="D215" s="2">
        <v>3.7839999198913601</v>
      </c>
      <c r="E215" s="3">
        <f t="shared" si="14"/>
        <v>3.7839999198913603E-3</v>
      </c>
      <c r="F215" s="3">
        <f>ROUNDUP((0.015%*D215+10*0.01/(SQRT(3))),4)</f>
        <v>5.8400000000000001E-2</v>
      </c>
      <c r="G215" s="3">
        <f t="shared" si="15"/>
        <v>-5.5769736489628645</v>
      </c>
      <c r="H215" s="45"/>
    </row>
    <row r="216" spans="1:8" x14ac:dyDescent="0.25">
      <c r="A216" s="2">
        <v>661</v>
      </c>
      <c r="B216" s="3">
        <f t="shared" si="12"/>
        <v>0.66100000000000003</v>
      </c>
      <c r="C216" s="2">
        <f t="shared" si="13"/>
        <v>0.52939999999999998</v>
      </c>
      <c r="D216" s="2">
        <v>3.80299997329712</v>
      </c>
      <c r="E216" s="3">
        <f t="shared" si="14"/>
        <v>3.80299997329712E-3</v>
      </c>
      <c r="F216" s="3">
        <f>ROUNDUP((0.015%*D216+10*0.01/(SQRT(3))),4)</f>
        <v>5.8400000000000001E-2</v>
      </c>
      <c r="G216" s="3">
        <f t="shared" si="15"/>
        <v>-5.571965057057545</v>
      </c>
      <c r="H216" s="45"/>
    </row>
    <row r="217" spans="1:8" x14ac:dyDescent="0.25">
      <c r="A217" s="2">
        <v>662</v>
      </c>
      <c r="B217" s="3">
        <f t="shared" si="12"/>
        <v>0.66200000000000003</v>
      </c>
      <c r="C217" s="2">
        <f t="shared" si="13"/>
        <v>0.5302</v>
      </c>
      <c r="D217" s="2">
        <v>3.8280000686645499</v>
      </c>
      <c r="E217" s="3">
        <f t="shared" si="14"/>
        <v>3.82800006866455E-3</v>
      </c>
      <c r="F217" s="3">
        <f>ROUNDUP((0.015%*D217+10*0.01/(SQRT(3))),4)</f>
        <v>5.8400000000000001E-2</v>
      </c>
      <c r="G217" s="3">
        <f t="shared" si="15"/>
        <v>-5.5654127874539814</v>
      </c>
      <c r="H217" s="45"/>
    </row>
    <row r="218" spans="1:8" x14ac:dyDescent="0.25">
      <c r="A218" s="2">
        <v>662</v>
      </c>
      <c r="B218" s="3">
        <f t="shared" si="12"/>
        <v>0.66200000000000003</v>
      </c>
      <c r="C218" s="2">
        <f t="shared" si="13"/>
        <v>0.5302</v>
      </c>
      <c r="D218" s="2">
        <v>3.8640000820159899</v>
      </c>
      <c r="E218" s="3">
        <f t="shared" si="14"/>
        <v>3.8640000820159902E-3</v>
      </c>
      <c r="F218" s="3">
        <f>ROUNDUP((0.015%*D218+10*0.01/(SQRT(3))),4)</f>
        <v>5.8400000000000001E-2</v>
      </c>
      <c r="G218" s="3">
        <f t="shared" si="15"/>
        <v>-5.5560523414061951</v>
      </c>
      <c r="H218" s="45"/>
    </row>
    <row r="219" spans="1:8" x14ac:dyDescent="0.25">
      <c r="A219" s="2">
        <v>663</v>
      </c>
      <c r="B219" s="3">
        <f t="shared" si="12"/>
        <v>0.66300000000000003</v>
      </c>
      <c r="C219" s="2">
        <f t="shared" si="13"/>
        <v>0.53100000000000003</v>
      </c>
      <c r="D219" s="2">
        <v>3.8889999389648402</v>
      </c>
      <c r="E219" s="3">
        <f t="shared" si="14"/>
        <v>3.8889999389648401E-3</v>
      </c>
      <c r="F219" s="3">
        <f>ROUNDUP((0.015%*D219+10*0.01/(SQRT(3))),4)</f>
        <v>5.8400000000000001E-2</v>
      </c>
      <c r="G219" s="3">
        <f t="shared" si="15"/>
        <v>-5.5496032395028339</v>
      </c>
      <c r="H219" s="45"/>
    </row>
    <row r="220" spans="1:8" x14ac:dyDescent="0.25">
      <c r="A220" s="2">
        <v>663</v>
      </c>
      <c r="B220" s="3">
        <f t="shared" si="12"/>
        <v>0.66300000000000003</v>
      </c>
      <c r="C220" s="2">
        <f t="shared" si="13"/>
        <v>0.53100000000000003</v>
      </c>
      <c r="D220" s="2">
        <v>3.9089999198913601</v>
      </c>
      <c r="E220" s="3">
        <f t="shared" si="14"/>
        <v>3.9089999198913599E-3</v>
      </c>
      <c r="F220" s="3">
        <f>ROUNDUP((0.015%*D220+10*0.01/(SQRT(3))),4)</f>
        <v>5.8400000000000001E-2</v>
      </c>
      <c r="G220" s="3">
        <f t="shared" si="15"/>
        <v>-5.5444737126647041</v>
      </c>
      <c r="H220" s="45"/>
    </row>
    <row r="221" spans="1:8" x14ac:dyDescent="0.25">
      <c r="A221" s="2">
        <v>663</v>
      </c>
      <c r="B221" s="3">
        <f t="shared" si="12"/>
        <v>0.66300000000000003</v>
      </c>
      <c r="C221" s="2">
        <f t="shared" si="13"/>
        <v>0.53100000000000003</v>
      </c>
      <c r="D221" s="2">
        <v>3.8900001049041699</v>
      </c>
      <c r="E221" s="3">
        <f t="shared" si="14"/>
        <v>3.8900001049041702E-3</v>
      </c>
      <c r="F221" s="3">
        <f>ROUNDUP((0.015%*D221+10*0.01/(SQRT(3))),4)</f>
        <v>5.8400000000000001E-2</v>
      </c>
      <c r="G221" s="3">
        <f t="shared" si="15"/>
        <v>-5.5493460943841297</v>
      </c>
      <c r="H221" s="45"/>
    </row>
    <row r="222" spans="1:8" x14ac:dyDescent="0.25">
      <c r="A222" s="2">
        <v>665</v>
      </c>
      <c r="B222" s="3">
        <f t="shared" si="12"/>
        <v>0.66500000000000004</v>
      </c>
      <c r="C222" s="2">
        <f t="shared" si="13"/>
        <v>0.53259999999999996</v>
      </c>
      <c r="D222" s="2">
        <v>3.9590001106262198</v>
      </c>
      <c r="E222" s="3">
        <f t="shared" si="14"/>
        <v>3.9590001106262198E-3</v>
      </c>
      <c r="F222" s="3">
        <f>ROUNDUP((0.015%*D222+10*0.01/(SQRT(3))),4)</f>
        <v>5.8400000000000001E-2</v>
      </c>
      <c r="G222" s="3">
        <f t="shared" si="15"/>
        <v>-5.5317637829151733</v>
      </c>
      <c r="H222" s="45"/>
    </row>
    <row r="223" spans="1:8" x14ac:dyDescent="0.25">
      <c r="A223" s="2">
        <v>666</v>
      </c>
      <c r="B223" s="3">
        <f t="shared" si="12"/>
        <v>0.66600000000000004</v>
      </c>
      <c r="C223" s="2">
        <f t="shared" si="13"/>
        <v>0.53339999999999999</v>
      </c>
      <c r="D223" s="2">
        <v>4.0029997825622603</v>
      </c>
      <c r="E223" s="3">
        <f t="shared" si="14"/>
        <v>4.0029997825622608E-3</v>
      </c>
      <c r="F223" s="3">
        <f>ROUNDUP((0.015%*D223+10*0.01/(SQRT(3))),4)</f>
        <v>5.8400000000000001E-2</v>
      </c>
      <c r="G223" s="3">
        <f t="shared" si="15"/>
        <v>-5.5207112532903979</v>
      </c>
      <c r="H223" s="45"/>
    </row>
    <row r="224" spans="1:8" x14ac:dyDescent="0.25">
      <c r="A224" s="2">
        <v>666</v>
      </c>
      <c r="B224" s="3">
        <f t="shared" si="12"/>
        <v>0.66600000000000004</v>
      </c>
      <c r="C224" s="2">
        <f t="shared" si="13"/>
        <v>0.53339999999999999</v>
      </c>
      <c r="D224" s="2">
        <v>4.0219998359680202</v>
      </c>
      <c r="E224" s="3">
        <f t="shared" si="14"/>
        <v>4.0219998359680206E-3</v>
      </c>
      <c r="F224" s="3">
        <f>ROUNDUP((0.015%*D224+10*0.01/(SQRT(3))),4)</f>
        <v>5.8400000000000001E-2</v>
      </c>
      <c r="G224" s="3">
        <f t="shared" si="15"/>
        <v>-5.5159760284153618</v>
      </c>
      <c r="H224" s="45"/>
    </row>
    <row r="225" spans="1:8" x14ac:dyDescent="0.25">
      <c r="A225" s="2">
        <v>666</v>
      </c>
      <c r="B225" s="3">
        <f t="shared" si="12"/>
        <v>0.66600000000000004</v>
      </c>
      <c r="C225" s="2">
        <f t="shared" si="13"/>
        <v>0.53339999999999999</v>
      </c>
      <c r="D225" s="2">
        <v>4.0250000953674299</v>
      </c>
      <c r="E225" s="3">
        <f t="shared" si="14"/>
        <v>4.02500009536743E-3</v>
      </c>
      <c r="F225" s="3">
        <f>ROUNDUP((0.015%*D225+10*0.01/(SQRT(3))),4)</f>
        <v>5.8400000000000001E-2</v>
      </c>
      <c r="G225" s="3">
        <f t="shared" si="15"/>
        <v>-5.515230344417839</v>
      </c>
      <c r="H225" s="45"/>
    </row>
    <row r="226" spans="1:8" x14ac:dyDescent="0.25">
      <c r="A226" s="2">
        <v>667</v>
      </c>
      <c r="B226" s="3">
        <f t="shared" si="12"/>
        <v>0.66700000000000004</v>
      </c>
      <c r="C226" s="2">
        <f t="shared" si="13"/>
        <v>0.53420000000000001</v>
      </c>
      <c r="D226" s="2">
        <v>4.0479998588562003</v>
      </c>
      <c r="E226" s="3">
        <f t="shared" si="14"/>
        <v>4.0479998588562006E-3</v>
      </c>
      <c r="F226" s="3">
        <f>ROUNDUP((0.015%*D226+10*0.01/(SQRT(3))),4)</f>
        <v>5.8400000000000001E-2</v>
      </c>
      <c r="G226" s="3">
        <f t="shared" si="15"/>
        <v>-5.5095323818645126</v>
      </c>
      <c r="H226" s="45"/>
    </row>
    <row r="227" spans="1:8" x14ac:dyDescent="0.25">
      <c r="A227" s="2">
        <v>668</v>
      </c>
      <c r="B227" s="3">
        <f t="shared" si="12"/>
        <v>0.66800000000000004</v>
      </c>
      <c r="C227" s="2">
        <f t="shared" si="13"/>
        <v>0.53500000000000003</v>
      </c>
      <c r="D227" s="2">
        <v>4.0890002250671396</v>
      </c>
      <c r="E227" s="3">
        <f t="shared" si="14"/>
        <v>4.08900022506714E-3</v>
      </c>
      <c r="F227" s="3">
        <f>ROUNDUP((0.015%*D227+10*0.01/(SQRT(3))),4)</f>
        <v>5.8400000000000001E-2</v>
      </c>
      <c r="G227" s="3">
        <f t="shared" si="15"/>
        <v>-5.4994547825575353</v>
      </c>
      <c r="H227" s="45"/>
    </row>
    <row r="228" spans="1:8" x14ac:dyDescent="0.25">
      <c r="A228" s="2">
        <v>669</v>
      </c>
      <c r="B228" s="3">
        <f t="shared" si="12"/>
        <v>0.66900000000000004</v>
      </c>
      <c r="C228" s="2">
        <f t="shared" si="13"/>
        <v>0.53579999999999994</v>
      </c>
      <c r="D228" s="2">
        <v>4.1810002326965297</v>
      </c>
      <c r="E228" s="3">
        <f t="shared" si="14"/>
        <v>4.1810002326965294E-3</v>
      </c>
      <c r="F228" s="3">
        <f>ROUNDUP((0.015%*D228+10*0.01/(SQRT(3))),4)</f>
        <v>5.8400000000000001E-2</v>
      </c>
      <c r="G228" s="3">
        <f t="shared" si="15"/>
        <v>-5.4772047709519995</v>
      </c>
      <c r="H228" s="45"/>
    </row>
    <row r="229" spans="1:8" x14ac:dyDescent="0.25">
      <c r="A229" s="2">
        <v>671</v>
      </c>
      <c r="B229" s="3">
        <f t="shared" si="12"/>
        <v>0.67100000000000004</v>
      </c>
      <c r="C229" s="2">
        <f t="shared" si="13"/>
        <v>0.53739999999999999</v>
      </c>
      <c r="D229" s="2">
        <v>4.2300000190734899</v>
      </c>
      <c r="E229" s="3">
        <f t="shared" si="14"/>
        <v>4.2300000190734896E-3</v>
      </c>
      <c r="F229" s="3">
        <f>ROUNDUP((0.015%*D229+10*0.01/(SQRT(3))),4)</f>
        <v>5.8400000000000001E-2</v>
      </c>
      <c r="G229" s="3">
        <f t="shared" si="15"/>
        <v>-5.4655532814148513</v>
      </c>
      <c r="H229" s="45"/>
    </row>
    <row r="230" spans="1:8" x14ac:dyDescent="0.25">
      <c r="A230" s="2">
        <v>672</v>
      </c>
      <c r="B230" s="3">
        <f t="shared" si="12"/>
        <v>0.67200000000000004</v>
      </c>
      <c r="C230" s="2">
        <f t="shared" si="13"/>
        <v>0.53820000000000001</v>
      </c>
      <c r="D230" s="2">
        <v>4.2789998054504403</v>
      </c>
      <c r="E230" s="3">
        <f t="shared" si="14"/>
        <v>4.2789998054504402E-3</v>
      </c>
      <c r="F230" s="3">
        <f>ROUNDUP((0.015%*D230+10*0.01/(SQRT(3))),4)</f>
        <v>5.8400000000000001E-2</v>
      </c>
      <c r="G230" s="3">
        <f t="shared" si="15"/>
        <v>-5.4540359870135857</v>
      </c>
      <c r="H230" s="45"/>
    </row>
    <row r="231" spans="1:8" x14ac:dyDescent="0.25">
      <c r="A231" s="2">
        <v>672</v>
      </c>
      <c r="B231" s="3">
        <f t="shared" si="12"/>
        <v>0.67200000000000004</v>
      </c>
      <c r="C231" s="2">
        <f t="shared" si="13"/>
        <v>0.53820000000000001</v>
      </c>
      <c r="D231" s="2">
        <v>4.28200006484985</v>
      </c>
      <c r="E231" s="3">
        <f t="shared" si="14"/>
        <v>4.2820000648498497E-3</v>
      </c>
      <c r="F231" s="3">
        <f>ROUNDUP((0.015%*D231+10*0.01/(SQRT(3))),4)</f>
        <v>5.8400000000000001E-2</v>
      </c>
      <c r="G231" s="3">
        <f t="shared" si="15"/>
        <v>-5.4533350736698889</v>
      </c>
      <c r="H231" s="45"/>
    </row>
    <row r="232" spans="1:8" x14ac:dyDescent="0.25">
      <c r="A232" s="2">
        <v>673</v>
      </c>
      <c r="B232" s="3">
        <f t="shared" si="12"/>
        <v>0.67300000000000004</v>
      </c>
      <c r="C232" s="2">
        <f t="shared" si="13"/>
        <v>0.53900000000000003</v>
      </c>
      <c r="D232" s="2">
        <v>4.3080000877380398</v>
      </c>
      <c r="E232" s="3">
        <f t="shared" si="14"/>
        <v>4.3080000877380401E-3</v>
      </c>
      <c r="F232" s="3">
        <f>ROUNDUP((0.015%*D232+10*0.01/(SQRT(3))),4)</f>
        <v>5.8400000000000001E-2</v>
      </c>
      <c r="G232" s="3">
        <f t="shared" si="15"/>
        <v>-5.4472814993216909</v>
      </c>
      <c r="H232" s="45"/>
    </row>
    <row r="233" spans="1:8" x14ac:dyDescent="0.25">
      <c r="A233" s="2">
        <v>673</v>
      </c>
      <c r="B233" s="3">
        <f t="shared" si="12"/>
        <v>0.67300000000000004</v>
      </c>
      <c r="C233" s="2">
        <f t="shared" si="13"/>
        <v>0.53900000000000003</v>
      </c>
      <c r="D233" s="2">
        <v>4.3449997901916504</v>
      </c>
      <c r="E233" s="3">
        <f t="shared" si="14"/>
        <v>4.3449997901916504E-3</v>
      </c>
      <c r="F233" s="3">
        <f>ROUNDUP((0.015%*D233+10*0.01/(SQRT(3))),4)</f>
        <v>5.8400000000000001E-2</v>
      </c>
      <c r="G233" s="3">
        <f t="shared" si="15"/>
        <v>-5.4387295685520902</v>
      </c>
      <c r="H233" s="45"/>
    </row>
    <row r="234" spans="1:8" x14ac:dyDescent="0.25">
      <c r="A234" s="2">
        <v>674</v>
      </c>
      <c r="B234" s="3">
        <f t="shared" si="12"/>
        <v>0.67400000000000004</v>
      </c>
      <c r="C234" s="2">
        <f t="shared" si="13"/>
        <v>0.53979999999999995</v>
      </c>
      <c r="D234" s="2">
        <v>4.3850002288818404</v>
      </c>
      <c r="E234" s="3">
        <f t="shared" si="14"/>
        <v>4.3850002288818406E-3</v>
      </c>
      <c r="F234" s="3">
        <f>ROUNDUP((0.015%*D234+10*0.01/(SQRT(3))),4)</f>
        <v>5.8400000000000001E-2</v>
      </c>
      <c r="G234" s="3">
        <f t="shared" si="15"/>
        <v>-5.4295656009614488</v>
      </c>
      <c r="H234" s="45"/>
    </row>
    <row r="235" spans="1:8" x14ac:dyDescent="0.25">
      <c r="A235" s="2">
        <v>674</v>
      </c>
      <c r="B235" s="3">
        <f t="shared" si="12"/>
        <v>0.67400000000000004</v>
      </c>
      <c r="C235" s="2">
        <f t="shared" si="13"/>
        <v>0.53979999999999995</v>
      </c>
      <c r="D235" s="2">
        <v>4.38800001144409</v>
      </c>
      <c r="E235" s="3">
        <f t="shared" si="14"/>
        <v>4.38800001144409E-3</v>
      </c>
      <c r="F235" s="3">
        <f>ROUNDUP((0.015%*D235+10*0.01/(SQRT(3))),4)</f>
        <v>5.8400000000000001E-2</v>
      </c>
      <c r="G235" s="3">
        <f t="shared" si="15"/>
        <v>-5.4288817339611111</v>
      </c>
      <c r="H235" s="45"/>
    </row>
    <row r="236" spans="1:8" x14ac:dyDescent="0.25">
      <c r="A236" s="2">
        <v>675</v>
      </c>
      <c r="B236" s="3">
        <f t="shared" si="12"/>
        <v>0.67500000000000004</v>
      </c>
      <c r="C236" s="2">
        <f t="shared" si="13"/>
        <v>0.54059999999999997</v>
      </c>
      <c r="D236" s="2">
        <v>4.4099998474121103</v>
      </c>
      <c r="E236" s="3">
        <f t="shared" si="14"/>
        <v>4.4099998474121105E-3</v>
      </c>
      <c r="F236" s="3">
        <f>ROUNDUP((0.015%*D236+10*0.01/(SQRT(3))),4)</f>
        <v>5.8400000000000001E-2</v>
      </c>
      <c r="G236" s="3">
        <f t="shared" si="15"/>
        <v>-5.4238806241238118</v>
      </c>
      <c r="H236" s="45"/>
    </row>
    <row r="237" spans="1:8" x14ac:dyDescent="0.25">
      <c r="A237" s="2">
        <v>676</v>
      </c>
      <c r="B237" s="3">
        <f t="shared" si="12"/>
        <v>0.67600000000000005</v>
      </c>
      <c r="C237" s="2">
        <f t="shared" si="13"/>
        <v>0.54139999999999999</v>
      </c>
      <c r="D237" s="2">
        <v>4.4640002250671396</v>
      </c>
      <c r="E237" s="3">
        <f t="shared" si="14"/>
        <v>4.4640002250671395E-3</v>
      </c>
      <c r="F237" s="3">
        <f>ROUNDUP((0.015%*D237+10*0.01/(SQRT(3))),4)</f>
        <v>5.8500000000000003E-2</v>
      </c>
      <c r="G237" s="3">
        <f t="shared" si="15"/>
        <v>-5.4117100034848624</v>
      </c>
      <c r="H237" s="45"/>
    </row>
    <row r="238" spans="1:8" x14ac:dyDescent="0.25">
      <c r="A238" s="2">
        <v>677</v>
      </c>
      <c r="B238" s="3">
        <f t="shared" si="12"/>
        <v>0.67700000000000005</v>
      </c>
      <c r="C238" s="2">
        <f t="shared" si="13"/>
        <v>0.54220000000000002</v>
      </c>
      <c r="D238" s="2">
        <v>4.5050001144409197</v>
      </c>
      <c r="E238" s="3">
        <f t="shared" si="14"/>
        <v>4.5050001144409197E-3</v>
      </c>
      <c r="F238" s="3">
        <f>ROUNDUP((0.015%*D238+10*0.01/(SQRT(3))),4)</f>
        <v>5.8500000000000003E-2</v>
      </c>
      <c r="G238" s="3">
        <f t="shared" si="15"/>
        <v>-5.402567362518746</v>
      </c>
      <c r="H238" s="45"/>
    </row>
    <row r="239" spans="1:8" x14ac:dyDescent="0.25">
      <c r="A239" s="2">
        <v>677</v>
      </c>
      <c r="B239" s="3">
        <f t="shared" si="12"/>
        <v>0.67700000000000005</v>
      </c>
      <c r="C239" s="2">
        <f t="shared" si="13"/>
        <v>0.54220000000000002</v>
      </c>
      <c r="D239" s="2">
        <v>4.52699995040894</v>
      </c>
      <c r="E239" s="3">
        <f t="shared" si="14"/>
        <v>4.5269999504089402E-3</v>
      </c>
      <c r="F239" s="3">
        <f>ROUNDUP((0.015%*D239+10*0.01/(SQRT(3))),4)</f>
        <v>5.8500000000000003E-2</v>
      </c>
      <c r="G239" s="3">
        <f t="shared" si="15"/>
        <v>-5.3976958214828237</v>
      </c>
      <c r="H239" s="45"/>
    </row>
    <row r="240" spans="1:8" x14ac:dyDescent="0.25">
      <c r="A240" s="2">
        <v>678</v>
      </c>
      <c r="B240" s="3">
        <f t="shared" si="12"/>
        <v>0.67800000000000005</v>
      </c>
      <c r="C240" s="2">
        <f t="shared" si="13"/>
        <v>0.54300000000000004</v>
      </c>
      <c r="D240" s="2">
        <v>4.5489997863769496</v>
      </c>
      <c r="E240" s="3">
        <f t="shared" si="14"/>
        <v>4.5489997863769494E-3</v>
      </c>
      <c r="F240" s="3">
        <f>ROUNDUP((0.015%*D240+10*0.01/(SQRT(3))),4)</f>
        <v>5.8500000000000003E-2</v>
      </c>
      <c r="G240" s="3">
        <f t="shared" si="15"/>
        <v>-5.3928478973547129</v>
      </c>
      <c r="H240" s="45"/>
    </row>
    <row r="241" spans="1:8" x14ac:dyDescent="0.25">
      <c r="A241" s="2">
        <v>678</v>
      </c>
      <c r="B241" s="3">
        <f t="shared" si="12"/>
        <v>0.67800000000000005</v>
      </c>
      <c r="C241" s="2">
        <f t="shared" si="13"/>
        <v>0.54300000000000004</v>
      </c>
      <c r="D241" s="2">
        <v>4.57200002670288</v>
      </c>
      <c r="E241" s="3">
        <f t="shared" si="14"/>
        <v>4.57200002670288E-3</v>
      </c>
      <c r="F241" s="3">
        <f>ROUNDUP((0.015%*D241+10*0.01/(SQRT(3))),4)</f>
        <v>5.8500000000000003E-2</v>
      </c>
      <c r="G241" s="3">
        <f t="shared" si="15"/>
        <v>-5.387804527209048</v>
      </c>
      <c r="H241" s="45"/>
    </row>
    <row r="242" spans="1:8" x14ac:dyDescent="0.25">
      <c r="A242" s="2">
        <v>679</v>
      </c>
      <c r="B242" s="3">
        <f t="shared" si="12"/>
        <v>0.67900000000000005</v>
      </c>
      <c r="C242" s="2">
        <f t="shared" si="13"/>
        <v>0.54379999999999995</v>
      </c>
      <c r="D242" s="2">
        <v>4.5920000076293901</v>
      </c>
      <c r="E242" s="3">
        <f t="shared" si="14"/>
        <v>4.5920000076293899E-3</v>
      </c>
      <c r="F242" s="3">
        <f>ROUNDUP((0.015%*D242+10*0.01/(SQRT(3))),4)</f>
        <v>5.8500000000000003E-2</v>
      </c>
      <c r="G242" s="3">
        <f t="shared" si="15"/>
        <v>-5.3834396183034192</v>
      </c>
      <c r="H242" s="45"/>
    </row>
    <row r="243" spans="1:8" x14ac:dyDescent="0.25">
      <c r="A243" s="2">
        <v>680</v>
      </c>
      <c r="B243" s="3">
        <f t="shared" si="12"/>
        <v>0.68</v>
      </c>
      <c r="C243" s="2">
        <f t="shared" si="13"/>
        <v>0.54459999999999997</v>
      </c>
      <c r="D243" s="2">
        <v>4.65700006484985</v>
      </c>
      <c r="E243" s="3">
        <f t="shared" si="14"/>
        <v>4.65700006484985E-3</v>
      </c>
      <c r="F243" s="3">
        <f>ROUNDUP((0.015%*D243+10*0.01/(SQRT(3))),4)</f>
        <v>5.8500000000000003E-2</v>
      </c>
      <c r="G243" s="3">
        <f t="shared" si="15"/>
        <v>-5.3693838010566557</v>
      </c>
      <c r="H243" s="45"/>
    </row>
    <row r="244" spans="1:8" x14ac:dyDescent="0.25">
      <c r="A244" s="2">
        <v>681</v>
      </c>
      <c r="B244" s="3">
        <f t="shared" si="12"/>
        <v>0.68100000000000005</v>
      </c>
      <c r="C244" s="2">
        <f t="shared" si="13"/>
        <v>0.5454</v>
      </c>
      <c r="D244" s="2">
        <v>4.7210001945495597</v>
      </c>
      <c r="E244" s="3">
        <f t="shared" si="14"/>
        <v>4.72100019454956E-3</v>
      </c>
      <c r="F244" s="3">
        <f>ROUNDUP((0.015%*D244+10*0.01/(SQRT(3))),4)</f>
        <v>5.8500000000000003E-2</v>
      </c>
      <c r="G244" s="3">
        <f t="shared" si="15"/>
        <v>-5.3557345962085918</v>
      </c>
      <c r="H244" s="45"/>
    </row>
    <row r="245" spans="1:8" x14ac:dyDescent="0.25">
      <c r="A245" s="2">
        <v>684</v>
      </c>
      <c r="B245" s="3">
        <f t="shared" si="12"/>
        <v>0.68400000000000005</v>
      </c>
      <c r="C245" s="2">
        <f t="shared" si="13"/>
        <v>0.54779999999999995</v>
      </c>
      <c r="D245" s="2">
        <v>4.8400001525878897</v>
      </c>
      <c r="E245" s="3">
        <f t="shared" si="14"/>
        <v>4.8400001525878899E-3</v>
      </c>
      <c r="F245" s="3">
        <f>ROUNDUP((0.015%*D245+10*0.01/(SQRT(3))),4)</f>
        <v>5.8500000000000003E-2</v>
      </c>
      <c r="G245" s="3">
        <f t="shared" si="15"/>
        <v>-5.3308405267271732</v>
      </c>
      <c r="H245" s="45"/>
    </row>
    <row r="246" spans="1:8" x14ac:dyDescent="0.25">
      <c r="A246" s="2">
        <v>685</v>
      </c>
      <c r="B246" s="3">
        <f t="shared" si="12"/>
        <v>0.68500000000000005</v>
      </c>
      <c r="C246" s="2">
        <f t="shared" si="13"/>
        <v>0.54859999999999998</v>
      </c>
      <c r="D246" s="2">
        <v>4.8800001144409197</v>
      </c>
      <c r="E246" s="3">
        <f t="shared" si="14"/>
        <v>4.8800001144409201E-3</v>
      </c>
      <c r="F246" s="3">
        <f>ROUNDUP((0.015%*D246+10*0.01/(SQRT(3))),4)</f>
        <v>5.8500000000000003E-2</v>
      </c>
      <c r="G246" s="3">
        <f t="shared" si="15"/>
        <v>-5.3226100356660737</v>
      </c>
      <c r="H246" s="45"/>
    </row>
    <row r="247" spans="1:8" x14ac:dyDescent="0.25">
      <c r="A247" s="2">
        <v>685</v>
      </c>
      <c r="B247" s="3">
        <f t="shared" si="12"/>
        <v>0.68500000000000005</v>
      </c>
      <c r="C247" s="2">
        <f t="shared" si="13"/>
        <v>0.54859999999999998</v>
      </c>
      <c r="D247" s="2">
        <v>4.90199995040894</v>
      </c>
      <c r="E247" s="3">
        <f t="shared" si="14"/>
        <v>4.9019999504089397E-3</v>
      </c>
      <c r="F247" s="3">
        <f>ROUNDUP((0.015%*D247+10*0.01/(SQRT(3))),4)</f>
        <v>5.8500000000000003E-2</v>
      </c>
      <c r="G247" s="3">
        <f t="shared" si="15"/>
        <v>-5.3181120039927112</v>
      </c>
      <c r="H247" s="45"/>
    </row>
    <row r="248" spans="1:8" x14ac:dyDescent="0.25">
      <c r="A248" s="2">
        <v>685</v>
      </c>
      <c r="B248" s="3">
        <f t="shared" si="12"/>
        <v>0.68500000000000005</v>
      </c>
      <c r="C248" s="2">
        <f t="shared" si="13"/>
        <v>0.54859999999999998</v>
      </c>
      <c r="D248" s="2">
        <v>4.9039998054504403</v>
      </c>
      <c r="E248" s="3">
        <f t="shared" si="14"/>
        <v>4.9039998054504408E-3</v>
      </c>
      <c r="F248" s="3">
        <f>ROUNDUP((0.015%*D248+10*0.01/(SQRT(3))),4)</f>
        <v>5.8500000000000003E-2</v>
      </c>
      <c r="G248" s="3">
        <f t="shared" si="15"/>
        <v>-5.3177041200198341</v>
      </c>
      <c r="H248" s="45"/>
    </row>
    <row r="249" spans="1:8" x14ac:dyDescent="0.25">
      <c r="A249" s="2">
        <v>686</v>
      </c>
      <c r="B249" s="3">
        <f t="shared" si="12"/>
        <v>0.68600000000000005</v>
      </c>
      <c r="C249" s="2">
        <f t="shared" si="13"/>
        <v>0.5494</v>
      </c>
      <c r="D249" s="2">
        <v>4.9310002326965297</v>
      </c>
      <c r="E249" s="3">
        <f t="shared" si="14"/>
        <v>4.9310002326965301E-3</v>
      </c>
      <c r="F249" s="3">
        <f>ROUNDUP((0.015%*D249+10*0.01/(SQRT(3))),4)</f>
        <v>5.8500000000000003E-2</v>
      </c>
      <c r="G249" s="3">
        <f t="shared" si="15"/>
        <v>-5.312213424549614</v>
      </c>
      <c r="H249" s="45"/>
    </row>
    <row r="250" spans="1:8" x14ac:dyDescent="0.25">
      <c r="A250" s="2">
        <v>687</v>
      </c>
      <c r="B250" s="3">
        <f t="shared" si="12"/>
        <v>0.68700000000000006</v>
      </c>
      <c r="C250" s="2">
        <f t="shared" si="13"/>
        <v>0.55020000000000002</v>
      </c>
      <c r="D250" s="2">
        <v>4.9910001754760698</v>
      </c>
      <c r="E250" s="3">
        <f t="shared" si="14"/>
        <v>4.9910001754760701E-3</v>
      </c>
      <c r="F250" s="3">
        <f>ROUNDUP((0.015%*D250+10*0.01/(SQRT(3))),4)</f>
        <v>5.8500000000000003E-2</v>
      </c>
      <c r="G250" s="3">
        <f t="shared" si="15"/>
        <v>-5.3001189533361659</v>
      </c>
      <c r="H250" s="45"/>
    </row>
    <row r="251" spans="1:8" x14ac:dyDescent="0.25">
      <c r="A251" s="2">
        <v>688</v>
      </c>
      <c r="B251" s="3">
        <f t="shared" si="12"/>
        <v>0.68800000000000006</v>
      </c>
      <c r="C251" s="2">
        <f t="shared" si="13"/>
        <v>0.55099999999999993</v>
      </c>
      <c r="D251" s="2">
        <v>5.0430002212524396</v>
      </c>
      <c r="E251" s="3">
        <f t="shared" si="14"/>
        <v>5.0430002212524397E-3</v>
      </c>
      <c r="F251" s="3">
        <f>ROUNDUP((0.015%*D251+10*0.01/(SQRT(3))),4)</f>
        <v>5.8500000000000003E-2</v>
      </c>
      <c r="G251" s="3">
        <f t="shared" si="15"/>
        <v>-5.2897540920143715</v>
      </c>
      <c r="H251" s="45"/>
    </row>
    <row r="252" spans="1:8" x14ac:dyDescent="0.25">
      <c r="A252" s="2">
        <v>689</v>
      </c>
      <c r="B252" s="3">
        <f t="shared" si="12"/>
        <v>0.68900000000000006</v>
      </c>
      <c r="C252" s="2">
        <f t="shared" si="13"/>
        <v>0.55179999999999996</v>
      </c>
      <c r="D252" s="2">
        <v>5.0890002250671396</v>
      </c>
      <c r="E252" s="3">
        <f t="shared" si="14"/>
        <v>5.08900022506714E-3</v>
      </c>
      <c r="F252" s="3">
        <f>ROUNDUP((0.015%*D252+10*0.01/(SQRT(3))),4)</f>
        <v>5.8500000000000003E-2</v>
      </c>
      <c r="G252" s="3">
        <f t="shared" si="15"/>
        <v>-5.2806738871492405</v>
      </c>
      <c r="H252" s="45"/>
    </row>
    <row r="253" spans="1:8" x14ac:dyDescent="0.25">
      <c r="A253" s="2">
        <v>689</v>
      </c>
      <c r="B253" s="3">
        <f t="shared" si="12"/>
        <v>0.68900000000000006</v>
      </c>
      <c r="C253" s="2">
        <f t="shared" si="13"/>
        <v>0.55179999999999996</v>
      </c>
      <c r="D253" s="2">
        <v>5.1279997825622603</v>
      </c>
      <c r="E253" s="3">
        <f t="shared" si="14"/>
        <v>5.1279997825622601E-3</v>
      </c>
      <c r="F253" s="3">
        <f>ROUNDUP((0.015%*D253+10*0.01/(SQRT(3))),4)</f>
        <v>5.8600000000000006E-2</v>
      </c>
      <c r="G253" s="3">
        <f t="shared" si="15"/>
        <v>-5.2730396017658245</v>
      </c>
      <c r="H253" s="45"/>
    </row>
    <row r="254" spans="1:8" x14ac:dyDescent="0.25">
      <c r="A254" s="2">
        <v>690</v>
      </c>
      <c r="B254" s="3">
        <f t="shared" si="12"/>
        <v>0.69000000000000006</v>
      </c>
      <c r="C254" s="2">
        <f t="shared" si="13"/>
        <v>0.55259999999999998</v>
      </c>
      <c r="D254" s="2">
        <v>5.1300001144409197</v>
      </c>
      <c r="E254" s="3">
        <f t="shared" si="14"/>
        <v>5.1300001144409194E-3</v>
      </c>
      <c r="F254" s="3">
        <f>ROUNDUP((0.015%*D254+10*0.01/(SQRT(3))),4)</f>
        <v>5.8600000000000006E-2</v>
      </c>
      <c r="G254" s="3">
        <f t="shared" si="15"/>
        <v>-5.2726495974912879</v>
      </c>
      <c r="H254" s="45"/>
    </row>
    <row r="255" spans="1:8" x14ac:dyDescent="0.25">
      <c r="A255" s="2">
        <v>691</v>
      </c>
      <c r="B255" s="3">
        <f t="shared" si="12"/>
        <v>0.69100000000000006</v>
      </c>
      <c r="C255" s="2">
        <f t="shared" si="13"/>
        <v>0.5534</v>
      </c>
      <c r="D255" s="2">
        <v>5.1789999008178702</v>
      </c>
      <c r="E255" s="3">
        <f t="shared" si="14"/>
        <v>5.1789999008178701E-3</v>
      </c>
      <c r="F255" s="3">
        <f>ROUNDUP((0.015%*D255+10*0.01/(SQRT(3))),4)</f>
        <v>5.8600000000000006E-2</v>
      </c>
      <c r="G255" s="3">
        <f t="shared" si="15"/>
        <v>-5.2631433106912091</v>
      </c>
      <c r="H255" s="45"/>
    </row>
    <row r="256" spans="1:8" x14ac:dyDescent="0.25">
      <c r="A256" s="2">
        <v>692</v>
      </c>
      <c r="B256" s="3">
        <f t="shared" si="12"/>
        <v>0.69200000000000006</v>
      </c>
      <c r="C256" s="2">
        <f t="shared" si="13"/>
        <v>0.55420000000000003</v>
      </c>
      <c r="D256" s="2">
        <v>5.2620000839233398</v>
      </c>
      <c r="E256" s="3">
        <f t="shared" si="14"/>
        <v>5.2620000839233398E-3</v>
      </c>
      <c r="F256" s="3">
        <f>ROUNDUP((0.015%*D256+10*0.01/(SQRT(3))),4)</f>
        <v>5.8600000000000006E-2</v>
      </c>
      <c r="G256" s="3">
        <f t="shared" si="15"/>
        <v>-5.2472440804150926</v>
      </c>
      <c r="H256" s="45"/>
    </row>
    <row r="257" spans="1:8" x14ac:dyDescent="0.25">
      <c r="A257" s="2">
        <v>693</v>
      </c>
      <c r="B257" s="3">
        <f t="shared" si="12"/>
        <v>0.69300000000000006</v>
      </c>
      <c r="C257" s="2">
        <f t="shared" si="13"/>
        <v>0.55499999999999994</v>
      </c>
      <c r="D257" s="2">
        <v>5.2810001373290998</v>
      </c>
      <c r="E257" s="3">
        <f t="shared" si="14"/>
        <v>5.2810001373290996E-3</v>
      </c>
      <c r="F257" s="3">
        <f>ROUNDUP((0.015%*D257+10*0.01/(SQRT(3))),4)</f>
        <v>5.8600000000000006E-2</v>
      </c>
      <c r="G257" s="3">
        <f t="shared" si="15"/>
        <v>-5.243639779252967</v>
      </c>
      <c r="H257" s="45"/>
    </row>
    <row r="258" spans="1:8" x14ac:dyDescent="0.25">
      <c r="A258" s="2">
        <v>693</v>
      </c>
      <c r="B258" s="3">
        <f t="shared" si="12"/>
        <v>0.69300000000000006</v>
      </c>
      <c r="C258" s="2">
        <f t="shared" si="13"/>
        <v>0.55499999999999994</v>
      </c>
      <c r="D258" s="2">
        <v>5.3249998092651403</v>
      </c>
      <c r="E258" s="3">
        <f t="shared" si="14"/>
        <v>5.3249998092651405E-3</v>
      </c>
      <c r="F258" s="3">
        <f>ROUNDUP((0.015%*D258+10*0.01/(SQRT(3))),4)</f>
        <v>5.8600000000000006E-2</v>
      </c>
      <c r="G258" s="3">
        <f t="shared" si="15"/>
        <v>-5.2353426032054022</v>
      </c>
      <c r="H258" s="45"/>
    </row>
    <row r="259" spans="1:8" x14ac:dyDescent="0.25">
      <c r="A259" s="2">
        <v>694</v>
      </c>
      <c r="B259" s="3">
        <f t="shared" si="12"/>
        <v>0.69400000000000006</v>
      </c>
      <c r="C259" s="2">
        <f t="shared" si="13"/>
        <v>0.55579999999999996</v>
      </c>
      <c r="D259" s="2">
        <v>5.3720002174377397</v>
      </c>
      <c r="E259" s="3">
        <f t="shared" si="14"/>
        <v>5.3720002174377397E-3</v>
      </c>
      <c r="F259" s="3">
        <f>ROUNDUP((0.015%*D259+10*0.01/(SQRT(3))),4)</f>
        <v>5.8600000000000006E-2</v>
      </c>
      <c r="G259" s="3">
        <f t="shared" si="15"/>
        <v>-5.2265549598450223</v>
      </c>
      <c r="H259" s="45"/>
    </row>
    <row r="260" spans="1:8" x14ac:dyDescent="0.25">
      <c r="A260" s="2">
        <v>695</v>
      </c>
      <c r="B260" s="3">
        <f t="shared" si="12"/>
        <v>0.69500000000000006</v>
      </c>
      <c r="C260" s="2">
        <f t="shared" si="13"/>
        <v>0.55659999999999998</v>
      </c>
      <c r="D260" s="2">
        <v>5.3959999084472701</v>
      </c>
      <c r="E260" s="3">
        <f t="shared" si="14"/>
        <v>5.3959999084472699E-3</v>
      </c>
      <c r="F260" s="3">
        <f>ROUNDUP((0.015%*D260+10*0.01/(SQRT(3))),4)</f>
        <v>5.8600000000000006E-2</v>
      </c>
      <c r="G260" s="3">
        <f t="shared" si="15"/>
        <v>-5.2220973576034053</v>
      </c>
      <c r="H260" s="45"/>
    </row>
    <row r="261" spans="1:8" x14ac:dyDescent="0.25">
      <c r="A261" s="2">
        <v>696</v>
      </c>
      <c r="B261" s="3">
        <f t="shared" si="12"/>
        <v>0.69600000000000006</v>
      </c>
      <c r="C261" s="2">
        <f t="shared" si="13"/>
        <v>0.55740000000000001</v>
      </c>
      <c r="D261" s="2">
        <v>5.4419999122619602</v>
      </c>
      <c r="E261" s="3">
        <f t="shared" si="14"/>
        <v>5.4419999122619607E-3</v>
      </c>
      <c r="F261" s="3">
        <f>ROUNDUP((0.015%*D261+10*0.01/(SQRT(3))),4)</f>
        <v>5.8600000000000006E-2</v>
      </c>
      <c r="G261" s="3">
        <f t="shared" si="15"/>
        <v>-5.2136086547434717</v>
      </c>
      <c r="H261" s="45"/>
    </row>
    <row r="262" spans="1:8" x14ac:dyDescent="0.25">
      <c r="A262" s="2">
        <v>698</v>
      </c>
      <c r="B262" s="3">
        <f t="shared" si="12"/>
        <v>0.69800000000000006</v>
      </c>
      <c r="C262" s="2">
        <f t="shared" si="13"/>
        <v>0.55899999999999994</v>
      </c>
      <c r="D262" s="2">
        <v>5.5840001106262198</v>
      </c>
      <c r="E262" s="3">
        <f t="shared" si="14"/>
        <v>5.5840001106262195E-3</v>
      </c>
      <c r="F262" s="3">
        <f>ROUNDUP((0.015%*D262+10*0.01/(SQRT(3))),4)</f>
        <v>5.8600000000000006E-2</v>
      </c>
      <c r="G262" s="3">
        <f t="shared" si="15"/>
        <v>-5.18784989371078</v>
      </c>
      <c r="H262" s="45"/>
    </row>
    <row r="263" spans="1:8" x14ac:dyDescent="0.25">
      <c r="A263" s="2">
        <v>699</v>
      </c>
      <c r="B263" s="3">
        <f t="shared" si="12"/>
        <v>0.69900000000000007</v>
      </c>
      <c r="C263" s="2">
        <f t="shared" si="13"/>
        <v>0.55979999999999996</v>
      </c>
      <c r="D263" s="2">
        <v>5.6180000305175799</v>
      </c>
      <c r="E263" s="3">
        <f t="shared" si="14"/>
        <v>5.6180000305175804E-3</v>
      </c>
      <c r="F263" s="3">
        <f>ROUNDUP((0.015%*D263+10*0.01/(SQRT(3))),4)</f>
        <v>5.8600000000000006E-2</v>
      </c>
      <c r="G263" s="3">
        <f t="shared" si="15"/>
        <v>-5.181779544867978</v>
      </c>
      <c r="H263" s="45"/>
    </row>
    <row r="264" spans="1:8" x14ac:dyDescent="0.25">
      <c r="A264" s="2">
        <v>699</v>
      </c>
      <c r="B264" s="3">
        <f t="shared" si="12"/>
        <v>0.69900000000000007</v>
      </c>
      <c r="C264" s="2">
        <f t="shared" si="13"/>
        <v>0.55979999999999996</v>
      </c>
      <c r="D264" s="2">
        <v>5.6449999809265101</v>
      </c>
      <c r="E264" s="3">
        <f t="shared" si="14"/>
        <v>5.6449999809265105E-3</v>
      </c>
      <c r="F264" s="3">
        <f>ROUNDUP((0.015%*D264+10*0.01/(SQRT(3))),4)</f>
        <v>5.8600000000000006E-2</v>
      </c>
      <c r="G264" s="3">
        <f t="shared" si="15"/>
        <v>-5.176985084759341</v>
      </c>
      <c r="H264" s="45"/>
    </row>
    <row r="265" spans="1:8" x14ac:dyDescent="0.25">
      <c r="A265" s="2">
        <v>700</v>
      </c>
      <c r="B265" s="3">
        <f t="shared" si="12"/>
        <v>0.70000000000000007</v>
      </c>
      <c r="C265" s="2">
        <f t="shared" si="13"/>
        <v>0.56059999999999999</v>
      </c>
      <c r="D265" s="2">
        <v>5.6640000343322798</v>
      </c>
      <c r="E265" s="3">
        <f t="shared" si="14"/>
        <v>5.6640000343322798E-3</v>
      </c>
      <c r="F265" s="3">
        <f>ROUNDUP((0.015%*D265+10*0.01/(SQRT(3))),4)</f>
        <v>5.8600000000000006E-2</v>
      </c>
      <c r="G265" s="3">
        <f t="shared" si="15"/>
        <v>-5.1736249165292287</v>
      </c>
      <c r="H265" s="45"/>
    </row>
    <row r="266" spans="1:8" x14ac:dyDescent="0.25">
      <c r="A266" s="2">
        <v>702</v>
      </c>
      <c r="B266" s="3">
        <f t="shared" si="12"/>
        <v>0.70200000000000007</v>
      </c>
      <c r="C266" s="2">
        <f t="shared" si="13"/>
        <v>0.56220000000000003</v>
      </c>
      <c r="D266" s="2">
        <v>5.7719998359680202</v>
      </c>
      <c r="E266" s="3">
        <f t="shared" si="14"/>
        <v>5.7719998359680204E-3</v>
      </c>
      <c r="F266" s="3">
        <f>ROUNDUP((0.015%*D266+10*0.01/(SQRT(3))),4)</f>
        <v>5.8700000000000002E-2</v>
      </c>
      <c r="G266" s="3">
        <f t="shared" si="15"/>
        <v>-5.1547366664890815</v>
      </c>
      <c r="H266" s="45"/>
    </row>
    <row r="267" spans="1:8" x14ac:dyDescent="0.25">
      <c r="A267" s="2">
        <v>703</v>
      </c>
      <c r="B267" s="3">
        <f t="shared" si="12"/>
        <v>0.70300000000000007</v>
      </c>
      <c r="C267" s="2">
        <f t="shared" si="13"/>
        <v>0.56299999999999994</v>
      </c>
      <c r="D267" s="2">
        <v>5.8200001716613796</v>
      </c>
      <c r="E267" s="3">
        <f t="shared" si="14"/>
        <v>5.8200001716613801E-3</v>
      </c>
      <c r="F267" s="3">
        <f>ROUNDUP((0.015%*D267+10*0.01/(SQRT(3))),4)</f>
        <v>5.8700000000000002E-2</v>
      </c>
      <c r="G267" s="3">
        <f t="shared" si="15"/>
        <v>-5.1464549877437085</v>
      </c>
      <c r="H267" s="45"/>
    </row>
    <row r="268" spans="1:8" x14ac:dyDescent="0.25">
      <c r="A268" s="2">
        <v>703</v>
      </c>
      <c r="B268" s="3">
        <f t="shared" ref="B268:B331" si="16">A268*0.001</f>
        <v>0.70300000000000007</v>
      </c>
      <c r="C268" s="2">
        <f t="shared" ref="C268:C331" si="17">ROUNDUP((0.08%*A268+0.001/(SQRT(3))),4)</f>
        <v>0.56299999999999994</v>
      </c>
      <c r="D268" s="2">
        <v>5.8390002250671396</v>
      </c>
      <c r="E268" s="3">
        <f t="shared" ref="E268:E331" si="18">D268*0.001</f>
        <v>5.8390002250671398E-3</v>
      </c>
      <c r="F268" s="3">
        <f>ROUNDUP((0.015%*D268+10*0.01/(SQRT(3))),4)</f>
        <v>5.8700000000000002E-2</v>
      </c>
      <c r="G268" s="3">
        <f t="shared" ref="G268:G331" si="19">LN(E268)</f>
        <v>-5.1431956911352428</v>
      </c>
      <c r="H268" s="45"/>
    </row>
    <row r="269" spans="1:8" x14ac:dyDescent="0.25">
      <c r="A269" s="2">
        <v>703</v>
      </c>
      <c r="B269" s="3">
        <f t="shared" si="16"/>
        <v>0.70300000000000007</v>
      </c>
      <c r="C269" s="2">
        <f t="shared" si="17"/>
        <v>0.56299999999999994</v>
      </c>
      <c r="D269" s="2">
        <v>5.8629999160766602</v>
      </c>
      <c r="E269" s="3">
        <f t="shared" si="18"/>
        <v>5.8629999160766605E-3</v>
      </c>
      <c r="F269" s="3">
        <f>ROUNDUP((0.015%*D269+10*0.01/(SQRT(3))),4)</f>
        <v>5.8700000000000002E-2</v>
      </c>
      <c r="G269" s="3">
        <f t="shared" si="19"/>
        <v>-5.1390938753141198</v>
      </c>
      <c r="H269" s="45"/>
    </row>
    <row r="270" spans="1:8" x14ac:dyDescent="0.25">
      <c r="A270" s="2">
        <v>704</v>
      </c>
      <c r="B270" s="3">
        <f t="shared" si="16"/>
        <v>0.70399999999999996</v>
      </c>
      <c r="C270" s="2">
        <f t="shared" si="17"/>
        <v>0.56379999999999997</v>
      </c>
      <c r="D270" s="2">
        <v>5.8810000419616699</v>
      </c>
      <c r="E270" s="3">
        <f t="shared" si="18"/>
        <v>5.8810000419616702E-3</v>
      </c>
      <c r="F270" s="3">
        <f>ROUNDUP((0.015%*D270+10*0.01/(SQRT(3))),4)</f>
        <v>5.8700000000000002E-2</v>
      </c>
      <c r="G270" s="3">
        <f t="shared" si="19"/>
        <v>-5.1360284563691936</v>
      </c>
      <c r="H270" s="45"/>
    </row>
    <row r="271" spans="1:8" x14ac:dyDescent="0.25">
      <c r="A271" s="2">
        <v>704</v>
      </c>
      <c r="B271" s="3">
        <f t="shared" si="16"/>
        <v>0.70399999999999996</v>
      </c>
      <c r="C271" s="2">
        <f t="shared" si="17"/>
        <v>0.56379999999999997</v>
      </c>
      <c r="D271" s="2">
        <v>5.9039998054504403</v>
      </c>
      <c r="E271" s="3">
        <f t="shared" si="18"/>
        <v>5.9039998054504408E-3</v>
      </c>
      <c r="F271" s="3">
        <f>ROUNDUP((0.015%*D271+10*0.01/(SQRT(3))),4)</f>
        <v>5.8700000000000002E-2</v>
      </c>
      <c r="G271" s="3">
        <f t="shared" si="19"/>
        <v>-5.1321252246361277</v>
      </c>
      <c r="H271" s="45"/>
    </row>
    <row r="272" spans="1:8" x14ac:dyDescent="0.25">
      <c r="A272" s="2">
        <v>705</v>
      </c>
      <c r="B272" s="3">
        <f t="shared" si="16"/>
        <v>0.70499999999999996</v>
      </c>
      <c r="C272" s="2">
        <f t="shared" si="17"/>
        <v>0.56459999999999999</v>
      </c>
      <c r="D272" s="2">
        <v>5.9260001182556197</v>
      </c>
      <c r="E272" s="3">
        <f t="shared" si="18"/>
        <v>5.9260001182556196E-3</v>
      </c>
      <c r="F272" s="3">
        <f>ROUNDUP((0.015%*D272+10*0.01/(SQRT(3))),4)</f>
        <v>5.8700000000000002E-2</v>
      </c>
      <c r="G272" s="3">
        <f t="shared" si="19"/>
        <v>-5.1284058098753773</v>
      </c>
      <c r="H272" s="45"/>
    </row>
    <row r="273" spans="1:8" x14ac:dyDescent="0.25">
      <c r="A273" s="2">
        <v>705</v>
      </c>
      <c r="B273" s="3">
        <f t="shared" si="16"/>
        <v>0.70499999999999996</v>
      </c>
      <c r="C273" s="2">
        <f t="shared" si="17"/>
        <v>0.56459999999999999</v>
      </c>
      <c r="D273" s="2">
        <v>5.9530000686645499</v>
      </c>
      <c r="E273" s="3">
        <f t="shared" si="18"/>
        <v>5.9530000686645497E-3</v>
      </c>
      <c r="F273" s="3">
        <f>ROUNDUP((0.015%*D273+10*0.01/(SQRT(3))),4)</f>
        <v>5.8700000000000002E-2</v>
      </c>
      <c r="G273" s="3">
        <f t="shared" si="19"/>
        <v>-5.1238599732764394</v>
      </c>
      <c r="H273" s="45"/>
    </row>
    <row r="274" spans="1:8" x14ac:dyDescent="0.25">
      <c r="A274" s="2">
        <v>705</v>
      </c>
      <c r="B274" s="3">
        <f t="shared" si="16"/>
        <v>0.70499999999999996</v>
      </c>
      <c r="C274" s="2">
        <f t="shared" si="17"/>
        <v>0.56459999999999999</v>
      </c>
      <c r="D274" s="2">
        <v>5.97300004959106</v>
      </c>
      <c r="E274" s="3">
        <f t="shared" si="18"/>
        <v>5.9730000495910604E-3</v>
      </c>
      <c r="F274" s="3">
        <f>ROUNDUP((0.015%*D274+10*0.01/(SQRT(3))),4)</f>
        <v>5.8700000000000002E-2</v>
      </c>
      <c r="G274" s="3">
        <f t="shared" si="19"/>
        <v>-5.1205059569294296</v>
      </c>
      <c r="H274" s="45"/>
    </row>
    <row r="275" spans="1:8" x14ac:dyDescent="0.25">
      <c r="A275" s="2">
        <v>706</v>
      </c>
      <c r="B275" s="3">
        <f t="shared" si="16"/>
        <v>0.70599999999999996</v>
      </c>
      <c r="C275" s="2">
        <f t="shared" si="17"/>
        <v>0.56540000000000001</v>
      </c>
      <c r="D275" s="2">
        <v>5.9930000305175799</v>
      </c>
      <c r="E275" s="3">
        <f t="shared" si="18"/>
        <v>5.9930000305175798E-3</v>
      </c>
      <c r="F275" s="3">
        <f>ROUNDUP((0.015%*D275+10*0.01/(SQRT(3))),4)</f>
        <v>5.8700000000000002E-2</v>
      </c>
      <c r="G275" s="3">
        <f t="shared" si="19"/>
        <v>-5.1171631524138848</v>
      </c>
      <c r="H275" s="45"/>
    </row>
    <row r="276" spans="1:8" x14ac:dyDescent="0.25">
      <c r="A276" s="2">
        <v>706</v>
      </c>
      <c r="B276" s="3">
        <f t="shared" si="16"/>
        <v>0.70599999999999996</v>
      </c>
      <c r="C276" s="2">
        <f t="shared" si="17"/>
        <v>0.56540000000000001</v>
      </c>
      <c r="D276" s="2">
        <v>6.0190000534057599</v>
      </c>
      <c r="E276" s="3">
        <f t="shared" si="18"/>
        <v>6.0190000534057599E-3</v>
      </c>
      <c r="F276" s="3">
        <f>ROUNDUP((0.015%*D276+10*0.01/(SQRT(3))),4)</f>
        <v>5.8700000000000002E-2</v>
      </c>
      <c r="G276" s="3">
        <f t="shared" si="19"/>
        <v>-5.1128341375436408</v>
      </c>
      <c r="H276" s="45"/>
    </row>
    <row r="277" spans="1:8" x14ac:dyDescent="0.25">
      <c r="A277" s="2">
        <v>706</v>
      </c>
      <c r="B277" s="3">
        <f t="shared" si="16"/>
        <v>0.70599999999999996</v>
      </c>
      <c r="C277" s="2">
        <f t="shared" si="17"/>
        <v>0.56540000000000001</v>
      </c>
      <c r="D277" s="2">
        <v>6.0240001678466797</v>
      </c>
      <c r="E277" s="3">
        <f t="shared" si="18"/>
        <v>6.02400016784668E-3</v>
      </c>
      <c r="F277" s="3">
        <f>ROUNDUP((0.015%*D277+10*0.01/(SQRT(3))),4)</f>
        <v>5.8700000000000002E-2</v>
      </c>
      <c r="G277" s="3">
        <f t="shared" si="19"/>
        <v>-5.1120037606215503</v>
      </c>
      <c r="H277" s="45"/>
    </row>
    <row r="278" spans="1:8" x14ac:dyDescent="0.25">
      <c r="A278" s="2">
        <v>707</v>
      </c>
      <c r="B278" s="3">
        <f t="shared" si="16"/>
        <v>0.70699999999999996</v>
      </c>
      <c r="C278" s="2">
        <f t="shared" si="17"/>
        <v>0.56620000000000004</v>
      </c>
      <c r="D278" s="2">
        <v>6.0450000762939498</v>
      </c>
      <c r="E278" s="3">
        <f t="shared" si="18"/>
        <v>6.0450000762939495E-3</v>
      </c>
      <c r="F278" s="3">
        <f>ROUNDUP((0.015%*D278+10*0.01/(SQRT(3))),4)</f>
        <v>5.8700000000000002E-2</v>
      </c>
      <c r="G278" s="3">
        <f t="shared" si="19"/>
        <v>-5.1085237822943803</v>
      </c>
      <c r="H278" s="45"/>
    </row>
    <row r="279" spans="1:8" x14ac:dyDescent="0.25">
      <c r="A279" s="2">
        <v>707</v>
      </c>
      <c r="B279" s="3">
        <f t="shared" si="16"/>
        <v>0.70699999999999996</v>
      </c>
      <c r="C279" s="2">
        <f t="shared" si="17"/>
        <v>0.56620000000000004</v>
      </c>
      <c r="D279" s="2">
        <v>6.0630002021789604</v>
      </c>
      <c r="E279" s="3">
        <f t="shared" si="18"/>
        <v>6.0630002021789609E-3</v>
      </c>
      <c r="F279" s="3">
        <f>ROUNDUP((0.015%*D279+10*0.01/(SQRT(3))),4)</f>
        <v>5.8700000000000002E-2</v>
      </c>
      <c r="G279" s="3">
        <f t="shared" si="19"/>
        <v>-5.1055505185461874</v>
      </c>
      <c r="H279" s="45"/>
    </row>
    <row r="280" spans="1:8" x14ac:dyDescent="0.25">
      <c r="A280" s="2">
        <v>707</v>
      </c>
      <c r="B280" s="3">
        <f t="shared" si="16"/>
        <v>0.70699999999999996</v>
      </c>
      <c r="C280" s="2">
        <f t="shared" si="17"/>
        <v>0.56620000000000004</v>
      </c>
      <c r="D280" s="2">
        <v>6.0819997787475604</v>
      </c>
      <c r="E280" s="3">
        <f t="shared" si="18"/>
        <v>6.0819997787475606E-3</v>
      </c>
      <c r="F280" s="3">
        <f>ROUNDUP((0.015%*D280+10*0.01/(SQRT(3))),4)</f>
        <v>5.8700000000000002E-2</v>
      </c>
      <c r="G280" s="3">
        <f t="shared" si="19"/>
        <v>-5.1024217261052023</v>
      </c>
      <c r="H280" s="45"/>
    </row>
    <row r="281" spans="1:8" x14ac:dyDescent="0.25">
      <c r="A281" s="2">
        <v>708</v>
      </c>
      <c r="B281" s="3">
        <f t="shared" si="16"/>
        <v>0.70799999999999996</v>
      </c>
      <c r="C281" s="2">
        <f t="shared" si="17"/>
        <v>0.56699999999999995</v>
      </c>
      <c r="D281" s="2">
        <v>6.1020002365112296</v>
      </c>
      <c r="E281" s="3">
        <f t="shared" si="18"/>
        <v>6.1020002365112297E-3</v>
      </c>
      <c r="F281" s="3">
        <f>ROUNDUP((0.015%*D281+10*0.01/(SQRT(3))),4)</f>
        <v>5.8700000000000002E-2</v>
      </c>
      <c r="G281" s="3">
        <f t="shared" si="19"/>
        <v>-5.0991386539280352</v>
      </c>
      <c r="H281" s="45"/>
    </row>
    <row r="282" spans="1:8" x14ac:dyDescent="0.25">
      <c r="A282" s="2">
        <v>708</v>
      </c>
      <c r="B282" s="3">
        <f t="shared" si="16"/>
        <v>0.70799999999999996</v>
      </c>
      <c r="C282" s="2">
        <f t="shared" si="17"/>
        <v>0.56699999999999995</v>
      </c>
      <c r="D282" s="2">
        <v>6.1269998550415004</v>
      </c>
      <c r="E282" s="3">
        <f t="shared" si="18"/>
        <v>6.1269998550415004E-3</v>
      </c>
      <c r="F282" s="3">
        <f>ROUNDUP((0.015%*D282+10*0.01/(SQRT(3))),4)</f>
        <v>5.8700000000000002E-2</v>
      </c>
      <c r="G282" s="3">
        <f t="shared" si="19"/>
        <v>-5.0950500688975886</v>
      </c>
      <c r="H282" s="45"/>
    </row>
    <row r="283" spans="1:8" x14ac:dyDescent="0.25">
      <c r="A283" s="2">
        <v>710</v>
      </c>
      <c r="B283" s="3">
        <f t="shared" si="16"/>
        <v>0.71</v>
      </c>
      <c r="C283" s="2">
        <f t="shared" si="17"/>
        <v>0.56859999999999999</v>
      </c>
      <c r="D283" s="2">
        <v>6.2490000724792498</v>
      </c>
      <c r="E283" s="3">
        <f t="shared" si="18"/>
        <v>6.2490000724792502E-3</v>
      </c>
      <c r="F283" s="3">
        <f>ROUNDUP((0.015%*D283+10*0.01/(SQRT(3))),4)</f>
        <v>5.8700000000000002E-2</v>
      </c>
      <c r="G283" s="3">
        <f t="shared" si="19"/>
        <v>-5.0753338164366566</v>
      </c>
      <c r="H283" s="45"/>
    </row>
    <row r="284" spans="1:8" x14ac:dyDescent="0.25">
      <c r="A284" s="2">
        <v>711</v>
      </c>
      <c r="B284" s="3">
        <f t="shared" si="16"/>
        <v>0.71099999999999997</v>
      </c>
      <c r="C284" s="2">
        <f t="shared" si="17"/>
        <v>0.56940000000000002</v>
      </c>
      <c r="D284" s="2">
        <v>6.2690000534057599</v>
      </c>
      <c r="E284" s="3">
        <f t="shared" si="18"/>
        <v>6.2690000534057601E-3</v>
      </c>
      <c r="F284" s="3">
        <f>ROUNDUP((0.015%*D284+10*0.01/(SQRT(3))),4)</f>
        <v>5.8700000000000002E-2</v>
      </c>
      <c r="G284" s="3">
        <f t="shared" si="19"/>
        <v>-5.0721384181712814</v>
      </c>
      <c r="H284" s="45"/>
    </row>
    <row r="285" spans="1:8" x14ac:dyDescent="0.25">
      <c r="A285" s="2">
        <v>711</v>
      </c>
      <c r="B285" s="3">
        <f t="shared" si="16"/>
        <v>0.71099999999999997</v>
      </c>
      <c r="C285" s="2">
        <f t="shared" si="17"/>
        <v>0.56940000000000002</v>
      </c>
      <c r="D285" s="2">
        <v>6.2880001068115199</v>
      </c>
      <c r="E285" s="3">
        <f t="shared" si="18"/>
        <v>6.2880001068115199E-3</v>
      </c>
      <c r="F285" s="3">
        <f>ROUNDUP((0.015%*D285+10*0.01/(SQRT(3))),4)</f>
        <v>5.8700000000000002E-2</v>
      </c>
      <c r="G285" s="3">
        <f t="shared" si="19"/>
        <v>-5.0691122068686667</v>
      </c>
      <c r="H285" s="45"/>
    </row>
    <row r="286" spans="1:8" x14ac:dyDescent="0.25">
      <c r="A286" s="2">
        <v>711</v>
      </c>
      <c r="B286" s="3">
        <f t="shared" si="16"/>
        <v>0.71099999999999997</v>
      </c>
      <c r="C286" s="2">
        <f t="shared" si="17"/>
        <v>0.56940000000000002</v>
      </c>
      <c r="D286" s="2">
        <v>6.3080000877380398</v>
      </c>
      <c r="E286" s="3">
        <f t="shared" si="18"/>
        <v>6.3080000877380402E-3</v>
      </c>
      <c r="F286" s="3">
        <f>ROUNDUP((0.015%*D286+10*0.01/(SQRT(3))),4)</f>
        <v>5.8700000000000002E-2</v>
      </c>
      <c r="G286" s="3">
        <f t="shared" si="19"/>
        <v>-5.0659365959723344</v>
      </c>
      <c r="H286" s="45"/>
    </row>
    <row r="287" spans="1:8" x14ac:dyDescent="0.25">
      <c r="A287" s="2">
        <v>713</v>
      </c>
      <c r="B287" s="3">
        <f t="shared" si="16"/>
        <v>0.71299999999999997</v>
      </c>
      <c r="C287" s="2">
        <f t="shared" si="17"/>
        <v>0.57099999999999995</v>
      </c>
      <c r="D287" s="2">
        <v>6.4159998893737802</v>
      </c>
      <c r="E287" s="3">
        <f t="shared" si="18"/>
        <v>6.4159998893737807E-3</v>
      </c>
      <c r="F287" s="3">
        <f>ROUNDUP((0.015%*D287+10*0.01/(SQRT(3))),4)</f>
        <v>5.8700000000000002E-2</v>
      </c>
      <c r="G287" s="3">
        <f t="shared" si="19"/>
        <v>-5.048960425660165</v>
      </c>
      <c r="H287" s="45"/>
    </row>
    <row r="288" spans="1:8" x14ac:dyDescent="0.25">
      <c r="A288" s="2">
        <v>713</v>
      </c>
      <c r="B288" s="3">
        <f t="shared" si="16"/>
        <v>0.71299999999999997</v>
      </c>
      <c r="C288" s="2">
        <f t="shared" si="17"/>
        <v>0.57099999999999995</v>
      </c>
      <c r="D288" s="2">
        <v>6.4190001487731898</v>
      </c>
      <c r="E288" s="3">
        <f t="shared" si="18"/>
        <v>6.4190001487731902E-3</v>
      </c>
      <c r="F288" s="3">
        <f>ROUNDUP((0.015%*D288+10*0.01/(SQRT(3))),4)</f>
        <v>5.8700000000000002E-2</v>
      </c>
      <c r="G288" s="3">
        <f t="shared" si="19"/>
        <v>-5.0484929134754921</v>
      </c>
      <c r="H288" s="45"/>
    </row>
    <row r="289" spans="1:8" x14ac:dyDescent="0.25">
      <c r="A289" s="2">
        <v>713</v>
      </c>
      <c r="B289" s="3">
        <f t="shared" si="16"/>
        <v>0.71299999999999997</v>
      </c>
      <c r="C289" s="2">
        <f t="shared" si="17"/>
        <v>0.57099999999999995</v>
      </c>
      <c r="D289" s="2">
        <v>6.4400000572204599</v>
      </c>
      <c r="E289" s="3">
        <f t="shared" si="18"/>
        <v>6.4400000572204597E-3</v>
      </c>
      <c r="F289" s="3">
        <f>ROUNDUP((0.015%*D289+10*0.01/(SQRT(3))),4)</f>
        <v>5.8800000000000005E-2</v>
      </c>
      <c r="G289" s="3">
        <f t="shared" si="19"/>
        <v>-5.0452267299807101</v>
      </c>
      <c r="H289" s="45"/>
    </row>
    <row r="290" spans="1:8" x14ac:dyDescent="0.25">
      <c r="A290" s="2">
        <v>714</v>
      </c>
      <c r="B290" s="3">
        <f t="shared" si="16"/>
        <v>0.71399999999999997</v>
      </c>
      <c r="C290" s="2">
        <f t="shared" si="17"/>
        <v>0.57179999999999997</v>
      </c>
      <c r="D290" s="2">
        <v>6.4819998741149902</v>
      </c>
      <c r="E290" s="3">
        <f t="shared" si="18"/>
        <v>6.48199987411499E-3</v>
      </c>
      <c r="F290" s="3">
        <f>ROUNDUP((0.015%*D290+10*0.01/(SQRT(3))),4)</f>
        <v>5.8800000000000005E-2</v>
      </c>
      <c r="G290" s="3">
        <f t="shared" si="19"/>
        <v>-5.0387261936834866</v>
      </c>
      <c r="H290" s="45"/>
    </row>
    <row r="291" spans="1:8" x14ac:dyDescent="0.25">
      <c r="A291" s="2">
        <v>715</v>
      </c>
      <c r="B291" s="3">
        <f t="shared" si="16"/>
        <v>0.71499999999999997</v>
      </c>
      <c r="C291" s="2">
        <f t="shared" si="17"/>
        <v>0.5726</v>
      </c>
      <c r="D291" s="2">
        <v>6.5019998550415004</v>
      </c>
      <c r="E291" s="3">
        <f t="shared" si="18"/>
        <v>6.5019998550415008E-3</v>
      </c>
      <c r="F291" s="3">
        <f>ROUNDUP((0.015%*D291+10*0.01/(SQRT(3))),4)</f>
        <v>5.8800000000000005E-2</v>
      </c>
      <c r="G291" s="3">
        <f t="shared" si="19"/>
        <v>-5.0356454793948711</v>
      </c>
      <c r="H291" s="45"/>
    </row>
    <row r="292" spans="1:8" x14ac:dyDescent="0.25">
      <c r="A292" s="2">
        <v>715</v>
      </c>
      <c r="B292" s="3">
        <f t="shared" si="16"/>
        <v>0.71499999999999997</v>
      </c>
      <c r="C292" s="2">
        <f t="shared" si="17"/>
        <v>0.5726</v>
      </c>
      <c r="D292" s="2">
        <v>6.5599999427795401</v>
      </c>
      <c r="E292" s="3">
        <f t="shared" si="18"/>
        <v>6.5599999427795406E-3</v>
      </c>
      <c r="F292" s="3">
        <f>ROUNDUP((0.015%*D292+10*0.01/(SQRT(3))),4)</f>
        <v>5.8800000000000005E-2</v>
      </c>
      <c r="G292" s="3">
        <f t="shared" si="19"/>
        <v>-5.0267646847487706</v>
      </c>
      <c r="H292" s="45"/>
    </row>
    <row r="293" spans="1:8" x14ac:dyDescent="0.25">
      <c r="A293" s="2">
        <v>716</v>
      </c>
      <c r="B293" s="3">
        <f t="shared" si="16"/>
        <v>0.71599999999999997</v>
      </c>
      <c r="C293" s="2">
        <f t="shared" si="17"/>
        <v>0.57340000000000002</v>
      </c>
      <c r="D293" s="2">
        <v>6.6059999465942401</v>
      </c>
      <c r="E293" s="3">
        <f t="shared" si="18"/>
        <v>6.60599994659424E-3</v>
      </c>
      <c r="F293" s="3">
        <f>ROUNDUP((0.015%*D293+10*0.01/(SQRT(3))),4)</f>
        <v>5.8800000000000005E-2</v>
      </c>
      <c r="G293" s="3">
        <f t="shared" si="19"/>
        <v>-5.0197769600979711</v>
      </c>
      <c r="H293" s="45"/>
    </row>
    <row r="294" spans="1:8" x14ac:dyDescent="0.25">
      <c r="A294" s="2">
        <v>717</v>
      </c>
      <c r="B294" s="3">
        <f t="shared" si="16"/>
        <v>0.71699999999999997</v>
      </c>
      <c r="C294" s="2">
        <f t="shared" si="17"/>
        <v>0.57420000000000004</v>
      </c>
      <c r="D294" s="2">
        <v>6.6350002288818404</v>
      </c>
      <c r="E294" s="3">
        <f t="shared" si="18"/>
        <v>6.6350002288818408E-3</v>
      </c>
      <c r="F294" s="3">
        <f>ROUNDUP((0.015%*D294+10*0.01/(SQRT(3))),4)</f>
        <v>5.8800000000000005E-2</v>
      </c>
      <c r="G294" s="3">
        <f t="shared" si="19"/>
        <v>-5.0153965767018338</v>
      </c>
      <c r="H294" s="45"/>
    </row>
    <row r="295" spans="1:8" x14ac:dyDescent="0.25">
      <c r="A295" s="2">
        <v>718</v>
      </c>
      <c r="B295" s="3">
        <f t="shared" si="16"/>
        <v>0.71799999999999997</v>
      </c>
      <c r="C295" s="2">
        <f t="shared" si="17"/>
        <v>0.57499999999999996</v>
      </c>
      <c r="D295" s="2">
        <v>6.6880002021789604</v>
      </c>
      <c r="E295" s="3">
        <f t="shared" si="18"/>
        <v>6.6880002021789606E-3</v>
      </c>
      <c r="F295" s="3">
        <f>ROUNDUP((0.015%*D295+10*0.01/(SQRT(3))),4)</f>
        <v>5.8800000000000005E-2</v>
      </c>
      <c r="G295" s="3">
        <f t="shared" si="19"/>
        <v>-5.0074403729696293</v>
      </c>
      <c r="H295" s="45"/>
    </row>
    <row r="296" spans="1:8" x14ac:dyDescent="0.25">
      <c r="A296" s="2">
        <v>718</v>
      </c>
      <c r="B296" s="3">
        <f t="shared" si="16"/>
        <v>0.71799999999999997</v>
      </c>
      <c r="C296" s="2">
        <f t="shared" si="17"/>
        <v>0.57499999999999996</v>
      </c>
      <c r="D296" s="2">
        <v>6.7140002250671396</v>
      </c>
      <c r="E296" s="3">
        <f t="shared" si="18"/>
        <v>6.7140002250671398E-3</v>
      </c>
      <c r="F296" s="3">
        <f>ROUNDUP((0.015%*D296+10*0.01/(SQRT(3))),4)</f>
        <v>5.8800000000000005E-2</v>
      </c>
      <c r="G296" s="3">
        <f t="shared" si="19"/>
        <v>-5.0035603469022298</v>
      </c>
      <c r="H296" s="45"/>
    </row>
    <row r="297" spans="1:8" x14ac:dyDescent="0.25">
      <c r="A297" s="2">
        <v>718</v>
      </c>
      <c r="B297" s="3">
        <f t="shared" si="16"/>
        <v>0.71799999999999997</v>
      </c>
      <c r="C297" s="2">
        <f t="shared" si="17"/>
        <v>0.57499999999999996</v>
      </c>
      <c r="D297" s="2">
        <v>6.7379999160766602</v>
      </c>
      <c r="E297" s="3">
        <f t="shared" si="18"/>
        <v>6.7379999160766604E-3</v>
      </c>
      <c r="F297" s="3">
        <f>ROUNDUP((0.015%*D297+10*0.01/(SQRT(3))),4)</f>
        <v>5.8800000000000005E-2</v>
      </c>
      <c r="G297" s="3">
        <f t="shared" si="19"/>
        <v>-4.9999921464530059</v>
      </c>
      <c r="H297" s="45"/>
    </row>
    <row r="298" spans="1:8" x14ac:dyDescent="0.25">
      <c r="A298" s="2">
        <v>719</v>
      </c>
      <c r="B298" s="3">
        <f t="shared" si="16"/>
        <v>0.71899999999999997</v>
      </c>
      <c r="C298" s="2">
        <f t="shared" si="17"/>
        <v>0.57579999999999998</v>
      </c>
      <c r="D298" s="2">
        <v>6.7569999694824201</v>
      </c>
      <c r="E298" s="3">
        <f t="shared" si="18"/>
        <v>6.7569999694824202E-3</v>
      </c>
      <c r="F298" s="3">
        <f>ROUNDUP((0.015%*D298+10*0.01/(SQRT(3))),4)</f>
        <v>5.8800000000000005E-2</v>
      </c>
      <c r="G298" s="3">
        <f t="shared" si="19"/>
        <v>-4.9971762789285386</v>
      </c>
      <c r="H298" s="45"/>
    </row>
    <row r="299" spans="1:8" x14ac:dyDescent="0.25">
      <c r="A299" s="2">
        <v>719</v>
      </c>
      <c r="B299" s="3">
        <f t="shared" si="16"/>
        <v>0.71899999999999997</v>
      </c>
      <c r="C299" s="2">
        <f t="shared" si="17"/>
        <v>0.57579999999999998</v>
      </c>
      <c r="D299" s="2">
        <v>6.77699995040894</v>
      </c>
      <c r="E299" s="3">
        <f t="shared" si="18"/>
        <v>6.7769999504089405E-3</v>
      </c>
      <c r="F299" s="3">
        <f>ROUNDUP((0.015%*D299+10*0.01/(SQRT(3))),4)</f>
        <v>5.8800000000000005E-2</v>
      </c>
      <c r="G299" s="3">
        <f t="shared" si="19"/>
        <v>-4.9942207601457147</v>
      </c>
      <c r="H299" s="45"/>
    </row>
    <row r="300" spans="1:8" x14ac:dyDescent="0.25">
      <c r="A300" s="2">
        <v>720</v>
      </c>
      <c r="B300" s="3">
        <f t="shared" si="16"/>
        <v>0.72</v>
      </c>
      <c r="C300" s="2">
        <f t="shared" si="17"/>
        <v>0.5766</v>
      </c>
      <c r="D300" s="2">
        <v>6.8169999122619602</v>
      </c>
      <c r="E300" s="3">
        <f t="shared" si="18"/>
        <v>6.8169999122619602E-3</v>
      </c>
      <c r="F300" s="3">
        <f>ROUNDUP((0.015%*D300+10*0.01/(SQRT(3))),4)</f>
        <v>5.8800000000000005E-2</v>
      </c>
      <c r="G300" s="3">
        <f t="shared" si="19"/>
        <v>-4.9883357994719653</v>
      </c>
      <c r="H300" s="45"/>
    </row>
    <row r="301" spans="1:8" x14ac:dyDescent="0.25">
      <c r="A301" s="2">
        <v>720</v>
      </c>
      <c r="B301" s="3">
        <f t="shared" si="16"/>
        <v>0.72</v>
      </c>
      <c r="C301" s="2">
        <f t="shared" si="17"/>
        <v>0.5766</v>
      </c>
      <c r="D301" s="2">
        <v>6.8579998016357404</v>
      </c>
      <c r="E301" s="3">
        <f t="shared" si="18"/>
        <v>6.8579998016357405E-3</v>
      </c>
      <c r="F301" s="3">
        <f>ROUNDUP((0.015%*D301+10*0.01/(SQRT(3))),4)</f>
        <v>5.8800000000000005E-2</v>
      </c>
      <c r="G301" s="3">
        <f t="shared" si="19"/>
        <v>-4.9823394538659143</v>
      </c>
      <c r="H301" s="45"/>
    </row>
    <row r="302" spans="1:8" x14ac:dyDescent="0.25">
      <c r="A302" s="2">
        <v>721</v>
      </c>
      <c r="B302" s="3">
        <f t="shared" si="16"/>
        <v>0.72099999999999997</v>
      </c>
      <c r="C302" s="2">
        <f t="shared" si="17"/>
        <v>0.57740000000000002</v>
      </c>
      <c r="D302" s="2">
        <v>6.8769998550415004</v>
      </c>
      <c r="E302" s="3">
        <f t="shared" si="18"/>
        <v>6.8769998550415002E-3</v>
      </c>
      <c r="F302" s="3">
        <f>ROUNDUP((0.015%*D302+10*0.01/(SQRT(3))),4)</f>
        <v>5.8800000000000005E-2</v>
      </c>
      <c r="G302" s="3">
        <f t="shared" si="19"/>
        <v>-4.9795727897231785</v>
      </c>
      <c r="H302" s="45"/>
    </row>
    <row r="303" spans="1:8" x14ac:dyDescent="0.25">
      <c r="A303" s="2">
        <v>721</v>
      </c>
      <c r="B303" s="3">
        <f t="shared" si="16"/>
        <v>0.72099999999999997</v>
      </c>
      <c r="C303" s="2">
        <f t="shared" si="17"/>
        <v>0.57740000000000002</v>
      </c>
      <c r="D303" s="2">
        <v>6.9140000343322798</v>
      </c>
      <c r="E303" s="3">
        <f t="shared" si="18"/>
        <v>6.9140000343322801E-3</v>
      </c>
      <c r="F303" s="3">
        <f>ROUNDUP((0.015%*D303+10*0.01/(SQRT(3))),4)</f>
        <v>5.8800000000000005E-2</v>
      </c>
      <c r="G303" s="3">
        <f t="shared" si="19"/>
        <v>-4.9742069325170863</v>
      </c>
      <c r="H303" s="45"/>
    </row>
    <row r="304" spans="1:8" x14ac:dyDescent="0.25">
      <c r="A304" s="2">
        <v>722</v>
      </c>
      <c r="B304" s="3">
        <f t="shared" si="16"/>
        <v>0.72199999999999998</v>
      </c>
      <c r="C304" s="2">
        <f t="shared" si="17"/>
        <v>0.57819999999999994</v>
      </c>
      <c r="D304" s="2">
        <v>6.9899997711181596</v>
      </c>
      <c r="E304" s="3">
        <f t="shared" si="18"/>
        <v>6.98999977111816E-3</v>
      </c>
      <c r="F304" s="3">
        <f>ROUNDUP((0.015%*D304+10*0.01/(SQRT(3))),4)</f>
        <v>5.8800000000000005E-2</v>
      </c>
      <c r="G304" s="3">
        <f t="shared" si="19"/>
        <v>-4.9632747554806018</v>
      </c>
      <c r="H304" s="45"/>
    </row>
    <row r="305" spans="1:8" x14ac:dyDescent="0.25">
      <c r="A305" s="2">
        <v>723</v>
      </c>
      <c r="B305" s="3">
        <f t="shared" si="16"/>
        <v>0.72299999999999998</v>
      </c>
      <c r="C305" s="2">
        <f t="shared" si="17"/>
        <v>0.57899999999999996</v>
      </c>
      <c r="D305" s="2">
        <v>7.0110001564025897</v>
      </c>
      <c r="E305" s="3">
        <f t="shared" si="18"/>
        <v>7.0110001564025895E-3</v>
      </c>
      <c r="F305" s="3">
        <f>ROUNDUP((0.015%*D305+10*0.01/(SQRT(3))),4)</f>
        <v>5.8800000000000005E-2</v>
      </c>
      <c r="G305" s="3">
        <f t="shared" si="19"/>
        <v>-4.960274912449135</v>
      </c>
      <c r="H305" s="45"/>
    </row>
    <row r="306" spans="1:8" x14ac:dyDescent="0.25">
      <c r="A306" s="2">
        <v>723</v>
      </c>
      <c r="B306" s="3">
        <f t="shared" si="16"/>
        <v>0.72299999999999998</v>
      </c>
      <c r="C306" s="2">
        <f t="shared" si="17"/>
        <v>0.57899999999999996</v>
      </c>
      <c r="D306" s="2">
        <v>7.0339999198913601</v>
      </c>
      <c r="E306" s="3">
        <f t="shared" si="18"/>
        <v>7.0339999198913601E-3</v>
      </c>
      <c r="F306" s="3">
        <f>ROUNDUP((0.015%*D306+10*0.01/(SQRT(3))),4)</f>
        <v>5.8800000000000005E-2</v>
      </c>
      <c r="G306" s="3">
        <f t="shared" si="19"/>
        <v>-4.9569997563191208</v>
      </c>
      <c r="H306" s="45"/>
    </row>
    <row r="307" spans="1:8" x14ac:dyDescent="0.25">
      <c r="A307" s="2">
        <v>724</v>
      </c>
      <c r="B307" s="3">
        <f t="shared" si="16"/>
        <v>0.72399999999999998</v>
      </c>
      <c r="C307" s="2">
        <f t="shared" si="17"/>
        <v>0.57979999999999998</v>
      </c>
      <c r="D307" s="2">
        <v>7.0739998817443803</v>
      </c>
      <c r="E307" s="3">
        <f t="shared" si="18"/>
        <v>7.0739998817443807E-3</v>
      </c>
      <c r="F307" s="3">
        <f>ROUNDUP((0.015%*D307+10*0.01/(SQRT(3))),4)</f>
        <v>5.8800000000000005E-2</v>
      </c>
      <c r="G307" s="3">
        <f t="shared" si="19"/>
        <v>-4.951329204915786</v>
      </c>
      <c r="H307" s="45"/>
    </row>
    <row r="308" spans="1:8" x14ac:dyDescent="0.25">
      <c r="A308" s="2">
        <v>725</v>
      </c>
      <c r="B308" s="3">
        <f t="shared" si="16"/>
        <v>0.72499999999999998</v>
      </c>
      <c r="C308" s="2">
        <f t="shared" si="17"/>
        <v>0.5806</v>
      </c>
      <c r="D308" s="2">
        <v>7.1560001373290998</v>
      </c>
      <c r="E308" s="3">
        <f t="shared" si="18"/>
        <v>7.1560001373290995E-3</v>
      </c>
      <c r="F308" s="3">
        <f>ROUNDUP((0.015%*D308+10*0.01/(SQRT(3))),4)</f>
        <v>5.8900000000000001E-2</v>
      </c>
      <c r="G308" s="3">
        <f t="shared" si="19"/>
        <v>-4.9398040941449013</v>
      </c>
      <c r="H308" s="45"/>
    </row>
    <row r="309" spans="1:8" x14ac:dyDescent="0.25">
      <c r="A309" s="2">
        <v>726</v>
      </c>
      <c r="B309" s="3">
        <f t="shared" si="16"/>
        <v>0.72599999999999998</v>
      </c>
      <c r="C309" s="2">
        <f t="shared" si="17"/>
        <v>0.58140000000000003</v>
      </c>
      <c r="D309" s="2">
        <v>7.19700002670288</v>
      </c>
      <c r="E309" s="3">
        <f t="shared" si="18"/>
        <v>7.1970000267028798E-3</v>
      </c>
      <c r="F309" s="3">
        <f>ROUNDUP((0.015%*D309+10*0.01/(SQRT(3))),4)</f>
        <v>5.8900000000000001E-2</v>
      </c>
      <c r="G309" s="3">
        <f t="shared" si="19"/>
        <v>-4.9340910027461904</v>
      </c>
      <c r="H309" s="45"/>
    </row>
    <row r="310" spans="1:8" x14ac:dyDescent="0.25">
      <c r="A310" s="2">
        <v>726</v>
      </c>
      <c r="B310" s="3">
        <f t="shared" si="16"/>
        <v>0.72599999999999998</v>
      </c>
      <c r="C310" s="2">
        <f t="shared" si="17"/>
        <v>0.58140000000000003</v>
      </c>
      <c r="D310" s="2">
        <v>7.2270002365112296</v>
      </c>
      <c r="E310" s="3">
        <f t="shared" si="18"/>
        <v>7.2270002365112298E-3</v>
      </c>
      <c r="F310" s="3">
        <f>ROUNDUP((0.015%*D310+10*0.01/(SQRT(3))),4)</f>
        <v>5.8900000000000001E-2</v>
      </c>
      <c r="G310" s="3">
        <f t="shared" si="19"/>
        <v>-4.9299312339552346</v>
      </c>
      <c r="H310" s="45"/>
    </row>
    <row r="311" spans="1:8" x14ac:dyDescent="0.25">
      <c r="A311" s="2">
        <v>726</v>
      </c>
      <c r="B311" s="3">
        <f t="shared" si="16"/>
        <v>0.72599999999999998</v>
      </c>
      <c r="C311" s="2">
        <f t="shared" si="17"/>
        <v>0.58140000000000003</v>
      </c>
      <c r="D311" s="2">
        <v>7.2300000190734899</v>
      </c>
      <c r="E311" s="3">
        <f t="shared" si="18"/>
        <v>7.2300000190734896E-3</v>
      </c>
      <c r="F311" s="3">
        <f>ROUNDUP((0.015%*D311+10*0.01/(SQRT(3))),4)</f>
        <v>5.8900000000000001E-2</v>
      </c>
      <c r="G311" s="3">
        <f t="shared" si="19"/>
        <v>-4.9295162401733599</v>
      </c>
      <c r="H311" s="45"/>
    </row>
    <row r="312" spans="1:8" x14ac:dyDescent="0.25">
      <c r="A312" s="2">
        <v>727</v>
      </c>
      <c r="B312" s="3">
        <f t="shared" si="16"/>
        <v>0.72699999999999998</v>
      </c>
      <c r="C312" s="2">
        <f t="shared" si="17"/>
        <v>0.58219999999999994</v>
      </c>
      <c r="D312" s="2">
        <v>7.2729997634887704</v>
      </c>
      <c r="E312" s="3">
        <f t="shared" si="18"/>
        <v>7.2729997634887709E-3</v>
      </c>
      <c r="F312" s="3">
        <f>ROUNDUP((0.015%*D312+10*0.01/(SQRT(3))),4)</f>
        <v>5.8900000000000001E-2</v>
      </c>
      <c r="G312" s="3">
        <f t="shared" si="19"/>
        <v>-4.9235864503288083</v>
      </c>
      <c r="H312" s="45"/>
    </row>
    <row r="313" spans="1:8" x14ac:dyDescent="0.25">
      <c r="A313" s="2">
        <v>727</v>
      </c>
      <c r="B313" s="3">
        <f t="shared" si="16"/>
        <v>0.72699999999999998</v>
      </c>
      <c r="C313" s="2">
        <f t="shared" si="17"/>
        <v>0.58219999999999994</v>
      </c>
      <c r="D313" s="2">
        <v>7.3150000572204599</v>
      </c>
      <c r="E313" s="3">
        <f t="shared" si="18"/>
        <v>7.3150000572204596E-3</v>
      </c>
      <c r="F313" s="3">
        <f>ROUNDUP((0.015%*D313+10*0.01/(SQRT(3))),4)</f>
        <v>5.8900000000000001E-2</v>
      </c>
      <c r="G313" s="3">
        <f t="shared" si="19"/>
        <v>-4.9178282366877033</v>
      </c>
      <c r="H313" s="45"/>
    </row>
    <row r="314" spans="1:8" x14ac:dyDescent="0.25">
      <c r="A314" s="2">
        <v>728</v>
      </c>
      <c r="B314" s="3">
        <f t="shared" si="16"/>
        <v>0.72799999999999998</v>
      </c>
      <c r="C314" s="2">
        <f t="shared" si="17"/>
        <v>0.58299999999999996</v>
      </c>
      <c r="D314" s="2">
        <v>7.3740000724792498</v>
      </c>
      <c r="E314" s="3">
        <f t="shared" si="18"/>
        <v>7.3740000724792504E-3</v>
      </c>
      <c r="F314" s="3">
        <f>ROUNDUP((0.015%*D314+10*0.01/(SQRT(3))),4)</f>
        <v>5.8900000000000001E-2</v>
      </c>
      <c r="G314" s="3">
        <f t="shared" si="19"/>
        <v>-4.9097949693411564</v>
      </c>
      <c r="H314" s="45"/>
    </row>
    <row r="315" spans="1:8" x14ac:dyDescent="0.25">
      <c r="A315" s="2">
        <v>729</v>
      </c>
      <c r="B315" s="3">
        <f t="shared" si="16"/>
        <v>0.72899999999999998</v>
      </c>
      <c r="C315" s="2">
        <f t="shared" si="17"/>
        <v>0.58379999999999999</v>
      </c>
      <c r="D315" s="2">
        <v>7.3969998359680202</v>
      </c>
      <c r="E315" s="3">
        <f t="shared" si="18"/>
        <v>7.3969998359680201E-3</v>
      </c>
      <c r="F315" s="3">
        <f>ROUNDUP((0.015%*D315+10*0.01/(SQRT(3))),4)</f>
        <v>5.8900000000000001E-2</v>
      </c>
      <c r="G315" s="3">
        <f t="shared" si="19"/>
        <v>-4.9066807885518804</v>
      </c>
      <c r="H315" s="45"/>
    </row>
    <row r="316" spans="1:8" x14ac:dyDescent="0.25">
      <c r="A316" s="2">
        <v>729</v>
      </c>
      <c r="B316" s="3">
        <f t="shared" si="16"/>
        <v>0.72899999999999998</v>
      </c>
      <c r="C316" s="2">
        <f t="shared" si="17"/>
        <v>0.58379999999999999</v>
      </c>
      <c r="D316" s="2">
        <v>7.4169998168945304</v>
      </c>
      <c r="E316" s="3">
        <f t="shared" si="18"/>
        <v>7.4169998168945308E-3</v>
      </c>
      <c r="F316" s="3">
        <f>ROUNDUP((0.015%*D316+10*0.01/(SQRT(3))),4)</f>
        <v>5.8900000000000001E-2</v>
      </c>
      <c r="G316" s="3">
        <f t="shared" si="19"/>
        <v>-4.9039806409149849</v>
      </c>
      <c r="H316" s="45"/>
    </row>
    <row r="317" spans="1:8" x14ac:dyDescent="0.25">
      <c r="A317" s="2">
        <v>730</v>
      </c>
      <c r="B317" s="3">
        <f t="shared" si="16"/>
        <v>0.73</v>
      </c>
      <c r="C317" s="2">
        <f t="shared" si="17"/>
        <v>0.58460000000000001</v>
      </c>
      <c r="D317" s="2">
        <v>7.4580001831054696</v>
      </c>
      <c r="E317" s="3">
        <f t="shared" si="18"/>
        <v>7.4580001831054694E-3</v>
      </c>
      <c r="F317" s="3">
        <f>ROUNDUP((0.015%*D317+10*0.01/(SQRT(3))),4)</f>
        <v>5.8900000000000001E-2</v>
      </c>
      <c r="G317" s="3">
        <f t="shared" si="19"/>
        <v>-4.8984679726739566</v>
      </c>
      <c r="H317" s="45"/>
    </row>
    <row r="318" spans="1:8" x14ac:dyDescent="0.25">
      <c r="A318" s="2">
        <v>730</v>
      </c>
      <c r="B318" s="3">
        <f t="shared" si="16"/>
        <v>0.73</v>
      </c>
      <c r="C318" s="2">
        <f t="shared" si="17"/>
        <v>0.58460000000000001</v>
      </c>
      <c r="D318" s="2">
        <v>7.4800000190734899</v>
      </c>
      <c r="E318" s="3">
        <f t="shared" si="18"/>
        <v>7.4800000190734899E-3</v>
      </c>
      <c r="F318" s="3">
        <f>ROUNDUP((0.015%*D318+10*0.01/(SQRT(3))),4)</f>
        <v>5.8900000000000001E-2</v>
      </c>
      <c r="G318" s="3">
        <f t="shared" si="19"/>
        <v>-4.8955224844458192</v>
      </c>
      <c r="H318" s="45"/>
    </row>
    <row r="319" spans="1:8" x14ac:dyDescent="0.25">
      <c r="A319" s="2">
        <v>731</v>
      </c>
      <c r="B319" s="3">
        <f t="shared" si="16"/>
        <v>0.73099999999999998</v>
      </c>
      <c r="C319" s="2">
        <f t="shared" si="17"/>
        <v>0.58540000000000003</v>
      </c>
      <c r="D319" s="2">
        <v>7.5380001068115199</v>
      </c>
      <c r="E319" s="3">
        <f t="shared" si="18"/>
        <v>7.5380001068115201E-3</v>
      </c>
      <c r="F319" s="3">
        <f>ROUNDUP((0.015%*D319+10*0.01/(SQRT(3))),4)</f>
        <v>5.8900000000000001E-2</v>
      </c>
      <c r="G319" s="3">
        <f t="shared" si="19"/>
        <v>-4.8877983699674505</v>
      </c>
      <c r="H319" s="45"/>
    </row>
    <row r="320" spans="1:8" x14ac:dyDescent="0.25">
      <c r="A320" s="2">
        <v>731</v>
      </c>
      <c r="B320" s="3">
        <f t="shared" si="16"/>
        <v>0.73099999999999998</v>
      </c>
      <c r="C320" s="2">
        <f t="shared" si="17"/>
        <v>0.58540000000000003</v>
      </c>
      <c r="D320" s="2">
        <v>7.5409998893737802</v>
      </c>
      <c r="E320" s="3">
        <f t="shared" si="18"/>
        <v>7.54099988937378E-3</v>
      </c>
      <c r="F320" s="3">
        <f>ROUNDUP((0.015%*D320+10*0.01/(SQRT(3))),4)</f>
        <v>5.8900000000000001E-2</v>
      </c>
      <c r="G320" s="3">
        <f t="shared" si="19"/>
        <v>-4.8874004944315939</v>
      </c>
      <c r="H320" s="45"/>
    </row>
    <row r="321" spans="1:8" x14ac:dyDescent="0.25">
      <c r="A321" s="2">
        <v>732</v>
      </c>
      <c r="B321" s="3">
        <f t="shared" si="16"/>
        <v>0.73199999999999998</v>
      </c>
      <c r="C321" s="2">
        <f t="shared" si="17"/>
        <v>0.58619999999999994</v>
      </c>
      <c r="D321" s="2">
        <v>7.61199998855591</v>
      </c>
      <c r="E321" s="3">
        <f t="shared" si="18"/>
        <v>7.6119999885559102E-3</v>
      </c>
      <c r="F321" s="3">
        <f>ROUNDUP((0.015%*D321+10*0.01/(SQRT(3))),4)</f>
        <v>5.8900000000000001E-2</v>
      </c>
      <c r="G321" s="3">
        <f t="shared" si="19"/>
        <v>-4.8780293310516614</v>
      </c>
      <c r="H321" s="45"/>
    </row>
    <row r="322" spans="1:8" x14ac:dyDescent="0.25">
      <c r="A322" s="2">
        <v>732</v>
      </c>
      <c r="B322" s="3">
        <f t="shared" si="16"/>
        <v>0.73199999999999998</v>
      </c>
      <c r="C322" s="2">
        <f t="shared" si="17"/>
        <v>0.58619999999999994</v>
      </c>
      <c r="D322" s="2">
        <v>7.6149997711181596</v>
      </c>
      <c r="E322" s="3">
        <f t="shared" si="18"/>
        <v>7.6149997711181597E-3</v>
      </c>
      <c r="F322" s="3">
        <f>ROUNDUP((0.015%*D322+10*0.01/(SQRT(3))),4)</f>
        <v>5.8900000000000001E-2</v>
      </c>
      <c r="G322" s="3">
        <f t="shared" si="19"/>
        <v>-4.877635322691722</v>
      </c>
      <c r="H322" s="45"/>
    </row>
    <row r="323" spans="1:8" x14ac:dyDescent="0.25">
      <c r="A323" s="2">
        <v>733</v>
      </c>
      <c r="B323" s="3">
        <f t="shared" si="16"/>
        <v>0.73299999999999998</v>
      </c>
      <c r="C323" s="2">
        <f t="shared" si="17"/>
        <v>0.58699999999999997</v>
      </c>
      <c r="D323" s="2">
        <v>7.6609997749328604</v>
      </c>
      <c r="E323" s="3">
        <f t="shared" si="18"/>
        <v>7.6609997749328609E-3</v>
      </c>
      <c r="F323" s="3">
        <f>ROUNDUP((0.015%*D323+10*0.01/(SQRT(3))),4)</f>
        <v>5.8900000000000001E-2</v>
      </c>
      <c r="G323" s="3">
        <f t="shared" si="19"/>
        <v>-4.8716127848257518</v>
      </c>
      <c r="H323" s="45"/>
    </row>
    <row r="324" spans="1:8" x14ac:dyDescent="0.25">
      <c r="A324" s="2">
        <v>733</v>
      </c>
      <c r="B324" s="3">
        <f t="shared" si="16"/>
        <v>0.73299999999999998</v>
      </c>
      <c r="C324" s="2">
        <f t="shared" si="17"/>
        <v>0.58699999999999997</v>
      </c>
      <c r="D324" s="2">
        <v>7.7030000686645499</v>
      </c>
      <c r="E324" s="3">
        <f t="shared" si="18"/>
        <v>7.7030000686645504E-3</v>
      </c>
      <c r="F324" s="3">
        <f>ROUNDUP((0.015%*D324+10*0.01/(SQRT(3))),4)</f>
        <v>5.8900000000000001E-2</v>
      </c>
      <c r="G324" s="3">
        <f t="shared" si="19"/>
        <v>-4.8661454066973073</v>
      </c>
      <c r="H324" s="45"/>
    </row>
    <row r="325" spans="1:8" x14ac:dyDescent="0.25">
      <c r="A325" s="2">
        <v>735</v>
      </c>
      <c r="B325" s="3">
        <f t="shared" si="16"/>
        <v>0.73499999999999999</v>
      </c>
      <c r="C325" s="2">
        <f t="shared" si="17"/>
        <v>0.58860000000000001</v>
      </c>
      <c r="D325" s="2">
        <v>7.7979998588562003</v>
      </c>
      <c r="E325" s="3">
        <f t="shared" si="18"/>
        <v>7.7979998588562005E-3</v>
      </c>
      <c r="F325" s="3">
        <f>ROUNDUP((0.015%*D325+10*0.01/(SQRT(3))),4)</f>
        <v>5.9000000000000004E-2</v>
      </c>
      <c r="G325" s="3">
        <f t="shared" si="19"/>
        <v>-4.8538880065217311</v>
      </c>
      <c r="H325" s="45"/>
    </row>
    <row r="326" spans="1:8" x14ac:dyDescent="0.25">
      <c r="A326" s="2">
        <v>735</v>
      </c>
      <c r="B326" s="3">
        <f t="shared" si="16"/>
        <v>0.73499999999999999</v>
      </c>
      <c r="C326" s="2">
        <f t="shared" si="17"/>
        <v>0.58860000000000001</v>
      </c>
      <c r="D326" s="2">
        <v>7.82200002670288</v>
      </c>
      <c r="E326" s="3">
        <f t="shared" si="18"/>
        <v>7.8220000267028803E-3</v>
      </c>
      <c r="F326" s="3">
        <f>ROUNDUP((0.015%*D326+10*0.01/(SQRT(3))),4)</f>
        <v>5.9000000000000004E-2</v>
      </c>
      <c r="G326" s="3">
        <f t="shared" si="19"/>
        <v>-4.8508149992349976</v>
      </c>
      <c r="H326" s="45"/>
    </row>
    <row r="327" spans="1:8" x14ac:dyDescent="0.25">
      <c r="A327" s="2">
        <v>736</v>
      </c>
      <c r="B327" s="3">
        <f t="shared" si="16"/>
        <v>0.73599999999999999</v>
      </c>
      <c r="C327" s="2">
        <f t="shared" si="17"/>
        <v>0.58940000000000003</v>
      </c>
      <c r="D327" s="2">
        <v>7.8680000305175799</v>
      </c>
      <c r="E327" s="3">
        <f t="shared" si="18"/>
        <v>7.8680000305175798E-3</v>
      </c>
      <c r="F327" s="3">
        <f>ROUNDUP((0.015%*D327+10*0.01/(SQRT(3))),4)</f>
        <v>5.9000000000000004E-2</v>
      </c>
      <c r="G327" s="3">
        <f t="shared" si="19"/>
        <v>-4.8449513745766284</v>
      </c>
      <c r="H327" s="45"/>
    </row>
    <row r="328" spans="1:8" x14ac:dyDescent="0.25">
      <c r="A328" s="2">
        <v>736</v>
      </c>
      <c r="B328" s="3">
        <f t="shared" si="16"/>
        <v>0.73599999999999999</v>
      </c>
      <c r="C328" s="2">
        <f t="shared" si="17"/>
        <v>0.58940000000000003</v>
      </c>
      <c r="D328" s="2">
        <v>7.8920001983642596</v>
      </c>
      <c r="E328" s="3">
        <f t="shared" si="18"/>
        <v>7.8920001983642605E-3</v>
      </c>
      <c r="F328" s="3">
        <f>ROUNDUP((0.015%*D328+10*0.01/(SQRT(3))),4)</f>
        <v>5.9000000000000004E-2</v>
      </c>
      <c r="G328" s="3">
        <f t="shared" si="19"/>
        <v>-4.8419056656869151</v>
      </c>
      <c r="H328" s="45"/>
    </row>
    <row r="329" spans="1:8" x14ac:dyDescent="0.25">
      <c r="A329" s="2">
        <v>736</v>
      </c>
      <c r="B329" s="3">
        <f t="shared" si="16"/>
        <v>0.73599999999999999</v>
      </c>
      <c r="C329" s="2">
        <f t="shared" si="17"/>
        <v>0.58940000000000003</v>
      </c>
      <c r="D329" s="2">
        <v>7.92799997329712</v>
      </c>
      <c r="E329" s="3">
        <f t="shared" si="18"/>
        <v>7.9279999732971198E-3</v>
      </c>
      <c r="F329" s="3">
        <f>ROUNDUP((0.015%*D329+10*0.01/(SQRT(3))),4)</f>
        <v>5.9000000000000004E-2</v>
      </c>
      <c r="G329" s="3">
        <f t="shared" si="19"/>
        <v>-4.8373544853226234</v>
      </c>
      <c r="H329" s="45"/>
    </row>
    <row r="330" spans="1:8" x14ac:dyDescent="0.25">
      <c r="A330" s="2">
        <v>737</v>
      </c>
      <c r="B330" s="3">
        <f t="shared" si="16"/>
        <v>0.73699999999999999</v>
      </c>
      <c r="C330" s="2">
        <f t="shared" si="17"/>
        <v>0.59019999999999995</v>
      </c>
      <c r="D330" s="2">
        <v>7.9489998817443803</v>
      </c>
      <c r="E330" s="3">
        <f t="shared" si="18"/>
        <v>7.9489998817443806E-3</v>
      </c>
      <c r="F330" s="3">
        <f>ROUNDUP((0.015%*D330+10*0.01/(SQRT(3))),4)</f>
        <v>5.9000000000000004E-2</v>
      </c>
      <c r="G330" s="3">
        <f t="shared" si="19"/>
        <v>-4.8347091592679536</v>
      </c>
      <c r="H330" s="45"/>
    </row>
    <row r="331" spans="1:8" x14ac:dyDescent="0.25">
      <c r="A331" s="2">
        <v>737</v>
      </c>
      <c r="B331" s="3">
        <f t="shared" si="16"/>
        <v>0.73699999999999999</v>
      </c>
      <c r="C331" s="2">
        <f t="shared" si="17"/>
        <v>0.59019999999999995</v>
      </c>
      <c r="D331" s="2">
        <v>7.9710001945495597</v>
      </c>
      <c r="E331" s="3">
        <f t="shared" si="18"/>
        <v>7.9710001945495594E-3</v>
      </c>
      <c r="F331" s="3">
        <f>ROUNDUP((0.015%*D331+10*0.01/(SQRT(3))),4)</f>
        <v>5.9000000000000004E-2</v>
      </c>
      <c r="G331" s="3">
        <f t="shared" si="19"/>
        <v>-4.8319452991291802</v>
      </c>
      <c r="H331" s="45"/>
    </row>
    <row r="332" spans="1:8" x14ac:dyDescent="0.25">
      <c r="A332" s="2">
        <v>738</v>
      </c>
      <c r="B332" s="3">
        <f t="shared" ref="B332:B395" si="20">A332*0.001</f>
        <v>0.73799999999999999</v>
      </c>
      <c r="C332" s="2">
        <f t="shared" ref="C332:C395" si="21">ROUNDUP((0.08%*A332+0.001/(SQRT(3))),4)</f>
        <v>0.59099999999999997</v>
      </c>
      <c r="D332" s="2">
        <v>8.0150003433227504</v>
      </c>
      <c r="E332" s="3">
        <f t="shared" ref="E332:E395" si="22">D332*0.001</f>
        <v>8.01500034332275E-3</v>
      </c>
      <c r="F332" s="3">
        <f>ROUNDUP((0.015%*D332+10*0.01/(SQRT(3))),4)</f>
        <v>5.9000000000000004E-2</v>
      </c>
      <c r="G332" s="3">
        <f t="shared" ref="G332:G395" si="23">LN(E332)</f>
        <v>-4.8264404500855935</v>
      </c>
      <c r="H332" s="45"/>
    </row>
    <row r="333" spans="1:8" x14ac:dyDescent="0.25">
      <c r="A333" s="2">
        <v>738</v>
      </c>
      <c r="B333" s="3">
        <f t="shared" si="20"/>
        <v>0.73799999999999999</v>
      </c>
      <c r="C333" s="2">
        <f t="shared" si="21"/>
        <v>0.59099999999999997</v>
      </c>
      <c r="D333" s="2">
        <v>8.0349998474121094</v>
      </c>
      <c r="E333" s="3">
        <f t="shared" si="22"/>
        <v>8.0349998474121102E-3</v>
      </c>
      <c r="F333" s="3">
        <f>ROUNDUP((0.015%*D333+10*0.01/(SQRT(3))),4)</f>
        <v>5.9000000000000004E-2</v>
      </c>
      <c r="G333" s="3">
        <f t="shared" si="23"/>
        <v>-4.8239482987830646</v>
      </c>
      <c r="H333" s="45"/>
    </row>
    <row r="334" spans="1:8" x14ac:dyDescent="0.25">
      <c r="A334" s="2">
        <v>739</v>
      </c>
      <c r="B334" s="3">
        <f t="shared" si="20"/>
        <v>0.73899999999999999</v>
      </c>
      <c r="C334" s="2">
        <f t="shared" si="21"/>
        <v>0.59179999999999999</v>
      </c>
      <c r="D334" s="2">
        <v>8.0950002670288104</v>
      </c>
      <c r="E334" s="3">
        <f t="shared" si="22"/>
        <v>8.0950002670288103E-3</v>
      </c>
      <c r="F334" s="3">
        <f>ROUNDUP((0.015%*D334+10*0.01/(SQRT(3))),4)</f>
        <v>5.9000000000000004E-2</v>
      </c>
      <c r="G334" s="3">
        <f t="shared" si="23"/>
        <v>-4.8165086588656569</v>
      </c>
      <c r="H334" s="45"/>
    </row>
    <row r="335" spans="1:8" x14ac:dyDescent="0.25">
      <c r="A335" s="2">
        <v>740</v>
      </c>
      <c r="B335" s="3">
        <f t="shared" si="20"/>
        <v>0.74</v>
      </c>
      <c r="C335" s="2">
        <f t="shared" si="21"/>
        <v>0.59260000000000002</v>
      </c>
      <c r="D335" s="2">
        <v>8.1370000839233398</v>
      </c>
      <c r="E335" s="3">
        <f t="shared" si="22"/>
        <v>8.1370000839233406E-3</v>
      </c>
      <c r="F335" s="3">
        <f>ROUNDUP((0.015%*D335+10*0.01/(SQRT(3))),4)</f>
        <v>5.9000000000000004E-2</v>
      </c>
      <c r="G335" s="3">
        <f t="shared" si="23"/>
        <v>-4.8113337069538229</v>
      </c>
      <c r="H335" s="45"/>
    </row>
    <row r="336" spans="1:8" x14ac:dyDescent="0.25">
      <c r="A336" s="2">
        <v>740</v>
      </c>
      <c r="B336" s="3">
        <f t="shared" si="20"/>
        <v>0.74</v>
      </c>
      <c r="C336" s="2">
        <f t="shared" si="21"/>
        <v>0.59260000000000002</v>
      </c>
      <c r="D336" s="2">
        <v>8.1820001602172905</v>
      </c>
      <c r="E336" s="3">
        <f t="shared" si="22"/>
        <v>8.1820001602172909E-3</v>
      </c>
      <c r="F336" s="3">
        <f>ROUNDUP((0.015%*D336+10*0.01/(SQRT(3))),4)</f>
        <v>5.9000000000000004E-2</v>
      </c>
      <c r="G336" s="3">
        <f t="shared" si="23"/>
        <v>-4.8058186398932525</v>
      </c>
      <c r="H336" s="45"/>
    </row>
    <row r="337" spans="1:8" x14ac:dyDescent="0.25">
      <c r="A337" s="2">
        <v>741</v>
      </c>
      <c r="B337" s="3">
        <f t="shared" si="20"/>
        <v>0.74099999999999999</v>
      </c>
      <c r="C337" s="2">
        <f t="shared" si="21"/>
        <v>0.59340000000000004</v>
      </c>
      <c r="D337" s="2">
        <v>8.2030000686645508</v>
      </c>
      <c r="E337" s="3">
        <f t="shared" si="22"/>
        <v>8.2030000686645517E-3</v>
      </c>
      <c r="F337" s="3">
        <f>ROUNDUP((0.015%*D337+10*0.01/(SQRT(3))),4)</f>
        <v>5.9000000000000004E-2</v>
      </c>
      <c r="G337" s="3">
        <f t="shared" si="23"/>
        <v>-4.8032553295908604</v>
      </c>
      <c r="H337" s="45"/>
    </row>
    <row r="338" spans="1:8" x14ac:dyDescent="0.25">
      <c r="A338" s="2">
        <v>742</v>
      </c>
      <c r="B338" s="3">
        <f t="shared" si="20"/>
        <v>0.74199999999999999</v>
      </c>
      <c r="C338" s="2">
        <f t="shared" si="21"/>
        <v>0.59419999999999995</v>
      </c>
      <c r="D338" s="2">
        <v>8.2729997634887695</v>
      </c>
      <c r="E338" s="3">
        <f t="shared" si="22"/>
        <v>8.2729997634887701E-3</v>
      </c>
      <c r="F338" s="3">
        <f>ROUNDUP((0.015%*D338+10*0.01/(SQRT(3))),4)</f>
        <v>5.9000000000000004E-2</v>
      </c>
      <c r="G338" s="3">
        <f t="shared" si="23"/>
        <v>-4.7947581073624184</v>
      </c>
      <c r="H338" s="45"/>
    </row>
    <row r="339" spans="1:8" x14ac:dyDescent="0.25">
      <c r="A339" s="2">
        <v>742</v>
      </c>
      <c r="B339" s="3">
        <f t="shared" si="20"/>
        <v>0.74199999999999999</v>
      </c>
      <c r="C339" s="2">
        <f t="shared" si="21"/>
        <v>0.59419999999999995</v>
      </c>
      <c r="D339" s="2">
        <v>8.3229999542236293</v>
      </c>
      <c r="E339" s="3">
        <f t="shared" si="22"/>
        <v>8.32299995422363E-3</v>
      </c>
      <c r="F339" s="3">
        <f>ROUNDUP((0.015%*D339+10*0.01/(SQRT(3))),4)</f>
        <v>5.9000000000000004E-2</v>
      </c>
      <c r="G339" s="3">
        <f t="shared" si="23"/>
        <v>-4.788732517718163</v>
      </c>
      <c r="H339" s="45"/>
    </row>
    <row r="340" spans="1:8" x14ac:dyDescent="0.25">
      <c r="A340" s="2">
        <v>743</v>
      </c>
      <c r="B340" s="3">
        <f t="shared" si="20"/>
        <v>0.74299999999999999</v>
      </c>
      <c r="C340" s="2">
        <f t="shared" si="21"/>
        <v>0.59499999999999997</v>
      </c>
      <c r="D340" s="2">
        <v>8.4160003662109393</v>
      </c>
      <c r="E340" s="3">
        <f t="shared" si="22"/>
        <v>8.4160003662109399E-3</v>
      </c>
      <c r="F340" s="3">
        <f>ROUNDUP((0.015%*D340+10*0.01/(SQRT(3))),4)</f>
        <v>5.9000000000000004E-2</v>
      </c>
      <c r="G340" s="3">
        <f t="shared" si="23"/>
        <v>-4.777620579473127</v>
      </c>
      <c r="H340" s="45"/>
    </row>
    <row r="341" spans="1:8" x14ac:dyDescent="0.25">
      <c r="A341" s="2">
        <v>745</v>
      </c>
      <c r="B341" s="3">
        <f t="shared" si="20"/>
        <v>0.745</v>
      </c>
      <c r="C341" s="2">
        <f t="shared" si="21"/>
        <v>0.59660000000000002</v>
      </c>
      <c r="D341" s="2">
        <v>8.5629997253418004</v>
      </c>
      <c r="E341" s="3">
        <f t="shared" si="22"/>
        <v>8.5629997253418005E-3</v>
      </c>
      <c r="F341" s="3">
        <f>ROUNDUP((0.015%*D341+10*0.01/(SQRT(3))),4)</f>
        <v>5.91E-2</v>
      </c>
      <c r="G341" s="3">
        <f t="shared" si="23"/>
        <v>-4.7603047150130795</v>
      </c>
      <c r="H341" s="45"/>
    </row>
    <row r="342" spans="1:8" x14ac:dyDescent="0.25">
      <c r="A342" s="2">
        <v>748</v>
      </c>
      <c r="B342" s="3">
        <f t="shared" si="20"/>
        <v>0.748</v>
      </c>
      <c r="C342" s="2">
        <f t="shared" si="21"/>
        <v>0.59899999999999998</v>
      </c>
      <c r="D342" s="2">
        <v>8.7279996871948207</v>
      </c>
      <c r="E342" s="3">
        <f t="shared" si="22"/>
        <v>8.7279996871948203E-3</v>
      </c>
      <c r="F342" s="3">
        <f>ROUNDUP((0.015%*D342+10*0.01/(SQRT(3))),4)</f>
        <v>5.91E-2</v>
      </c>
      <c r="G342" s="3">
        <f t="shared" si="23"/>
        <v>-4.7412190662906415</v>
      </c>
      <c r="H342" s="45"/>
    </row>
    <row r="343" spans="1:8" x14ac:dyDescent="0.25">
      <c r="A343" s="2">
        <v>748</v>
      </c>
      <c r="B343" s="3">
        <f t="shared" si="20"/>
        <v>0.748</v>
      </c>
      <c r="C343" s="2">
        <f t="shared" si="21"/>
        <v>0.59899999999999998</v>
      </c>
      <c r="D343" s="2">
        <v>8.7489995956420898</v>
      </c>
      <c r="E343" s="3">
        <f t="shared" si="22"/>
        <v>8.7489995956420898E-3</v>
      </c>
      <c r="F343" s="3">
        <f>ROUNDUP((0.015%*D343+10*0.01/(SQRT(3))),4)</f>
        <v>5.91E-2</v>
      </c>
      <c r="G343" s="3">
        <f t="shared" si="23"/>
        <v>-4.738815917075625</v>
      </c>
      <c r="H343" s="45"/>
    </row>
    <row r="344" spans="1:8" x14ac:dyDescent="0.25">
      <c r="A344" s="2">
        <v>748</v>
      </c>
      <c r="B344" s="3">
        <f t="shared" si="20"/>
        <v>0.748</v>
      </c>
      <c r="C344" s="2">
        <f t="shared" si="21"/>
        <v>0.59899999999999998</v>
      </c>
      <c r="D344" s="2">
        <v>8.7519998550415004</v>
      </c>
      <c r="E344" s="3">
        <f t="shared" si="22"/>
        <v>8.751999855041501E-3</v>
      </c>
      <c r="F344" s="3">
        <f>ROUNDUP((0.015%*D344+10*0.01/(SQRT(3))),4)</f>
        <v>5.91E-2</v>
      </c>
      <c r="G344" s="3">
        <f t="shared" si="23"/>
        <v>-4.7384730498654113</v>
      </c>
      <c r="H344" s="45"/>
    </row>
    <row r="345" spans="1:8" x14ac:dyDescent="0.25">
      <c r="A345" s="2">
        <v>748</v>
      </c>
      <c r="B345" s="3">
        <f t="shared" si="20"/>
        <v>0.748</v>
      </c>
      <c r="C345" s="2">
        <f t="shared" si="21"/>
        <v>0.59899999999999998</v>
      </c>
      <c r="D345" s="2">
        <v>8.7729997634887695</v>
      </c>
      <c r="E345" s="3">
        <f t="shared" si="22"/>
        <v>8.7729997634887705E-3</v>
      </c>
      <c r="F345" s="3">
        <f>ROUNDUP((0.015%*D345+10*0.01/(SQRT(3))),4)</f>
        <v>5.91E-2</v>
      </c>
      <c r="G345" s="3">
        <f t="shared" si="23"/>
        <v>-4.736076482794882</v>
      </c>
      <c r="H345" s="45"/>
    </row>
    <row r="346" spans="1:8" x14ac:dyDescent="0.25">
      <c r="A346" s="2">
        <v>750</v>
      </c>
      <c r="B346" s="3">
        <f t="shared" si="20"/>
        <v>0.75</v>
      </c>
      <c r="C346" s="2">
        <f t="shared" si="21"/>
        <v>0.60060000000000002</v>
      </c>
      <c r="D346" s="2">
        <v>8.8850002288818395</v>
      </c>
      <c r="E346" s="3">
        <f t="shared" si="22"/>
        <v>8.8850002288818394E-3</v>
      </c>
      <c r="F346" s="3">
        <f>ROUNDUP((0.015%*D346+10*0.01/(SQRT(3))),4)</f>
        <v>5.91E-2</v>
      </c>
      <c r="G346" s="3">
        <f t="shared" si="23"/>
        <v>-4.7233907916150457</v>
      </c>
      <c r="H346" s="45"/>
    </row>
    <row r="347" spans="1:8" x14ac:dyDescent="0.25">
      <c r="A347" s="2">
        <v>751</v>
      </c>
      <c r="B347" s="3">
        <f t="shared" si="20"/>
        <v>0.751</v>
      </c>
      <c r="C347" s="2">
        <f t="shared" si="21"/>
        <v>0.60139999999999993</v>
      </c>
      <c r="D347" s="2">
        <v>8.9250001907348597</v>
      </c>
      <c r="E347" s="3">
        <f t="shared" si="22"/>
        <v>8.9250001907348591E-3</v>
      </c>
      <c r="F347" s="3">
        <f>ROUNDUP((0.015%*D347+10*0.01/(SQRT(3))),4)</f>
        <v>5.91E-2</v>
      </c>
      <c r="G347" s="3">
        <f t="shared" si="23"/>
        <v>-4.7188989299455821</v>
      </c>
      <c r="H347" s="45"/>
    </row>
    <row r="348" spans="1:8" x14ac:dyDescent="0.25">
      <c r="A348" s="2">
        <v>751</v>
      </c>
      <c r="B348" s="3">
        <f t="shared" si="20"/>
        <v>0.751</v>
      </c>
      <c r="C348" s="2">
        <f t="shared" si="21"/>
        <v>0.60139999999999993</v>
      </c>
      <c r="D348" s="2">
        <v>8.9300003051757795</v>
      </c>
      <c r="E348" s="3">
        <f t="shared" si="22"/>
        <v>8.9300003051757792E-3</v>
      </c>
      <c r="F348" s="3">
        <f>ROUNDUP((0.015%*D348+10*0.01/(SQRT(3))),4)</f>
        <v>5.91E-2</v>
      </c>
      <c r="G348" s="3">
        <f t="shared" si="23"/>
        <v>-4.7183388499195109</v>
      </c>
      <c r="H348" s="45"/>
    </row>
    <row r="349" spans="1:8" x14ac:dyDescent="0.25">
      <c r="A349" s="2">
        <v>751</v>
      </c>
      <c r="B349" s="3">
        <f t="shared" si="20"/>
        <v>0.751</v>
      </c>
      <c r="C349" s="2">
        <f t="shared" si="21"/>
        <v>0.60139999999999993</v>
      </c>
      <c r="D349" s="2">
        <v>8.9689998626709002</v>
      </c>
      <c r="E349" s="3">
        <f t="shared" si="22"/>
        <v>8.9689998626709001E-3</v>
      </c>
      <c r="F349" s="3">
        <f>ROUNDUP((0.015%*D349+10*0.01/(SQRT(3))),4)</f>
        <v>5.91E-2</v>
      </c>
      <c r="G349" s="3">
        <f t="shared" si="23"/>
        <v>-4.7139811071577995</v>
      </c>
      <c r="H349" s="45"/>
    </row>
    <row r="350" spans="1:8" x14ac:dyDescent="0.25">
      <c r="A350" s="2">
        <v>752</v>
      </c>
      <c r="B350" s="3">
        <f t="shared" si="20"/>
        <v>0.752</v>
      </c>
      <c r="C350" s="2">
        <f t="shared" si="21"/>
        <v>0.60219999999999996</v>
      </c>
      <c r="D350" s="2">
        <v>9.01299953460693</v>
      </c>
      <c r="E350" s="3">
        <f t="shared" si="22"/>
        <v>9.0129995346069306E-3</v>
      </c>
      <c r="F350" s="3">
        <f>ROUNDUP((0.015%*D350+10*0.01/(SQRT(3))),4)</f>
        <v>5.91E-2</v>
      </c>
      <c r="G350" s="3">
        <f t="shared" si="23"/>
        <v>-4.709087351043622</v>
      </c>
      <c r="H350" s="45"/>
    </row>
    <row r="351" spans="1:8" x14ac:dyDescent="0.25">
      <c r="A351" s="2">
        <v>752</v>
      </c>
      <c r="B351" s="3">
        <f t="shared" si="20"/>
        <v>0.752</v>
      </c>
      <c r="C351" s="2">
        <f t="shared" si="21"/>
        <v>0.60219999999999996</v>
      </c>
      <c r="D351" s="2">
        <v>9.0509996414184606</v>
      </c>
      <c r="E351" s="3">
        <f t="shared" si="22"/>
        <v>9.0509996414184606E-3</v>
      </c>
      <c r="F351" s="3">
        <f>ROUNDUP((0.015%*D351+10*0.01/(SQRT(3))),4)</f>
        <v>5.91E-2</v>
      </c>
      <c r="G351" s="3">
        <f t="shared" si="23"/>
        <v>-4.7048800697549957</v>
      </c>
      <c r="H351" s="45"/>
    </row>
    <row r="352" spans="1:8" x14ac:dyDescent="0.25">
      <c r="A352" s="2">
        <v>753</v>
      </c>
      <c r="B352" s="3">
        <f t="shared" si="20"/>
        <v>0.753</v>
      </c>
      <c r="C352" s="2">
        <f t="shared" si="21"/>
        <v>0.60299999999999998</v>
      </c>
      <c r="D352" s="2">
        <v>9.0740003585815394</v>
      </c>
      <c r="E352" s="3">
        <f t="shared" si="22"/>
        <v>9.0740003585815399E-3</v>
      </c>
      <c r="F352" s="3">
        <f>ROUNDUP((0.015%*D352+10*0.01/(SQRT(3))),4)</f>
        <v>5.91E-2</v>
      </c>
      <c r="G352" s="3">
        <f t="shared" si="23"/>
        <v>-4.7023420582228939</v>
      </c>
      <c r="H352" s="45"/>
    </row>
    <row r="353" spans="1:8" x14ac:dyDescent="0.25">
      <c r="A353" s="2">
        <v>753</v>
      </c>
      <c r="B353" s="3">
        <f t="shared" si="20"/>
        <v>0.753</v>
      </c>
      <c r="C353" s="2">
        <f t="shared" si="21"/>
        <v>0.60299999999999998</v>
      </c>
      <c r="D353" s="2">
        <v>9.0970001220703107</v>
      </c>
      <c r="E353" s="3">
        <f t="shared" si="22"/>
        <v>9.0970001220703114E-3</v>
      </c>
      <c r="F353" s="3">
        <f>ROUNDUP((0.015%*D353+10*0.01/(SQRT(3))),4)</f>
        <v>5.91E-2</v>
      </c>
      <c r="G353" s="3">
        <f t="shared" si="23"/>
        <v>-4.6998105767234684</v>
      </c>
      <c r="H353" s="45"/>
    </row>
    <row r="354" spans="1:8" x14ac:dyDescent="0.25">
      <c r="A354" s="2">
        <v>754</v>
      </c>
      <c r="B354" s="3">
        <f t="shared" si="20"/>
        <v>0.754</v>
      </c>
      <c r="C354" s="2">
        <f t="shared" si="21"/>
        <v>0.6038</v>
      </c>
      <c r="D354" s="2">
        <v>9.1599998474121094</v>
      </c>
      <c r="E354" s="3">
        <f t="shared" si="22"/>
        <v>9.1599998474121095E-3</v>
      </c>
      <c r="F354" s="3">
        <f>ROUNDUP((0.015%*D354+10*0.01/(SQRT(3))),4)</f>
        <v>5.9200000000000003E-2</v>
      </c>
      <c r="G354" s="3">
        <f t="shared" si="23"/>
        <v>-4.6929091169541648</v>
      </c>
      <c r="H354" s="45"/>
    </row>
    <row r="355" spans="1:8" x14ac:dyDescent="0.25">
      <c r="A355" s="2">
        <v>754</v>
      </c>
      <c r="B355" s="3">
        <f t="shared" si="20"/>
        <v>0.754</v>
      </c>
      <c r="C355" s="2">
        <f t="shared" si="21"/>
        <v>0.6038</v>
      </c>
      <c r="D355" s="2">
        <v>9.1850004196166992</v>
      </c>
      <c r="E355" s="3">
        <f t="shared" si="22"/>
        <v>9.1850004196166995E-3</v>
      </c>
      <c r="F355" s="3">
        <f>ROUNDUP((0.015%*D355+10*0.01/(SQRT(3))),4)</f>
        <v>5.9200000000000003E-2</v>
      </c>
      <c r="G355" s="3">
        <f t="shared" si="23"/>
        <v>-4.6901835146300517</v>
      </c>
      <c r="H355" s="45"/>
    </row>
    <row r="356" spans="1:8" x14ac:dyDescent="0.25">
      <c r="A356" s="2">
        <v>754</v>
      </c>
      <c r="B356" s="3">
        <f t="shared" si="20"/>
        <v>0.754</v>
      </c>
      <c r="C356" s="2">
        <f t="shared" si="21"/>
        <v>0.6038</v>
      </c>
      <c r="D356" s="2">
        <v>9.2259998321533203</v>
      </c>
      <c r="E356" s="3">
        <f t="shared" si="22"/>
        <v>9.2259998321533206E-3</v>
      </c>
      <c r="F356" s="3">
        <f>ROUNDUP((0.015%*D356+10*0.01/(SQRT(3))),4)</f>
        <v>5.9200000000000003E-2</v>
      </c>
      <c r="G356" s="3">
        <f t="shared" si="23"/>
        <v>-4.685729712039298</v>
      </c>
      <c r="H356" s="45"/>
    </row>
    <row r="357" spans="1:8" x14ac:dyDescent="0.25">
      <c r="A357" s="2">
        <v>756</v>
      </c>
      <c r="B357" s="3">
        <f t="shared" si="20"/>
        <v>0.75600000000000001</v>
      </c>
      <c r="C357" s="2">
        <f t="shared" si="21"/>
        <v>0.60539999999999994</v>
      </c>
      <c r="D357" s="2">
        <v>9.3479995727539098</v>
      </c>
      <c r="E357" s="3">
        <f t="shared" si="22"/>
        <v>9.3479995727539095E-3</v>
      </c>
      <c r="F357" s="3">
        <f>ROUNDUP((0.015%*D357+10*0.01/(SQRT(3))),4)</f>
        <v>5.9200000000000003E-2</v>
      </c>
      <c r="G357" s="3">
        <f t="shared" si="23"/>
        <v>-4.6725929080100723</v>
      </c>
      <c r="H357" s="45"/>
    </row>
    <row r="358" spans="1:8" x14ac:dyDescent="0.25">
      <c r="A358" s="2">
        <v>756</v>
      </c>
      <c r="B358" s="3">
        <f t="shared" si="20"/>
        <v>0.75600000000000001</v>
      </c>
      <c r="C358" s="2">
        <f t="shared" si="21"/>
        <v>0.60539999999999994</v>
      </c>
      <c r="D358" s="2">
        <v>9.3710002899169904</v>
      </c>
      <c r="E358" s="3">
        <f t="shared" si="22"/>
        <v>9.3710002899169906E-3</v>
      </c>
      <c r="F358" s="3">
        <f>ROUNDUP((0.015%*D358+10*0.01/(SQRT(3))),4)</f>
        <v>5.9200000000000003E-2</v>
      </c>
      <c r="G358" s="3">
        <f t="shared" si="23"/>
        <v>-4.6701354339027716</v>
      </c>
      <c r="H358" s="45"/>
    </row>
    <row r="359" spans="1:8" x14ac:dyDescent="0.25">
      <c r="A359" s="2">
        <v>757</v>
      </c>
      <c r="B359" s="3">
        <f t="shared" si="20"/>
        <v>0.75700000000000001</v>
      </c>
      <c r="C359" s="2">
        <f t="shared" si="21"/>
        <v>0.60619999999999996</v>
      </c>
      <c r="D359" s="2">
        <v>9.3920001983642596</v>
      </c>
      <c r="E359" s="3">
        <f t="shared" si="22"/>
        <v>9.3920001983642601E-3</v>
      </c>
      <c r="F359" s="3">
        <f>ROUNDUP((0.015%*D359+10*0.01/(SQRT(3))),4)</f>
        <v>5.9200000000000003E-2</v>
      </c>
      <c r="G359" s="3">
        <f t="shared" si="23"/>
        <v>-4.6678969947758411</v>
      </c>
      <c r="H359" s="45"/>
    </row>
    <row r="360" spans="1:8" x14ac:dyDescent="0.25">
      <c r="A360" s="2">
        <v>757</v>
      </c>
      <c r="B360" s="3">
        <f t="shared" si="20"/>
        <v>0.75700000000000001</v>
      </c>
      <c r="C360" s="2">
        <f t="shared" si="21"/>
        <v>0.60619999999999996</v>
      </c>
      <c r="D360" s="2">
        <v>9.4119997024536097</v>
      </c>
      <c r="E360" s="3">
        <f t="shared" si="22"/>
        <v>9.4119997024536099E-3</v>
      </c>
      <c r="F360" s="3">
        <f>ROUNDUP((0.015%*D360+10*0.01/(SQRT(3))),4)</f>
        <v>5.9200000000000003E-2</v>
      </c>
      <c r="G360" s="3">
        <f t="shared" si="23"/>
        <v>-4.6657698397305349</v>
      </c>
      <c r="H360" s="45"/>
    </row>
    <row r="361" spans="1:8" x14ac:dyDescent="0.25">
      <c r="A361" s="2">
        <v>757</v>
      </c>
      <c r="B361" s="3">
        <f t="shared" si="20"/>
        <v>0.75700000000000001</v>
      </c>
      <c r="C361" s="2">
        <f t="shared" si="21"/>
        <v>0.60619999999999996</v>
      </c>
      <c r="D361" s="2">
        <v>9.4560003280639595</v>
      </c>
      <c r="E361" s="3">
        <f t="shared" si="22"/>
        <v>9.4560003280639605E-3</v>
      </c>
      <c r="F361" s="3">
        <f>ROUNDUP((0.015%*D361+10*0.01/(SQRT(3))),4)</f>
        <v>5.9200000000000003E-2</v>
      </c>
      <c r="G361" s="3">
        <f t="shared" si="23"/>
        <v>-4.6611057836246603</v>
      </c>
      <c r="H361" s="45"/>
    </row>
    <row r="362" spans="1:8" x14ac:dyDescent="0.25">
      <c r="A362" s="2">
        <v>758</v>
      </c>
      <c r="B362" s="3">
        <f t="shared" si="20"/>
        <v>0.75800000000000001</v>
      </c>
      <c r="C362" s="2">
        <f t="shared" si="21"/>
        <v>0.60699999999999998</v>
      </c>
      <c r="D362" s="2">
        <v>9.5109996795654297</v>
      </c>
      <c r="E362" s="3">
        <f t="shared" si="22"/>
        <v>9.5109996795654291E-3</v>
      </c>
      <c r="F362" s="3">
        <f>ROUNDUP((0.015%*D362+10*0.01/(SQRT(3))),4)</f>
        <v>5.9200000000000003E-2</v>
      </c>
      <c r="G362" s="3">
        <f t="shared" si="23"/>
        <v>-4.6553062891728336</v>
      </c>
      <c r="H362" s="45"/>
    </row>
    <row r="363" spans="1:8" x14ac:dyDescent="0.25">
      <c r="A363" s="2">
        <v>759</v>
      </c>
      <c r="B363" s="3">
        <f t="shared" si="20"/>
        <v>0.75900000000000001</v>
      </c>
      <c r="C363" s="2">
        <f t="shared" si="21"/>
        <v>0.60780000000000001</v>
      </c>
      <c r="D363" s="2">
        <v>9.5579996109008807</v>
      </c>
      <c r="E363" s="3">
        <f t="shared" si="22"/>
        <v>9.5579996109008813E-3</v>
      </c>
      <c r="F363" s="3">
        <f>ROUNDUP((0.015%*D363+10*0.01/(SQRT(3))),4)</f>
        <v>5.9200000000000003E-2</v>
      </c>
      <c r="G363" s="3">
        <f t="shared" si="23"/>
        <v>-4.6503768195354329</v>
      </c>
      <c r="H363" s="45"/>
    </row>
    <row r="364" spans="1:8" x14ac:dyDescent="0.25">
      <c r="A364" s="2">
        <v>760</v>
      </c>
      <c r="B364" s="3">
        <f t="shared" si="20"/>
        <v>0.76</v>
      </c>
      <c r="C364" s="2">
        <f t="shared" si="21"/>
        <v>0.60860000000000003</v>
      </c>
      <c r="D364" s="2">
        <v>9.61200046539307</v>
      </c>
      <c r="E364" s="3">
        <f t="shared" si="22"/>
        <v>9.6120004653930703E-3</v>
      </c>
      <c r="F364" s="3">
        <f>ROUNDUP((0.015%*D364+10*0.01/(SQRT(3))),4)</f>
        <v>5.9200000000000003E-2</v>
      </c>
      <c r="G364" s="3">
        <f t="shared" si="23"/>
        <v>-4.6447429126899937</v>
      </c>
      <c r="H364" s="45"/>
    </row>
    <row r="365" spans="1:8" x14ac:dyDescent="0.25">
      <c r="A365" s="2">
        <v>760</v>
      </c>
      <c r="B365" s="3">
        <f t="shared" si="20"/>
        <v>0.76</v>
      </c>
      <c r="C365" s="2">
        <f t="shared" si="21"/>
        <v>0.60860000000000003</v>
      </c>
      <c r="D365" s="2">
        <v>9.6470003128051793</v>
      </c>
      <c r="E365" s="3">
        <f t="shared" si="22"/>
        <v>9.6470003128051804E-3</v>
      </c>
      <c r="F365" s="3">
        <f>ROUNDUP((0.015%*D365+10*0.01/(SQRT(3))),4)</f>
        <v>5.9200000000000003E-2</v>
      </c>
      <c r="G365" s="3">
        <f t="shared" si="23"/>
        <v>-4.641108260368596</v>
      </c>
      <c r="H365" s="45"/>
    </row>
    <row r="366" spans="1:8" x14ac:dyDescent="0.25">
      <c r="A366" s="2">
        <v>761</v>
      </c>
      <c r="B366" s="3">
        <f t="shared" si="20"/>
        <v>0.76100000000000001</v>
      </c>
      <c r="C366" s="2">
        <f t="shared" si="21"/>
        <v>0.60939999999999994</v>
      </c>
      <c r="D366" s="2">
        <v>9.7089996337890607</v>
      </c>
      <c r="E366" s="3">
        <f t="shared" si="22"/>
        <v>9.7089996337890606E-3</v>
      </c>
      <c r="F366" s="3">
        <f>ROUNDUP((0.015%*D366+10*0.01/(SQRT(3))),4)</f>
        <v>5.9200000000000003E-2</v>
      </c>
      <c r="G366" s="3">
        <f t="shared" si="23"/>
        <v>-4.634702026312838</v>
      </c>
      <c r="H366" s="45"/>
    </row>
    <row r="367" spans="1:8" x14ac:dyDescent="0.25">
      <c r="A367" s="2">
        <v>762</v>
      </c>
      <c r="B367" s="3">
        <f t="shared" si="20"/>
        <v>0.76200000000000001</v>
      </c>
      <c r="C367" s="2">
        <f t="shared" si="21"/>
        <v>0.61019999999999996</v>
      </c>
      <c r="D367" s="2">
        <v>9.7740001678466797</v>
      </c>
      <c r="E367" s="3">
        <f t="shared" si="22"/>
        <v>9.7740001678466807E-3</v>
      </c>
      <c r="F367" s="3">
        <f>ROUNDUP((0.015%*D367+10*0.01/(SQRT(3))),4)</f>
        <v>5.9300000000000005E-2</v>
      </c>
      <c r="G367" s="3">
        <f t="shared" si="23"/>
        <v>-4.6280294629614014</v>
      </c>
      <c r="H367" s="45"/>
    </row>
    <row r="368" spans="1:8" x14ac:dyDescent="0.25">
      <c r="A368" s="2">
        <v>762</v>
      </c>
      <c r="B368" s="3">
        <f t="shared" si="20"/>
        <v>0.76200000000000001</v>
      </c>
      <c r="C368" s="2">
        <f t="shared" si="21"/>
        <v>0.61019999999999996</v>
      </c>
      <c r="D368" s="2">
        <v>9.8409996032714808</v>
      </c>
      <c r="E368" s="3">
        <f t="shared" si="22"/>
        <v>9.840999603271481E-3</v>
      </c>
      <c r="F368" s="3">
        <f>ROUNDUP((0.015%*D368+10*0.01/(SQRT(3))),4)</f>
        <v>5.9300000000000005E-2</v>
      </c>
      <c r="G368" s="3">
        <f t="shared" si="23"/>
        <v>-4.6211979873791318</v>
      </c>
      <c r="H368" s="45"/>
    </row>
    <row r="369" spans="1:8" x14ac:dyDescent="0.25">
      <c r="A369" s="2">
        <v>764</v>
      </c>
      <c r="B369" s="3">
        <f t="shared" si="20"/>
        <v>0.76400000000000001</v>
      </c>
      <c r="C369" s="2">
        <f t="shared" si="21"/>
        <v>0.61180000000000001</v>
      </c>
      <c r="D369" s="2">
        <v>9.9340000152587908</v>
      </c>
      <c r="E369" s="3">
        <f t="shared" si="22"/>
        <v>9.9340000152587909E-3</v>
      </c>
      <c r="F369" s="3">
        <f>ROUNDUP((0.015%*D369+10*0.01/(SQRT(3))),4)</f>
        <v>5.9300000000000005E-2</v>
      </c>
      <c r="G369" s="3">
        <f t="shared" si="23"/>
        <v>-4.6117920607609619</v>
      </c>
      <c r="H369" s="45"/>
    </row>
    <row r="370" spans="1:8" x14ac:dyDescent="0.25">
      <c r="A370" s="2">
        <v>764</v>
      </c>
      <c r="B370" s="3">
        <f t="shared" si="20"/>
        <v>0.76400000000000001</v>
      </c>
      <c r="C370" s="2">
        <f t="shared" si="21"/>
        <v>0.61180000000000001</v>
      </c>
      <c r="D370" s="2">
        <v>9.9759998321533203</v>
      </c>
      <c r="E370" s="3">
        <f t="shared" si="22"/>
        <v>9.9759998321533212E-3</v>
      </c>
      <c r="F370" s="3">
        <f>ROUNDUP((0.015%*D370+10*0.01/(SQRT(3))),4)</f>
        <v>5.9300000000000005E-2</v>
      </c>
      <c r="G370" s="3">
        <f t="shared" si="23"/>
        <v>-4.6075730874294498</v>
      </c>
      <c r="H370" s="45"/>
    </row>
    <row r="371" spans="1:8" x14ac:dyDescent="0.25">
      <c r="A371" s="2">
        <v>765</v>
      </c>
      <c r="B371" s="3">
        <f t="shared" si="20"/>
        <v>0.76500000000000001</v>
      </c>
      <c r="C371" s="2">
        <f t="shared" si="21"/>
        <v>0.61260000000000003</v>
      </c>
      <c r="D371" s="2">
        <v>9.9989995956420898</v>
      </c>
      <c r="E371" s="3">
        <f t="shared" si="22"/>
        <v>9.9989995956420892E-3</v>
      </c>
      <c r="F371" s="3">
        <f>ROUNDUP((0.015%*D371+10*0.01/(SQRT(3))),4)</f>
        <v>5.9300000000000005E-2</v>
      </c>
      <c r="G371" s="3">
        <f t="shared" si="23"/>
        <v>-4.6052702314282605</v>
      </c>
      <c r="H371" s="45"/>
    </row>
    <row r="372" spans="1:8" x14ac:dyDescent="0.25">
      <c r="A372" s="2">
        <v>765</v>
      </c>
      <c r="B372" s="3">
        <f t="shared" si="20"/>
        <v>0.76500000000000001</v>
      </c>
      <c r="C372" s="2">
        <f t="shared" si="21"/>
        <v>0.61260000000000003</v>
      </c>
      <c r="D372" s="2">
        <v>10.0349998474121</v>
      </c>
      <c r="E372" s="3">
        <f t="shared" si="22"/>
        <v>1.00349998474121E-2</v>
      </c>
      <c r="F372" s="3">
        <f>ROUNDUP((0.015%*D372+10*0.01/(SQRT(3))),4)</f>
        <v>5.9300000000000005E-2</v>
      </c>
      <c r="G372" s="3">
        <f t="shared" si="23"/>
        <v>-4.6016763119394062</v>
      </c>
      <c r="H372" s="45"/>
    </row>
    <row r="373" spans="1:8" x14ac:dyDescent="0.25">
      <c r="A373" s="2">
        <v>765</v>
      </c>
      <c r="B373" s="3">
        <f t="shared" si="20"/>
        <v>0.76500000000000001</v>
      </c>
      <c r="C373" s="2">
        <f t="shared" si="21"/>
        <v>0.61260000000000003</v>
      </c>
      <c r="D373" s="2">
        <v>10.0640001296997</v>
      </c>
      <c r="E373" s="3">
        <f t="shared" si="22"/>
        <v>1.0064000129699701E-2</v>
      </c>
      <c r="F373" s="3">
        <f>ROUNDUP((0.015%*D373+10*0.01/(SQRT(3))),4)</f>
        <v>5.9300000000000005E-2</v>
      </c>
      <c r="G373" s="3">
        <f t="shared" si="23"/>
        <v>-4.5987905661365627</v>
      </c>
      <c r="H373" s="45"/>
    </row>
    <row r="374" spans="1:8" x14ac:dyDescent="0.25">
      <c r="A374" s="2">
        <v>768</v>
      </c>
      <c r="B374" s="3">
        <f t="shared" si="20"/>
        <v>0.76800000000000002</v>
      </c>
      <c r="C374" s="2">
        <f t="shared" si="21"/>
        <v>0.61499999999999999</v>
      </c>
      <c r="D374" s="2">
        <v>10.2829999923706</v>
      </c>
      <c r="E374" s="3">
        <f t="shared" si="22"/>
        <v>1.02829999923706E-2</v>
      </c>
      <c r="F374" s="3">
        <f>ROUNDUP((0.015%*D374+10*0.01/(SQRT(3))),4)</f>
        <v>5.9300000000000005E-2</v>
      </c>
      <c r="G374" s="3">
        <f t="shared" si="23"/>
        <v>-4.5772632334770265</v>
      </c>
      <c r="H374" s="45"/>
    </row>
    <row r="375" spans="1:8" x14ac:dyDescent="0.25">
      <c r="A375" s="2">
        <v>769</v>
      </c>
      <c r="B375" s="3">
        <f t="shared" si="20"/>
        <v>0.76900000000000002</v>
      </c>
      <c r="C375" s="2">
        <f t="shared" si="21"/>
        <v>0.61580000000000001</v>
      </c>
      <c r="D375" s="2">
        <v>10.338000297546399</v>
      </c>
      <c r="E375" s="3">
        <f t="shared" si="22"/>
        <v>1.0338000297546399E-2</v>
      </c>
      <c r="F375" s="3">
        <f>ROUNDUP((0.015%*D375+10*0.01/(SQRT(3))),4)</f>
        <v>5.9300000000000005E-2</v>
      </c>
      <c r="G375" s="3">
        <f t="shared" si="23"/>
        <v>-4.5719288234264752</v>
      </c>
      <c r="H375" s="45"/>
    </row>
    <row r="376" spans="1:8" x14ac:dyDescent="0.25">
      <c r="A376" s="2">
        <v>769</v>
      </c>
      <c r="B376" s="3">
        <f t="shared" si="20"/>
        <v>0.76900000000000002</v>
      </c>
      <c r="C376" s="2">
        <f t="shared" si="21"/>
        <v>0.61580000000000001</v>
      </c>
      <c r="D376" s="2">
        <v>10.3620004653931</v>
      </c>
      <c r="E376" s="3">
        <f t="shared" si="22"/>
        <v>1.03620004653931E-2</v>
      </c>
      <c r="F376" s="3">
        <f>ROUNDUP((0.015%*D376+10*0.01/(SQRT(3))),4)</f>
        <v>5.9300000000000005E-2</v>
      </c>
      <c r="G376" s="3">
        <f t="shared" si="23"/>
        <v>-4.569609965676098</v>
      </c>
      <c r="H376" s="45"/>
    </row>
    <row r="377" spans="1:8" x14ac:dyDescent="0.25">
      <c r="A377" s="2">
        <v>769</v>
      </c>
      <c r="B377" s="3">
        <f t="shared" si="20"/>
        <v>0.76900000000000002</v>
      </c>
      <c r="C377" s="2">
        <f t="shared" si="21"/>
        <v>0.61580000000000001</v>
      </c>
      <c r="D377" s="2">
        <v>10.397000312805201</v>
      </c>
      <c r="E377" s="3">
        <f t="shared" si="22"/>
        <v>1.03970003128052E-2</v>
      </c>
      <c r="F377" s="3">
        <f>ROUNDUP((0.015%*D377+10*0.01/(SQRT(3))),4)</f>
        <v>5.9300000000000005E-2</v>
      </c>
      <c r="G377" s="3">
        <f t="shared" si="23"/>
        <v>-4.5662379459002027</v>
      </c>
      <c r="H377" s="45"/>
    </row>
    <row r="378" spans="1:8" x14ac:dyDescent="0.25">
      <c r="A378" s="2">
        <v>771</v>
      </c>
      <c r="B378" s="3">
        <f t="shared" si="20"/>
        <v>0.77100000000000002</v>
      </c>
      <c r="C378" s="2">
        <f t="shared" si="21"/>
        <v>0.61739999999999995</v>
      </c>
      <c r="D378" s="2">
        <v>10.5200004577637</v>
      </c>
      <c r="E378" s="3">
        <f t="shared" si="22"/>
        <v>1.05200004577637E-2</v>
      </c>
      <c r="F378" s="3">
        <f>ROUNDUP((0.015%*D378+10*0.01/(SQRT(3))),4)</f>
        <v>5.9400000000000001E-2</v>
      </c>
      <c r="G378" s="3">
        <f t="shared" si="23"/>
        <v>-4.5544770281589146</v>
      </c>
      <c r="H378" s="45"/>
    </row>
    <row r="379" spans="1:8" x14ac:dyDescent="0.25">
      <c r="A379" s="2">
        <v>772</v>
      </c>
      <c r="B379" s="3">
        <f t="shared" si="20"/>
        <v>0.77200000000000002</v>
      </c>
      <c r="C379" s="2">
        <f t="shared" si="21"/>
        <v>0.61819999999999997</v>
      </c>
      <c r="D379" s="2">
        <v>10.5769996643066</v>
      </c>
      <c r="E379" s="3">
        <f t="shared" si="22"/>
        <v>1.0576999664306599E-2</v>
      </c>
      <c r="F379" s="3">
        <f>ROUNDUP((0.015%*D379+10*0.01/(SQRT(3))),4)</f>
        <v>5.9400000000000001E-2</v>
      </c>
      <c r="G379" s="3">
        <f t="shared" si="23"/>
        <v>-4.5490734783742761</v>
      </c>
      <c r="H379" s="45"/>
    </row>
    <row r="380" spans="1:8" x14ac:dyDescent="0.25">
      <c r="A380" s="2">
        <v>773</v>
      </c>
      <c r="B380" s="3">
        <f t="shared" si="20"/>
        <v>0.77300000000000002</v>
      </c>
      <c r="C380" s="2">
        <f t="shared" si="21"/>
        <v>0.61899999999999999</v>
      </c>
      <c r="D380" s="2">
        <v>10.649000167846699</v>
      </c>
      <c r="E380" s="3">
        <f t="shared" si="22"/>
        <v>1.0649000167846699E-2</v>
      </c>
      <c r="F380" s="3">
        <f>ROUNDUP((0.015%*D380+10*0.01/(SQRT(3))),4)</f>
        <v>5.9400000000000001E-2</v>
      </c>
      <c r="G380" s="3">
        <f t="shared" si="23"/>
        <v>-4.5422892721871575</v>
      </c>
      <c r="H380" s="45"/>
    </row>
    <row r="381" spans="1:8" x14ac:dyDescent="0.25">
      <c r="A381" s="2">
        <v>773</v>
      </c>
      <c r="B381" s="3">
        <f t="shared" si="20"/>
        <v>0.77300000000000002</v>
      </c>
      <c r="C381" s="2">
        <f t="shared" si="21"/>
        <v>0.61899999999999999</v>
      </c>
      <c r="D381" s="2">
        <v>10.668999671936</v>
      </c>
      <c r="E381" s="3">
        <f t="shared" si="22"/>
        <v>1.0668999671936E-2</v>
      </c>
      <c r="F381" s="3">
        <f>ROUNDUP((0.015%*D381+10*0.01/(SQRT(3))),4)</f>
        <v>5.9400000000000001E-2</v>
      </c>
      <c r="G381" s="3">
        <f t="shared" si="23"/>
        <v>-4.5404129695220865</v>
      </c>
      <c r="H381" s="45"/>
    </row>
    <row r="382" spans="1:8" x14ac:dyDescent="0.25">
      <c r="A382" s="2">
        <v>775</v>
      </c>
      <c r="B382" s="3">
        <f t="shared" si="20"/>
        <v>0.77500000000000002</v>
      </c>
      <c r="C382" s="2">
        <f t="shared" si="21"/>
        <v>0.62060000000000004</v>
      </c>
      <c r="D382" s="2">
        <v>10.847999572753899</v>
      </c>
      <c r="E382" s="3">
        <f t="shared" si="22"/>
        <v>1.0847999572753899E-2</v>
      </c>
      <c r="F382" s="3">
        <f>ROUNDUP((0.015%*D382+10*0.01/(SQRT(3))),4)</f>
        <v>5.9400000000000001E-2</v>
      </c>
      <c r="G382" s="3">
        <f t="shared" si="23"/>
        <v>-4.5237745871688784</v>
      </c>
      <c r="H382" s="45"/>
    </row>
    <row r="383" spans="1:8" x14ac:dyDescent="0.25">
      <c r="A383" s="2">
        <v>775</v>
      </c>
      <c r="B383" s="3">
        <f t="shared" si="20"/>
        <v>0.77500000000000002</v>
      </c>
      <c r="C383" s="2">
        <f t="shared" si="21"/>
        <v>0.62060000000000004</v>
      </c>
      <c r="D383" s="2">
        <v>10.8649997711182</v>
      </c>
      <c r="E383" s="3">
        <f t="shared" si="22"/>
        <v>1.0864999771118199E-2</v>
      </c>
      <c r="F383" s="3">
        <f>ROUNDUP((0.015%*D383+10*0.01/(SQRT(3))),4)</f>
        <v>5.9400000000000001E-2</v>
      </c>
      <c r="G383" s="3">
        <f t="shared" si="23"/>
        <v>-4.5222086863397175</v>
      </c>
      <c r="H383" s="45"/>
    </row>
    <row r="384" spans="1:8" x14ac:dyDescent="0.25">
      <c r="A384" s="2">
        <v>776</v>
      </c>
      <c r="B384" s="3">
        <f t="shared" si="20"/>
        <v>0.77600000000000002</v>
      </c>
      <c r="C384" s="2">
        <f t="shared" si="21"/>
        <v>0.62139999999999995</v>
      </c>
      <c r="D384" s="2">
        <v>10.897000312805201</v>
      </c>
      <c r="E384" s="3">
        <f t="shared" si="22"/>
        <v>1.0897000312805201E-2</v>
      </c>
      <c r="F384" s="3">
        <f>ROUNDUP((0.015%*D384+10*0.01/(SQRT(3))),4)</f>
        <v>5.9400000000000001E-2</v>
      </c>
      <c r="G384" s="3">
        <f t="shared" si="23"/>
        <v>-4.519267728281763</v>
      </c>
      <c r="H384" s="45"/>
    </row>
    <row r="385" spans="1:8" x14ac:dyDescent="0.25">
      <c r="A385" s="2">
        <v>776</v>
      </c>
      <c r="B385" s="3">
        <f t="shared" si="20"/>
        <v>0.77600000000000002</v>
      </c>
      <c r="C385" s="2">
        <f t="shared" si="21"/>
        <v>0.62139999999999995</v>
      </c>
      <c r="D385" s="2">
        <v>10.9390001296997</v>
      </c>
      <c r="E385" s="3">
        <f t="shared" si="22"/>
        <v>1.09390001296997E-2</v>
      </c>
      <c r="F385" s="3">
        <f>ROUNDUP((0.015%*D385+10*0.01/(SQRT(3))),4)</f>
        <v>5.9400000000000001E-2</v>
      </c>
      <c r="G385" s="3">
        <f t="shared" si="23"/>
        <v>-4.5154208819878514</v>
      </c>
      <c r="H385" s="45"/>
    </row>
    <row r="386" spans="1:8" x14ac:dyDescent="0.25">
      <c r="A386" s="2">
        <v>777</v>
      </c>
      <c r="B386" s="3">
        <f t="shared" si="20"/>
        <v>0.77700000000000002</v>
      </c>
      <c r="C386" s="2">
        <f t="shared" si="21"/>
        <v>0.62219999999999998</v>
      </c>
      <c r="D386" s="2">
        <v>11.012000083923301</v>
      </c>
      <c r="E386" s="3">
        <f t="shared" si="22"/>
        <v>1.1012000083923302E-2</v>
      </c>
      <c r="F386" s="3">
        <f>ROUNDUP((0.015%*D386+10*0.01/(SQRT(3))),4)</f>
        <v>5.9400000000000001E-2</v>
      </c>
      <c r="G386" s="3">
        <f t="shared" si="23"/>
        <v>-4.5087696840806988</v>
      </c>
      <c r="H386" s="45"/>
    </row>
    <row r="387" spans="1:8" x14ac:dyDescent="0.25">
      <c r="A387" s="2">
        <v>778</v>
      </c>
      <c r="B387" s="3">
        <f t="shared" si="20"/>
        <v>0.77800000000000002</v>
      </c>
      <c r="C387" s="2">
        <f t="shared" si="21"/>
        <v>0.623</v>
      </c>
      <c r="D387" s="2">
        <v>11.145999908447299</v>
      </c>
      <c r="E387" s="3">
        <f t="shared" si="22"/>
        <v>1.11459999084473E-2</v>
      </c>
      <c r="F387" s="3">
        <f>ROUNDUP((0.015%*D387+10*0.01/(SQRT(3))),4)</f>
        <v>5.9500000000000004E-2</v>
      </c>
      <c r="G387" s="3">
        <f t="shared" si="23"/>
        <v>-4.4966745980487435</v>
      </c>
      <c r="H387" s="45"/>
    </row>
    <row r="388" spans="1:8" x14ac:dyDescent="0.25">
      <c r="A388" s="2">
        <v>779</v>
      </c>
      <c r="B388" s="3">
        <f t="shared" si="20"/>
        <v>0.77900000000000003</v>
      </c>
      <c r="C388" s="2">
        <f t="shared" si="21"/>
        <v>0.62380000000000002</v>
      </c>
      <c r="D388" s="2">
        <v>11.220999717712401</v>
      </c>
      <c r="E388" s="3">
        <f t="shared" si="22"/>
        <v>1.1220999717712401E-2</v>
      </c>
      <c r="F388" s="3">
        <f>ROUNDUP((0.015%*D388+10*0.01/(SQRT(3))),4)</f>
        <v>5.9500000000000004E-2</v>
      </c>
      <c r="G388" s="3">
        <f t="shared" si="23"/>
        <v>-4.4899682814564885</v>
      </c>
      <c r="H388" s="45"/>
    </row>
    <row r="389" spans="1:8" x14ac:dyDescent="0.25">
      <c r="A389" s="2">
        <v>780</v>
      </c>
      <c r="B389" s="3">
        <f t="shared" si="20"/>
        <v>0.78</v>
      </c>
      <c r="C389" s="2">
        <f t="shared" si="21"/>
        <v>0.62460000000000004</v>
      </c>
      <c r="D389" s="2">
        <v>11.2449998855591</v>
      </c>
      <c r="E389" s="3">
        <f t="shared" si="22"/>
        <v>1.12449998855591E-2</v>
      </c>
      <c r="F389" s="3">
        <f>ROUNDUP((0.015%*D389+10*0.01/(SQRT(3))),4)</f>
        <v>5.9500000000000004E-2</v>
      </c>
      <c r="G389" s="3">
        <f t="shared" si="23"/>
        <v>-4.4878317037479061</v>
      </c>
      <c r="H389" s="45"/>
    </row>
    <row r="390" spans="1:8" x14ac:dyDescent="0.25">
      <c r="A390" s="2">
        <v>780</v>
      </c>
      <c r="B390" s="3">
        <f t="shared" si="20"/>
        <v>0.78</v>
      </c>
      <c r="C390" s="2">
        <f t="shared" si="21"/>
        <v>0.62460000000000004</v>
      </c>
      <c r="D390" s="2">
        <v>11.310000419616699</v>
      </c>
      <c r="E390" s="3">
        <f t="shared" si="22"/>
        <v>1.13100004196167E-2</v>
      </c>
      <c r="F390" s="3">
        <f>ROUNDUP((0.015%*D390+10*0.01/(SQRT(3))),4)</f>
        <v>5.9500000000000004E-2</v>
      </c>
      <c r="G390" s="3">
        <f t="shared" si="23"/>
        <v>-4.4820679517527209</v>
      </c>
      <c r="H390" s="45"/>
    </row>
    <row r="391" spans="1:8" x14ac:dyDescent="0.25">
      <c r="A391" s="2">
        <v>780</v>
      </c>
      <c r="B391" s="3">
        <f t="shared" si="20"/>
        <v>0.78</v>
      </c>
      <c r="C391" s="2">
        <f t="shared" si="21"/>
        <v>0.62460000000000004</v>
      </c>
      <c r="D391" s="2">
        <v>11.3290004730225</v>
      </c>
      <c r="E391" s="3">
        <f t="shared" si="22"/>
        <v>1.13290004730225E-2</v>
      </c>
      <c r="F391" s="3">
        <f>ROUNDUP((0.015%*D391+10*0.01/(SQRT(3))),4)</f>
        <v>5.9500000000000004E-2</v>
      </c>
      <c r="G391" s="3">
        <f t="shared" si="23"/>
        <v>-4.4803894273375429</v>
      </c>
      <c r="H391" s="45"/>
    </row>
    <row r="392" spans="1:8" x14ac:dyDescent="0.25">
      <c r="A392" s="2">
        <v>781</v>
      </c>
      <c r="B392" s="3">
        <f t="shared" si="20"/>
        <v>0.78100000000000003</v>
      </c>
      <c r="C392" s="2">
        <f t="shared" si="21"/>
        <v>0.62539999999999996</v>
      </c>
      <c r="D392" s="2">
        <v>11.3500003814697</v>
      </c>
      <c r="E392" s="3">
        <f t="shared" si="22"/>
        <v>1.13500003814697E-2</v>
      </c>
      <c r="F392" s="3">
        <f>ROUNDUP((0.015%*D392+10*0.01/(SQRT(3))),4)</f>
        <v>5.9500000000000004E-2</v>
      </c>
      <c r="G392" s="3">
        <f t="shared" si="23"/>
        <v>-4.4785375014450608</v>
      </c>
      <c r="H392" s="45"/>
    </row>
    <row r="393" spans="1:8" x14ac:dyDescent="0.25">
      <c r="A393" s="2">
        <v>781</v>
      </c>
      <c r="B393" s="3">
        <f t="shared" si="20"/>
        <v>0.78100000000000003</v>
      </c>
      <c r="C393" s="2">
        <f t="shared" si="21"/>
        <v>0.62539999999999996</v>
      </c>
      <c r="D393" s="2">
        <v>11.387000083923301</v>
      </c>
      <c r="E393" s="3">
        <f t="shared" si="22"/>
        <v>1.13870000839233E-2</v>
      </c>
      <c r="F393" s="3">
        <f>ROUNDUP((0.015%*D393+10*0.01/(SQRT(3))),4)</f>
        <v>5.9500000000000004E-2</v>
      </c>
      <c r="G393" s="3">
        <f t="shared" si="23"/>
        <v>-4.4752829177835718</v>
      </c>
      <c r="H393" s="45"/>
    </row>
    <row r="394" spans="1:8" x14ac:dyDescent="0.25">
      <c r="A394" s="2">
        <v>781</v>
      </c>
      <c r="B394" s="3">
        <f t="shared" si="20"/>
        <v>0.78100000000000003</v>
      </c>
      <c r="C394" s="2">
        <f t="shared" si="21"/>
        <v>0.62539999999999996</v>
      </c>
      <c r="D394" s="2">
        <v>11.4230003356934</v>
      </c>
      <c r="E394" s="3">
        <f t="shared" si="22"/>
        <v>1.1423000335693401E-2</v>
      </c>
      <c r="F394" s="3">
        <f>ROUNDUP((0.015%*D394+10*0.01/(SQRT(3))),4)</f>
        <v>5.9500000000000004E-2</v>
      </c>
      <c r="G394" s="3">
        <f t="shared" si="23"/>
        <v>-4.4721263828428288</v>
      </c>
      <c r="H394" s="45"/>
    </row>
    <row r="395" spans="1:8" x14ac:dyDescent="0.25">
      <c r="A395" s="2">
        <v>782</v>
      </c>
      <c r="B395" s="3">
        <f t="shared" si="20"/>
        <v>0.78200000000000003</v>
      </c>
      <c r="C395" s="2">
        <f t="shared" si="21"/>
        <v>0.62619999999999998</v>
      </c>
      <c r="D395" s="2">
        <v>11.444999694824199</v>
      </c>
      <c r="E395" s="3">
        <f t="shared" si="22"/>
        <v>1.1444999694824199E-2</v>
      </c>
      <c r="F395" s="3">
        <f>ROUNDUP((0.015%*D395+10*0.01/(SQRT(3))),4)</f>
        <v>5.9500000000000004E-2</v>
      </c>
      <c r="G395" s="3">
        <f t="shared" si="23"/>
        <v>-4.4702023522421594</v>
      </c>
      <c r="H395" s="45"/>
    </row>
    <row r="396" spans="1:8" x14ac:dyDescent="0.25">
      <c r="A396" s="2">
        <v>782</v>
      </c>
      <c r="B396" s="3">
        <f t="shared" ref="B396:B459" si="24">A396*0.001</f>
        <v>0.78200000000000003</v>
      </c>
      <c r="C396" s="2">
        <f t="shared" ref="C396:C459" si="25">ROUNDUP((0.08%*A396+0.001/(SQRT(3))),4)</f>
        <v>0.62619999999999998</v>
      </c>
      <c r="D396" s="2">
        <v>11.4840002059937</v>
      </c>
      <c r="E396" s="3">
        <f t="shared" ref="E396:E459" si="26">D396*0.001</f>
        <v>1.1484000205993701E-2</v>
      </c>
      <c r="F396" s="3">
        <f>ROUNDUP((0.015%*D396+10*0.01/(SQRT(3))),4)</f>
        <v>5.9500000000000004E-2</v>
      </c>
      <c r="G396" s="3">
        <f t="shared" ref="G396:G459" si="27">LN(E396)</f>
        <v>-4.4668004987858678</v>
      </c>
      <c r="H396" s="45"/>
    </row>
    <row r="397" spans="1:8" x14ac:dyDescent="0.25">
      <c r="A397" s="2">
        <v>782</v>
      </c>
      <c r="B397" s="3">
        <f t="shared" si="24"/>
        <v>0.78200000000000003</v>
      </c>
      <c r="C397" s="2">
        <f t="shared" si="25"/>
        <v>0.62619999999999998</v>
      </c>
      <c r="D397" s="2">
        <v>11.486000061035201</v>
      </c>
      <c r="E397" s="3">
        <f t="shared" si="26"/>
        <v>1.1486000061035201E-2</v>
      </c>
      <c r="F397" s="3">
        <f>ROUNDUP((0.015%*D397+10*0.01/(SQRT(3))),4)</f>
        <v>5.9500000000000004E-2</v>
      </c>
      <c r="G397" s="3">
        <f t="shared" si="27"/>
        <v>-4.4666263712261545</v>
      </c>
      <c r="H397" s="45"/>
    </row>
    <row r="398" spans="1:8" x14ac:dyDescent="0.25">
      <c r="A398" s="2">
        <v>783</v>
      </c>
      <c r="B398" s="3">
        <f t="shared" si="24"/>
        <v>0.78300000000000003</v>
      </c>
      <c r="C398" s="2">
        <f t="shared" si="25"/>
        <v>0.627</v>
      </c>
      <c r="D398" s="2">
        <v>11.508999824523899</v>
      </c>
      <c r="E398" s="3">
        <f t="shared" si="26"/>
        <v>1.1508999824523899E-2</v>
      </c>
      <c r="F398" s="3">
        <f>ROUNDUP((0.015%*D398+10*0.01/(SQRT(3))),4)</f>
        <v>5.9500000000000004E-2</v>
      </c>
      <c r="G398" s="3">
        <f t="shared" si="27"/>
        <v>-4.4646259562426422</v>
      </c>
      <c r="H398" s="45"/>
    </row>
    <row r="399" spans="1:8" x14ac:dyDescent="0.25">
      <c r="A399" s="2">
        <v>783</v>
      </c>
      <c r="B399" s="3">
        <f t="shared" si="24"/>
        <v>0.78300000000000003</v>
      </c>
      <c r="C399" s="2">
        <f t="shared" si="25"/>
        <v>0.627</v>
      </c>
      <c r="D399" s="2">
        <v>11.600999832153301</v>
      </c>
      <c r="E399" s="3">
        <f t="shared" si="26"/>
        <v>1.1600999832153302E-2</v>
      </c>
      <c r="F399" s="3">
        <f>ROUNDUP((0.015%*D399+10*0.01/(SQRT(3))),4)</f>
        <v>5.9500000000000004E-2</v>
      </c>
      <c r="G399" s="3">
        <f t="shared" si="27"/>
        <v>-4.4566639921571634</v>
      </c>
      <c r="H399" s="45"/>
    </row>
    <row r="400" spans="1:8" x14ac:dyDescent="0.25">
      <c r="A400" s="2">
        <v>784</v>
      </c>
      <c r="B400" s="3">
        <f t="shared" si="24"/>
        <v>0.78400000000000003</v>
      </c>
      <c r="C400" s="2">
        <f t="shared" si="25"/>
        <v>0.62780000000000002</v>
      </c>
      <c r="D400" s="2">
        <v>11.645999908447299</v>
      </c>
      <c r="E400" s="3">
        <f t="shared" si="26"/>
        <v>1.1645999908447299E-2</v>
      </c>
      <c r="F400" s="3">
        <f>ROUNDUP((0.015%*D400+10*0.01/(SQRT(3))),4)</f>
        <v>5.9500000000000004E-2</v>
      </c>
      <c r="G400" s="3">
        <f t="shared" si="27"/>
        <v>-4.4527925134285091</v>
      </c>
      <c r="H400" s="45"/>
    </row>
    <row r="401" spans="1:8" x14ac:dyDescent="0.25">
      <c r="A401" s="2">
        <v>784</v>
      </c>
      <c r="B401" s="3">
        <f t="shared" si="24"/>
        <v>0.78400000000000003</v>
      </c>
      <c r="C401" s="2">
        <f t="shared" si="25"/>
        <v>0.62780000000000002</v>
      </c>
      <c r="D401" s="2">
        <v>11.6890001296997</v>
      </c>
      <c r="E401" s="3">
        <f t="shared" si="26"/>
        <v>1.16890001296997E-2</v>
      </c>
      <c r="F401" s="3">
        <f>ROUNDUP((0.015%*D401+10*0.01/(SQRT(3))),4)</f>
        <v>5.9500000000000004E-2</v>
      </c>
      <c r="G401" s="3">
        <f t="shared" si="27"/>
        <v>-4.4491070392606273</v>
      </c>
      <c r="H401" s="45"/>
    </row>
    <row r="402" spans="1:8" x14ac:dyDescent="0.25">
      <c r="A402" s="2">
        <v>785</v>
      </c>
      <c r="B402" s="3">
        <f t="shared" si="24"/>
        <v>0.78500000000000003</v>
      </c>
      <c r="C402" s="2">
        <f t="shared" si="25"/>
        <v>0.62859999999999994</v>
      </c>
      <c r="D402" s="2">
        <v>11.736000061035201</v>
      </c>
      <c r="E402" s="3">
        <f t="shared" si="26"/>
        <v>1.1736000061035201E-2</v>
      </c>
      <c r="F402" s="3">
        <f>ROUNDUP((0.015%*D402+10*0.01/(SQRT(3))),4)</f>
        <v>5.9500000000000004E-2</v>
      </c>
      <c r="G402" s="3">
        <f t="shared" si="27"/>
        <v>-4.4450942329407743</v>
      </c>
      <c r="H402" s="45"/>
    </row>
    <row r="403" spans="1:8" x14ac:dyDescent="0.25">
      <c r="A403" s="2">
        <v>787</v>
      </c>
      <c r="B403" s="3">
        <f t="shared" si="24"/>
        <v>0.78700000000000003</v>
      </c>
      <c r="C403" s="2">
        <f t="shared" si="25"/>
        <v>0.63019999999999998</v>
      </c>
      <c r="D403" s="2">
        <v>11.876000404357899</v>
      </c>
      <c r="E403" s="3">
        <f t="shared" si="26"/>
        <v>1.1876000404357899E-2</v>
      </c>
      <c r="F403" s="3">
        <f>ROUNDUP((0.015%*D403+10*0.01/(SQRT(3))),4)</f>
        <v>5.96E-2</v>
      </c>
      <c r="G403" s="3">
        <f t="shared" si="27"/>
        <v>-4.4332356880323003</v>
      </c>
      <c r="H403" s="45"/>
    </row>
    <row r="404" spans="1:8" x14ac:dyDescent="0.25">
      <c r="A404" s="2">
        <v>787</v>
      </c>
      <c r="B404" s="3">
        <f t="shared" si="24"/>
        <v>0.78700000000000003</v>
      </c>
      <c r="C404" s="2">
        <f t="shared" si="25"/>
        <v>0.63019999999999998</v>
      </c>
      <c r="D404" s="2">
        <v>11.916999816894499</v>
      </c>
      <c r="E404" s="3">
        <f t="shared" si="26"/>
        <v>1.1916999816894499E-2</v>
      </c>
      <c r="F404" s="3">
        <f>ROUNDUP((0.015%*D404+10*0.01/(SQRT(3))),4)</f>
        <v>5.96E-2</v>
      </c>
      <c r="G404" s="3">
        <f t="shared" si="27"/>
        <v>-4.4297893422385348</v>
      </c>
      <c r="H404" s="45"/>
    </row>
    <row r="405" spans="1:8" x14ac:dyDescent="0.25">
      <c r="A405" s="2">
        <v>788</v>
      </c>
      <c r="B405" s="3">
        <f t="shared" si="24"/>
        <v>0.78800000000000003</v>
      </c>
      <c r="C405" s="2">
        <f t="shared" si="25"/>
        <v>0.63100000000000001</v>
      </c>
      <c r="D405" s="2">
        <v>11.9390001296997</v>
      </c>
      <c r="E405" s="3">
        <f t="shared" si="26"/>
        <v>1.1939000129699701E-2</v>
      </c>
      <c r="F405" s="3">
        <f>ROUNDUP((0.015%*D405+10*0.01/(SQRT(3))),4)</f>
        <v>5.96E-2</v>
      </c>
      <c r="G405" s="3">
        <f t="shared" si="27"/>
        <v>-4.4279449157553543</v>
      </c>
      <c r="H405" s="45"/>
    </row>
    <row r="406" spans="1:8" x14ac:dyDescent="0.25">
      <c r="A406" s="2">
        <v>788</v>
      </c>
      <c r="B406" s="3">
        <f t="shared" si="24"/>
        <v>0.78800000000000003</v>
      </c>
      <c r="C406" s="2">
        <f t="shared" si="25"/>
        <v>0.63100000000000001</v>
      </c>
      <c r="D406" s="2">
        <v>11.987999916076699</v>
      </c>
      <c r="E406" s="3">
        <f t="shared" si="26"/>
        <v>1.19879999160767E-2</v>
      </c>
      <c r="F406" s="3">
        <f>ROUNDUP((0.015%*D406+10*0.01/(SQRT(3))),4)</f>
        <v>5.96E-2</v>
      </c>
      <c r="G406" s="3">
        <f t="shared" si="27"/>
        <v>-4.4238491365283297</v>
      </c>
      <c r="H406" s="45"/>
    </row>
    <row r="407" spans="1:8" x14ac:dyDescent="0.25">
      <c r="A407" s="2">
        <v>788</v>
      </c>
      <c r="B407" s="3">
        <f t="shared" si="24"/>
        <v>0.78800000000000003</v>
      </c>
      <c r="C407" s="2">
        <f t="shared" si="25"/>
        <v>0.63100000000000001</v>
      </c>
      <c r="D407" s="2">
        <v>12.0310001373291</v>
      </c>
      <c r="E407" s="3">
        <f t="shared" si="26"/>
        <v>1.20310001373291E-2</v>
      </c>
      <c r="F407" s="3">
        <f>ROUNDUP((0.015%*D407+10*0.01/(SQRT(3))),4)</f>
        <v>5.96E-2</v>
      </c>
      <c r="G407" s="3">
        <f t="shared" si="27"/>
        <v>-4.4202686155161457</v>
      </c>
      <c r="H407" s="45"/>
    </row>
    <row r="408" spans="1:8" x14ac:dyDescent="0.25">
      <c r="A408" s="2">
        <v>789</v>
      </c>
      <c r="B408" s="3">
        <f t="shared" si="24"/>
        <v>0.78900000000000003</v>
      </c>
      <c r="C408" s="2">
        <f t="shared" si="25"/>
        <v>0.63180000000000003</v>
      </c>
      <c r="D408" s="2">
        <v>12.0909996032715</v>
      </c>
      <c r="E408" s="3">
        <f t="shared" si="26"/>
        <v>1.20909996032715E-2</v>
      </c>
      <c r="F408" s="3">
        <f>ROUNDUP((0.015%*D408+10*0.01/(SQRT(3))),4)</f>
        <v>5.96E-2</v>
      </c>
      <c r="G408" s="3">
        <f t="shared" si="27"/>
        <v>-4.4152939376019127</v>
      </c>
      <c r="H408" s="45"/>
    </row>
    <row r="409" spans="1:8" x14ac:dyDescent="0.25">
      <c r="A409" s="2">
        <v>790</v>
      </c>
      <c r="B409" s="3">
        <f t="shared" si="24"/>
        <v>0.79</v>
      </c>
      <c r="C409" s="2">
        <f t="shared" si="25"/>
        <v>0.63259999999999994</v>
      </c>
      <c r="D409" s="2">
        <v>12.133999824523899</v>
      </c>
      <c r="E409" s="3">
        <f t="shared" si="26"/>
        <v>1.21339998245239E-2</v>
      </c>
      <c r="F409" s="3">
        <f>ROUNDUP((0.015%*D409+10*0.01/(SQRT(3))),4)</f>
        <v>5.96E-2</v>
      </c>
      <c r="G409" s="3">
        <f t="shared" si="27"/>
        <v>-4.4117438639235527</v>
      </c>
      <c r="H409" s="45"/>
    </row>
    <row r="410" spans="1:8" x14ac:dyDescent="0.25">
      <c r="A410" s="2">
        <v>790</v>
      </c>
      <c r="B410" s="3">
        <f t="shared" si="24"/>
        <v>0.79</v>
      </c>
      <c r="C410" s="2">
        <f t="shared" si="25"/>
        <v>0.63259999999999994</v>
      </c>
      <c r="D410" s="2">
        <v>12.203000068664601</v>
      </c>
      <c r="E410" s="3">
        <f t="shared" si="26"/>
        <v>1.22030000686646E-2</v>
      </c>
      <c r="F410" s="3">
        <f>ROUNDUP((0.015%*D410+10*0.01/(SQRT(3))),4)</f>
        <v>5.96E-2</v>
      </c>
      <c r="G410" s="3">
        <f t="shared" si="27"/>
        <v>-4.4060734502055725</v>
      </c>
      <c r="H410" s="45"/>
    </row>
    <row r="411" spans="1:8" x14ac:dyDescent="0.25">
      <c r="A411" s="2">
        <v>790</v>
      </c>
      <c r="B411" s="3">
        <f t="shared" si="24"/>
        <v>0.79</v>
      </c>
      <c r="C411" s="2">
        <f t="shared" si="25"/>
        <v>0.63259999999999994</v>
      </c>
      <c r="D411" s="2">
        <v>12.206000328064</v>
      </c>
      <c r="E411" s="3">
        <f t="shared" si="26"/>
        <v>1.2206000328064001E-2</v>
      </c>
      <c r="F411" s="3">
        <f>ROUNDUP((0.015%*D411+10*0.01/(SQRT(3))),4)</f>
        <v>5.96E-2</v>
      </c>
      <c r="G411" s="3">
        <f t="shared" si="27"/>
        <v>-4.4058276179825606</v>
      </c>
      <c r="H411" s="45"/>
    </row>
    <row r="412" spans="1:8" x14ac:dyDescent="0.25">
      <c r="A412" s="2">
        <v>791</v>
      </c>
      <c r="B412" s="3">
        <f t="shared" si="24"/>
        <v>0.79100000000000004</v>
      </c>
      <c r="C412" s="2">
        <f t="shared" si="25"/>
        <v>0.63339999999999996</v>
      </c>
      <c r="D412" s="2">
        <v>12.2679996490479</v>
      </c>
      <c r="E412" s="3">
        <f t="shared" si="26"/>
        <v>1.22679996490479E-2</v>
      </c>
      <c r="F412" s="3">
        <f>ROUNDUP((0.015%*D412+10*0.01/(SQRT(3))),4)</f>
        <v>5.96E-2</v>
      </c>
      <c r="G412" s="3">
        <f t="shared" si="27"/>
        <v>-4.4007610613372483</v>
      </c>
      <c r="H412" s="45"/>
    </row>
    <row r="413" spans="1:8" x14ac:dyDescent="0.25">
      <c r="A413" s="2">
        <v>791</v>
      </c>
      <c r="B413" s="3">
        <f t="shared" si="24"/>
        <v>0.79100000000000004</v>
      </c>
      <c r="C413" s="2">
        <f t="shared" si="25"/>
        <v>0.63339999999999996</v>
      </c>
      <c r="D413" s="2">
        <v>12.3079996109009</v>
      </c>
      <c r="E413" s="3">
        <f t="shared" si="26"/>
        <v>1.2307999610900901E-2</v>
      </c>
      <c r="F413" s="3">
        <f>ROUNDUP((0.015%*D413+10*0.01/(SQRT(3))),4)</f>
        <v>5.96E-2</v>
      </c>
      <c r="G413" s="3">
        <f t="shared" si="27"/>
        <v>-4.3975058531358533</v>
      </c>
      <c r="H413" s="45"/>
    </row>
    <row r="414" spans="1:8" x14ac:dyDescent="0.25">
      <c r="A414" s="2">
        <v>793</v>
      </c>
      <c r="B414" s="3">
        <f t="shared" si="24"/>
        <v>0.79300000000000004</v>
      </c>
      <c r="C414" s="2">
        <f t="shared" si="25"/>
        <v>0.63500000000000001</v>
      </c>
      <c r="D414" s="2">
        <v>12.453000068664601</v>
      </c>
      <c r="E414" s="3">
        <f t="shared" si="26"/>
        <v>1.2453000068664601E-2</v>
      </c>
      <c r="F414" s="3">
        <f>ROUNDUP((0.015%*D414+10*0.01/(SQRT(3))),4)</f>
        <v>5.9700000000000003E-2</v>
      </c>
      <c r="G414" s="3">
        <f t="shared" si="27"/>
        <v>-4.3857937157292257</v>
      </c>
      <c r="H414" s="45"/>
    </row>
    <row r="415" spans="1:8" x14ac:dyDescent="0.25">
      <c r="A415" s="2">
        <v>793</v>
      </c>
      <c r="B415" s="3">
        <f t="shared" si="24"/>
        <v>0.79300000000000004</v>
      </c>
      <c r="C415" s="2">
        <f t="shared" si="25"/>
        <v>0.63500000000000001</v>
      </c>
      <c r="D415" s="2">
        <v>12.4750003814697</v>
      </c>
      <c r="E415" s="3">
        <f t="shared" si="26"/>
        <v>1.24750003814697E-2</v>
      </c>
      <c r="F415" s="3">
        <f>ROUNDUP((0.015%*D415+10*0.01/(SQRT(3))),4)</f>
        <v>5.9700000000000003E-2</v>
      </c>
      <c r="G415" s="3">
        <f t="shared" si="27"/>
        <v>-4.3840286067658214</v>
      </c>
      <c r="H415" s="45"/>
    </row>
    <row r="416" spans="1:8" x14ac:dyDescent="0.25">
      <c r="A416" s="2">
        <v>794</v>
      </c>
      <c r="B416" s="3">
        <f t="shared" si="24"/>
        <v>0.79400000000000004</v>
      </c>
      <c r="C416" s="2">
        <f t="shared" si="25"/>
        <v>0.63580000000000003</v>
      </c>
      <c r="D416" s="2">
        <v>12.4980001449585</v>
      </c>
      <c r="E416" s="3">
        <f t="shared" si="26"/>
        <v>1.24980001449585E-2</v>
      </c>
      <c r="F416" s="3">
        <f>ROUNDUP((0.015%*D416+10*0.01/(SQRT(3))),4)</f>
        <v>5.9700000000000003E-2</v>
      </c>
      <c r="G416" s="3">
        <f t="shared" si="27"/>
        <v>-4.3821866358767112</v>
      </c>
      <c r="H416" s="45"/>
    </row>
    <row r="417" spans="1:8" x14ac:dyDescent="0.25">
      <c r="A417" s="2">
        <v>794</v>
      </c>
      <c r="B417" s="3">
        <f t="shared" si="24"/>
        <v>0.79400000000000004</v>
      </c>
      <c r="C417" s="2">
        <f t="shared" si="25"/>
        <v>0.63580000000000003</v>
      </c>
      <c r="D417" s="2">
        <v>12.548999786376999</v>
      </c>
      <c r="E417" s="3">
        <f t="shared" si="26"/>
        <v>1.2548999786377E-2</v>
      </c>
      <c r="F417" s="3">
        <f>ROUNDUP((0.015%*D417+10*0.01/(SQRT(3))),4)</f>
        <v>5.9700000000000003E-2</v>
      </c>
      <c r="G417" s="3">
        <f t="shared" si="27"/>
        <v>-4.3781143148770756</v>
      </c>
      <c r="H417" s="45"/>
    </row>
    <row r="418" spans="1:8" x14ac:dyDescent="0.25">
      <c r="A418" s="2">
        <v>796</v>
      </c>
      <c r="B418" s="3">
        <f t="shared" si="24"/>
        <v>0.79600000000000004</v>
      </c>
      <c r="C418" s="2">
        <f t="shared" si="25"/>
        <v>0.63739999999999997</v>
      </c>
      <c r="D418" s="2">
        <v>12.720999717712401</v>
      </c>
      <c r="E418" s="3">
        <f t="shared" si="26"/>
        <v>1.27209997177124E-2</v>
      </c>
      <c r="F418" s="3">
        <f>ROUNDUP((0.015%*D418+10*0.01/(SQRT(3))),4)</f>
        <v>5.9700000000000003E-2</v>
      </c>
      <c r="G418" s="3">
        <f t="shared" si="27"/>
        <v>-4.3645011299987404</v>
      </c>
      <c r="H418" s="45"/>
    </row>
    <row r="419" spans="1:8" x14ac:dyDescent="0.25">
      <c r="A419" s="2">
        <v>797</v>
      </c>
      <c r="B419" s="3">
        <f t="shared" si="24"/>
        <v>0.79700000000000004</v>
      </c>
      <c r="C419" s="2">
        <f t="shared" si="25"/>
        <v>0.63819999999999999</v>
      </c>
      <c r="D419" s="2">
        <v>12.770999908447299</v>
      </c>
      <c r="E419" s="3">
        <f t="shared" si="26"/>
        <v>1.27709999084473E-2</v>
      </c>
      <c r="F419" s="3">
        <f>ROUNDUP((0.015%*D419+10*0.01/(SQRT(3))),4)</f>
        <v>5.9700000000000003E-2</v>
      </c>
      <c r="G419" s="3">
        <f t="shared" si="27"/>
        <v>-4.360578310636809</v>
      </c>
      <c r="H419" s="45"/>
    </row>
    <row r="420" spans="1:8" x14ac:dyDescent="0.25">
      <c r="A420" s="2">
        <v>797</v>
      </c>
      <c r="B420" s="3">
        <f t="shared" si="24"/>
        <v>0.79700000000000004</v>
      </c>
      <c r="C420" s="2">
        <f t="shared" si="25"/>
        <v>0.63819999999999999</v>
      </c>
      <c r="D420" s="2">
        <v>12.8109998703003</v>
      </c>
      <c r="E420" s="3">
        <f t="shared" si="26"/>
        <v>1.2810999870300301E-2</v>
      </c>
      <c r="F420" s="3">
        <f>ROUNDUP((0.015%*D420+10*0.01/(SQRT(3))),4)</f>
        <v>5.9700000000000003E-2</v>
      </c>
      <c r="G420" s="3">
        <f t="shared" si="27"/>
        <v>-4.3574511122319288</v>
      </c>
      <c r="H420" s="45"/>
    </row>
    <row r="421" spans="1:8" x14ac:dyDescent="0.25">
      <c r="A421" s="2">
        <v>798</v>
      </c>
      <c r="B421" s="3">
        <f t="shared" si="24"/>
        <v>0.79800000000000004</v>
      </c>
      <c r="C421" s="2">
        <f t="shared" si="25"/>
        <v>0.63900000000000001</v>
      </c>
      <c r="D421" s="2">
        <v>12.897000312805201</v>
      </c>
      <c r="E421" s="3">
        <f t="shared" si="26"/>
        <v>1.2897000312805201E-2</v>
      </c>
      <c r="F421" s="3">
        <f>ROUNDUP((0.015%*D421+10*0.01/(SQRT(3))),4)</f>
        <v>5.9700000000000003E-2</v>
      </c>
      <c r="G421" s="3">
        <f t="shared" si="27"/>
        <v>-4.3507605285457771</v>
      </c>
      <c r="H421" s="45"/>
    </row>
    <row r="422" spans="1:8" x14ac:dyDescent="0.25">
      <c r="A422" s="2">
        <v>799</v>
      </c>
      <c r="B422" s="3">
        <f t="shared" si="24"/>
        <v>0.79900000000000004</v>
      </c>
      <c r="C422" s="2">
        <f t="shared" si="25"/>
        <v>0.63980000000000004</v>
      </c>
      <c r="D422" s="2">
        <v>12.991000175476101</v>
      </c>
      <c r="E422" s="3">
        <f t="shared" si="26"/>
        <v>1.2991000175476101E-2</v>
      </c>
      <c r="F422" s="3">
        <f>ROUNDUP((0.015%*D422+10*0.01/(SQRT(3))),4)</f>
        <v>5.9700000000000003E-2</v>
      </c>
      <c r="G422" s="3">
        <f t="shared" si="27"/>
        <v>-4.3434984554610283</v>
      </c>
      <c r="H422" s="45"/>
    </row>
    <row r="423" spans="1:8" x14ac:dyDescent="0.25">
      <c r="A423" s="2">
        <v>799</v>
      </c>
      <c r="B423" s="3">
        <f t="shared" si="24"/>
        <v>0.79900000000000004</v>
      </c>
      <c r="C423" s="2">
        <f t="shared" si="25"/>
        <v>0.63980000000000004</v>
      </c>
      <c r="D423" s="2">
        <v>13.0170001983643</v>
      </c>
      <c r="E423" s="3">
        <f t="shared" si="26"/>
        <v>1.3017000198364301E-2</v>
      </c>
      <c r="F423" s="3">
        <f>ROUNDUP((0.015%*D423+10*0.01/(SQRT(3))),4)</f>
        <v>5.9700000000000003E-2</v>
      </c>
      <c r="G423" s="3">
        <f t="shared" si="27"/>
        <v>-4.3414990682589494</v>
      </c>
      <c r="H423" s="45"/>
    </row>
    <row r="424" spans="1:8" x14ac:dyDescent="0.25">
      <c r="A424" s="2">
        <v>800</v>
      </c>
      <c r="B424" s="3">
        <f t="shared" si="24"/>
        <v>0.8</v>
      </c>
      <c r="C424" s="2">
        <f t="shared" si="25"/>
        <v>0.64059999999999995</v>
      </c>
      <c r="D424" s="2">
        <v>13.0690002441406</v>
      </c>
      <c r="E424" s="3">
        <f t="shared" si="26"/>
        <v>1.3069000244140601E-2</v>
      </c>
      <c r="F424" s="3">
        <f>ROUNDUP((0.015%*D424+10*0.01/(SQRT(3))),4)</f>
        <v>5.9700000000000003E-2</v>
      </c>
      <c r="G424" s="3">
        <f t="shared" si="27"/>
        <v>-4.3375122466863445</v>
      </c>
      <c r="H424" s="45"/>
    </row>
    <row r="425" spans="1:8" x14ac:dyDescent="0.25">
      <c r="A425" s="2">
        <v>800</v>
      </c>
      <c r="B425" s="3">
        <f t="shared" si="24"/>
        <v>0.8</v>
      </c>
      <c r="C425" s="2">
        <f t="shared" si="25"/>
        <v>0.64059999999999995</v>
      </c>
      <c r="D425" s="2">
        <v>13.154000282287599</v>
      </c>
      <c r="E425" s="3">
        <f t="shared" si="26"/>
        <v>1.31540002822876E-2</v>
      </c>
      <c r="F425" s="3">
        <f>ROUNDUP((0.015%*D425+10*0.01/(SQRT(3))),4)</f>
        <v>5.9800000000000006E-2</v>
      </c>
      <c r="G425" s="3">
        <f t="shared" si="27"/>
        <v>-4.3310293626427683</v>
      </c>
      <c r="H425" s="45"/>
    </row>
    <row r="426" spans="1:8" x14ac:dyDescent="0.25">
      <c r="A426" s="2">
        <v>801</v>
      </c>
      <c r="B426" s="3">
        <f t="shared" si="24"/>
        <v>0.80100000000000005</v>
      </c>
      <c r="C426" s="2">
        <f t="shared" si="25"/>
        <v>0.64139999999999997</v>
      </c>
      <c r="D426" s="2">
        <v>13.236000061035201</v>
      </c>
      <c r="E426" s="3">
        <f t="shared" si="26"/>
        <v>1.3236000061035201E-2</v>
      </c>
      <c r="F426" s="3">
        <f>ROUNDUP((0.015%*D426+10*0.01/(SQRT(3))),4)</f>
        <v>5.9800000000000006E-2</v>
      </c>
      <c r="G426" s="3">
        <f t="shared" si="27"/>
        <v>-4.3248148843114684</v>
      </c>
      <c r="H426" s="45"/>
    </row>
    <row r="427" spans="1:8" x14ac:dyDescent="0.25">
      <c r="A427" s="2">
        <v>802</v>
      </c>
      <c r="B427" s="3">
        <f t="shared" si="24"/>
        <v>0.80200000000000005</v>
      </c>
      <c r="C427" s="2">
        <f t="shared" si="25"/>
        <v>0.64219999999999999</v>
      </c>
      <c r="D427" s="2">
        <v>13.3009996414185</v>
      </c>
      <c r="E427" s="3">
        <f t="shared" si="26"/>
        <v>1.3300999641418501E-2</v>
      </c>
      <c r="F427" s="3">
        <f>ROUNDUP((0.015%*D427+10*0.01/(SQRT(3))),4)</f>
        <v>5.9800000000000006E-2</v>
      </c>
      <c r="G427" s="3">
        <f t="shared" si="27"/>
        <v>-4.3199160855699663</v>
      </c>
      <c r="H427" s="45"/>
    </row>
    <row r="428" spans="1:8" x14ac:dyDescent="0.25">
      <c r="A428" s="2">
        <v>802</v>
      </c>
      <c r="B428" s="3">
        <f t="shared" si="24"/>
        <v>0.80200000000000005</v>
      </c>
      <c r="C428" s="2">
        <f t="shared" si="25"/>
        <v>0.64219999999999999</v>
      </c>
      <c r="D428" s="2">
        <v>13.3369998931885</v>
      </c>
      <c r="E428" s="3">
        <f t="shared" si="26"/>
        <v>1.3336999893188499E-2</v>
      </c>
      <c r="F428" s="3">
        <f>ROUNDUP((0.015%*D428+10*0.01/(SQRT(3))),4)</f>
        <v>5.9800000000000006E-2</v>
      </c>
      <c r="G428" s="3">
        <f t="shared" si="27"/>
        <v>-4.3172131593505396</v>
      </c>
      <c r="H428" s="45"/>
    </row>
    <row r="429" spans="1:8" x14ac:dyDescent="0.25">
      <c r="A429" s="2">
        <v>803</v>
      </c>
      <c r="B429" s="3">
        <f t="shared" si="24"/>
        <v>0.80300000000000005</v>
      </c>
      <c r="C429" s="2">
        <f t="shared" si="25"/>
        <v>0.64300000000000002</v>
      </c>
      <c r="D429" s="2">
        <v>13.3769998550415</v>
      </c>
      <c r="E429" s="3">
        <f t="shared" si="26"/>
        <v>1.33769998550415E-2</v>
      </c>
      <c r="F429" s="3">
        <f>ROUNDUP((0.015%*D429+10*0.01/(SQRT(3))),4)</f>
        <v>5.9800000000000006E-2</v>
      </c>
      <c r="G429" s="3">
        <f t="shared" si="27"/>
        <v>-4.3142184755050863</v>
      </c>
      <c r="H429" s="45"/>
    </row>
    <row r="430" spans="1:8" x14ac:dyDescent="0.25">
      <c r="A430" s="2">
        <v>803</v>
      </c>
      <c r="B430" s="3">
        <f t="shared" si="24"/>
        <v>0.80300000000000005</v>
      </c>
      <c r="C430" s="2">
        <f t="shared" si="25"/>
        <v>0.64300000000000002</v>
      </c>
      <c r="D430" s="2">
        <v>13.432000160217299</v>
      </c>
      <c r="E430" s="3">
        <f t="shared" si="26"/>
        <v>1.3432000160217299E-2</v>
      </c>
      <c r="F430" s="3">
        <f>ROUNDUP((0.015%*D430+10*0.01/(SQRT(3))),4)</f>
        <v>5.9800000000000006E-2</v>
      </c>
      <c r="G430" s="3">
        <f t="shared" si="27"/>
        <v>-4.3101153472788676</v>
      </c>
      <c r="H430" s="45"/>
    </row>
    <row r="431" spans="1:8" x14ac:dyDescent="0.25">
      <c r="A431" s="2">
        <v>804</v>
      </c>
      <c r="B431" s="3">
        <f t="shared" si="24"/>
        <v>0.80400000000000005</v>
      </c>
      <c r="C431" s="2">
        <f t="shared" si="25"/>
        <v>0.64380000000000004</v>
      </c>
      <c r="D431" s="2">
        <v>13.4720001220703</v>
      </c>
      <c r="E431" s="3">
        <f t="shared" si="26"/>
        <v>1.34720001220703E-2</v>
      </c>
      <c r="F431" s="3">
        <f>ROUNDUP((0.015%*D431+10*0.01/(SQRT(3))),4)</f>
        <v>5.9800000000000006E-2</v>
      </c>
      <c r="G431" s="3">
        <f t="shared" si="27"/>
        <v>-4.3071418124211283</v>
      </c>
      <c r="H431" s="45"/>
    </row>
    <row r="432" spans="1:8" x14ac:dyDescent="0.25">
      <c r="A432" s="2">
        <v>804</v>
      </c>
      <c r="B432" s="3">
        <f t="shared" si="24"/>
        <v>0.80400000000000005</v>
      </c>
      <c r="C432" s="2">
        <f t="shared" si="25"/>
        <v>0.64380000000000004</v>
      </c>
      <c r="D432" s="2">
        <v>13.513999938964799</v>
      </c>
      <c r="E432" s="3">
        <f t="shared" si="26"/>
        <v>1.3513999938964799E-2</v>
      </c>
      <c r="F432" s="3">
        <f>ROUNDUP((0.015%*D432+10*0.01/(SQRT(3))),4)</f>
        <v>5.9800000000000006E-2</v>
      </c>
      <c r="G432" s="3">
        <f t="shared" si="27"/>
        <v>-4.3040290983685967</v>
      </c>
      <c r="H432" s="45"/>
    </row>
    <row r="433" spans="1:8" x14ac:dyDescent="0.25">
      <c r="A433" s="2">
        <v>805</v>
      </c>
      <c r="B433" s="3">
        <f t="shared" si="24"/>
        <v>0.80500000000000005</v>
      </c>
      <c r="C433" s="2">
        <f t="shared" si="25"/>
        <v>0.64459999999999995</v>
      </c>
      <c r="D433" s="2">
        <v>13.5380001068115</v>
      </c>
      <c r="E433" s="3">
        <f t="shared" si="26"/>
        <v>1.35380001068115E-2</v>
      </c>
      <c r="F433" s="3">
        <f>ROUNDUP((0.015%*D433+10*0.01/(SQRT(3))),4)</f>
        <v>5.9800000000000006E-2</v>
      </c>
      <c r="G433" s="3">
        <f t="shared" si="27"/>
        <v>-4.3022547250059668</v>
      </c>
      <c r="H433" s="45"/>
    </row>
    <row r="434" spans="1:8" x14ac:dyDescent="0.25">
      <c r="A434" s="2">
        <v>805</v>
      </c>
      <c r="B434" s="3">
        <f t="shared" si="24"/>
        <v>0.80500000000000005</v>
      </c>
      <c r="C434" s="2">
        <f t="shared" si="25"/>
        <v>0.64459999999999995</v>
      </c>
      <c r="D434" s="2">
        <v>13.5909996032715</v>
      </c>
      <c r="E434" s="3">
        <f t="shared" si="26"/>
        <v>1.35909996032715E-2</v>
      </c>
      <c r="F434" s="3">
        <f>ROUNDUP((0.015%*D434+10*0.01/(SQRT(3))),4)</f>
        <v>5.9800000000000006E-2</v>
      </c>
      <c r="G434" s="3">
        <f t="shared" si="27"/>
        <v>-4.2983474991994575</v>
      </c>
      <c r="H434" s="45"/>
    </row>
    <row r="435" spans="1:8" x14ac:dyDescent="0.25">
      <c r="A435" s="2">
        <v>806</v>
      </c>
      <c r="B435" s="3">
        <f t="shared" si="24"/>
        <v>0.80600000000000005</v>
      </c>
      <c r="C435" s="2">
        <f t="shared" si="25"/>
        <v>0.64539999999999997</v>
      </c>
      <c r="D435" s="2">
        <v>13.682000160217299</v>
      </c>
      <c r="E435" s="3">
        <f t="shared" si="26"/>
        <v>1.3682000160217299E-2</v>
      </c>
      <c r="F435" s="3">
        <f>ROUNDUP((0.015%*D435+10*0.01/(SQRT(3))),4)</f>
        <v>5.9800000000000006E-2</v>
      </c>
      <c r="G435" s="3">
        <f t="shared" si="27"/>
        <v>-4.2916741669332517</v>
      </c>
      <c r="H435" s="45"/>
    </row>
    <row r="436" spans="1:8" x14ac:dyDescent="0.25">
      <c r="A436" s="2">
        <v>806</v>
      </c>
      <c r="B436" s="3">
        <f t="shared" si="24"/>
        <v>0.80600000000000005</v>
      </c>
      <c r="C436" s="2">
        <f t="shared" si="25"/>
        <v>0.64539999999999997</v>
      </c>
      <c r="D436" s="2">
        <v>13.7189998626709</v>
      </c>
      <c r="E436" s="3">
        <f t="shared" si="26"/>
        <v>1.3718999862670901E-2</v>
      </c>
      <c r="F436" s="3">
        <f>ROUNDUP((0.015%*D436+10*0.01/(SQRT(3))),4)</f>
        <v>5.9800000000000006E-2</v>
      </c>
      <c r="G436" s="3">
        <f t="shared" si="27"/>
        <v>-4.2889735556482487</v>
      </c>
      <c r="H436" s="45"/>
    </row>
    <row r="437" spans="1:8" x14ac:dyDescent="0.25">
      <c r="A437" s="2">
        <v>807</v>
      </c>
      <c r="B437" s="3">
        <f t="shared" si="24"/>
        <v>0.80700000000000005</v>
      </c>
      <c r="C437" s="2">
        <f t="shared" si="25"/>
        <v>0.6462</v>
      </c>
      <c r="D437" s="2">
        <v>13.7629995346069</v>
      </c>
      <c r="E437" s="3">
        <f t="shared" si="26"/>
        <v>1.37629995346069E-2</v>
      </c>
      <c r="F437" s="3">
        <f>ROUNDUP((0.015%*D437+10*0.01/(SQRT(3))),4)</f>
        <v>5.9800000000000006E-2</v>
      </c>
      <c r="G437" s="3">
        <f t="shared" si="27"/>
        <v>-4.2857714807995428</v>
      </c>
      <c r="H437" s="45"/>
    </row>
    <row r="438" spans="1:8" x14ac:dyDescent="0.25">
      <c r="A438" s="2">
        <v>807</v>
      </c>
      <c r="B438" s="3">
        <f t="shared" si="24"/>
        <v>0.80700000000000005</v>
      </c>
      <c r="C438" s="2">
        <f t="shared" si="25"/>
        <v>0.6462</v>
      </c>
      <c r="D438" s="2">
        <v>13.786999702453601</v>
      </c>
      <c r="E438" s="3">
        <f t="shared" si="26"/>
        <v>1.3786999702453602E-2</v>
      </c>
      <c r="F438" s="3">
        <f>ROUNDUP((0.015%*D438+10*0.01/(SQRT(3))),4)</f>
        <v>5.9900000000000002E-2</v>
      </c>
      <c r="G438" s="3">
        <f t="shared" si="27"/>
        <v>-4.2840291813743088</v>
      </c>
      <c r="H438" s="45"/>
    </row>
    <row r="439" spans="1:8" x14ac:dyDescent="0.25">
      <c r="A439" s="2">
        <v>808</v>
      </c>
      <c r="B439" s="3">
        <f t="shared" si="24"/>
        <v>0.80800000000000005</v>
      </c>
      <c r="C439" s="2">
        <f t="shared" si="25"/>
        <v>0.64700000000000002</v>
      </c>
      <c r="D439" s="2">
        <v>13.902000427246101</v>
      </c>
      <c r="E439" s="3">
        <f t="shared" si="26"/>
        <v>1.3902000427246101E-2</v>
      </c>
      <c r="F439" s="3">
        <f>ROUNDUP((0.015%*D439+10*0.01/(SQRT(3))),4)</f>
        <v>5.9900000000000002E-2</v>
      </c>
      <c r="G439" s="3">
        <f t="shared" si="27"/>
        <v>-4.2757225335711357</v>
      </c>
      <c r="H439" s="45"/>
    </row>
    <row r="440" spans="1:8" x14ac:dyDescent="0.25">
      <c r="A440" s="2">
        <v>809</v>
      </c>
      <c r="B440" s="3">
        <f t="shared" si="24"/>
        <v>0.80900000000000005</v>
      </c>
      <c r="C440" s="2">
        <f t="shared" si="25"/>
        <v>0.64780000000000004</v>
      </c>
      <c r="D440" s="2">
        <v>13.947999954223601</v>
      </c>
      <c r="E440" s="3">
        <f t="shared" si="26"/>
        <v>1.39479999542236E-2</v>
      </c>
      <c r="F440" s="3">
        <f>ROUNDUP((0.015%*D440+10*0.01/(SQRT(3))),4)</f>
        <v>5.9900000000000002E-2</v>
      </c>
      <c r="G440" s="3">
        <f t="shared" si="27"/>
        <v>-4.2724191534506648</v>
      </c>
      <c r="H440" s="45"/>
    </row>
    <row r="441" spans="1:8" x14ac:dyDescent="0.25">
      <c r="A441" s="2">
        <v>809</v>
      </c>
      <c r="B441" s="3">
        <f t="shared" si="24"/>
        <v>0.80900000000000005</v>
      </c>
      <c r="C441" s="2">
        <f t="shared" si="25"/>
        <v>0.64780000000000004</v>
      </c>
      <c r="D441" s="2">
        <v>13.968000411987299</v>
      </c>
      <c r="E441" s="3">
        <f t="shared" si="26"/>
        <v>1.39680004119873E-2</v>
      </c>
      <c r="F441" s="3">
        <f>ROUNDUP((0.015%*D441+10*0.01/(SQRT(3))),4)</f>
        <v>5.9900000000000002E-2</v>
      </c>
      <c r="G441" s="3">
        <f t="shared" si="27"/>
        <v>-4.2709862503898099</v>
      </c>
      <c r="H441" s="45"/>
    </row>
    <row r="442" spans="1:8" x14ac:dyDescent="0.25">
      <c r="A442" s="2">
        <v>809</v>
      </c>
      <c r="B442" s="3">
        <f t="shared" si="24"/>
        <v>0.80900000000000005</v>
      </c>
      <c r="C442" s="2">
        <f t="shared" si="25"/>
        <v>0.64780000000000004</v>
      </c>
      <c r="D442" s="2">
        <v>13.9919996261597</v>
      </c>
      <c r="E442" s="3">
        <f t="shared" si="26"/>
        <v>1.39919996261597E-2</v>
      </c>
      <c r="F442" s="3">
        <f>ROUNDUP((0.015%*D442+10*0.01/(SQRT(3))),4)</f>
        <v>5.9900000000000002E-2</v>
      </c>
      <c r="G442" s="3">
        <f t="shared" si="27"/>
        <v>-4.2692695679839829</v>
      </c>
      <c r="H442" s="45"/>
    </row>
    <row r="443" spans="1:8" x14ac:dyDescent="0.25">
      <c r="A443" s="2">
        <v>810</v>
      </c>
      <c r="B443" s="3">
        <f t="shared" si="24"/>
        <v>0.81</v>
      </c>
      <c r="C443" s="2">
        <f t="shared" si="25"/>
        <v>0.64859999999999995</v>
      </c>
      <c r="D443" s="2">
        <v>14.012000083923301</v>
      </c>
      <c r="E443" s="3">
        <f t="shared" si="26"/>
        <v>1.4012000083923301E-2</v>
      </c>
      <c r="F443" s="3">
        <f>ROUNDUP((0.015%*D443+10*0.01/(SQRT(3))),4)</f>
        <v>5.9900000000000002E-2</v>
      </c>
      <c r="G443" s="3">
        <f t="shared" si="27"/>
        <v>-4.267841167657509</v>
      </c>
      <c r="H443" s="45"/>
    </row>
    <row r="444" spans="1:8" x14ac:dyDescent="0.25">
      <c r="A444" s="2">
        <v>810</v>
      </c>
      <c r="B444" s="3">
        <f t="shared" si="24"/>
        <v>0.81</v>
      </c>
      <c r="C444" s="2">
        <f t="shared" si="25"/>
        <v>0.64859999999999995</v>
      </c>
      <c r="D444" s="2">
        <v>14.0530004501343</v>
      </c>
      <c r="E444" s="3">
        <f t="shared" si="26"/>
        <v>1.4053000450134301E-2</v>
      </c>
      <c r="F444" s="3">
        <f>ROUNDUP((0.015%*D444+10*0.01/(SQRT(3))),4)</f>
        <v>5.9900000000000002E-2</v>
      </c>
      <c r="G444" s="3">
        <f t="shared" si="27"/>
        <v>-4.2649193508323409</v>
      </c>
      <c r="H444" s="45"/>
    </row>
    <row r="445" spans="1:8" x14ac:dyDescent="0.25">
      <c r="A445" s="2">
        <v>810</v>
      </c>
      <c r="B445" s="3">
        <f t="shared" si="24"/>
        <v>0.81</v>
      </c>
      <c r="C445" s="2">
        <f t="shared" si="25"/>
        <v>0.64859999999999995</v>
      </c>
      <c r="D445" s="2">
        <v>14.0719995498657</v>
      </c>
      <c r="E445" s="3">
        <f t="shared" si="26"/>
        <v>1.40719995498657E-2</v>
      </c>
      <c r="F445" s="3">
        <f>ROUNDUP((0.015%*D445+10*0.01/(SQRT(3))),4)</f>
        <v>5.9900000000000002E-2</v>
      </c>
      <c r="G445" s="3">
        <f t="shared" si="27"/>
        <v>-4.2635683035348215</v>
      </c>
      <c r="H445" s="45"/>
    </row>
    <row r="446" spans="1:8" x14ac:dyDescent="0.25">
      <c r="A446" s="2">
        <v>811</v>
      </c>
      <c r="B446" s="3">
        <f t="shared" si="24"/>
        <v>0.81100000000000005</v>
      </c>
      <c r="C446" s="2">
        <f t="shared" si="25"/>
        <v>0.64939999999999998</v>
      </c>
      <c r="D446" s="2">
        <v>14.1429996490479</v>
      </c>
      <c r="E446" s="3">
        <f t="shared" si="26"/>
        <v>1.41429996490479E-2</v>
      </c>
      <c r="F446" s="3">
        <f>ROUNDUP((0.015%*D446+10*0.01/(SQRT(3))),4)</f>
        <v>5.9900000000000002E-2</v>
      </c>
      <c r="G446" s="3">
        <f t="shared" si="27"/>
        <v>-4.2585355017583186</v>
      </c>
      <c r="H446" s="45"/>
    </row>
    <row r="447" spans="1:8" x14ac:dyDescent="0.25">
      <c r="A447" s="2">
        <v>811</v>
      </c>
      <c r="B447" s="3">
        <f t="shared" si="24"/>
        <v>0.81100000000000005</v>
      </c>
      <c r="C447" s="2">
        <f t="shared" si="25"/>
        <v>0.64939999999999998</v>
      </c>
      <c r="D447" s="2">
        <v>14.2159996032715</v>
      </c>
      <c r="E447" s="3">
        <f t="shared" si="26"/>
        <v>1.42159996032715E-2</v>
      </c>
      <c r="F447" s="3">
        <f>ROUNDUP((0.015%*D447+10*0.01/(SQRT(3))),4)</f>
        <v>5.9900000000000002E-2</v>
      </c>
      <c r="G447" s="3">
        <f t="shared" si="27"/>
        <v>-4.2533872160369697</v>
      </c>
      <c r="H447" s="45"/>
    </row>
    <row r="448" spans="1:8" x14ac:dyDescent="0.25">
      <c r="A448" s="2">
        <v>813</v>
      </c>
      <c r="B448" s="3">
        <f t="shared" si="24"/>
        <v>0.81300000000000006</v>
      </c>
      <c r="C448" s="2">
        <f t="shared" si="25"/>
        <v>0.65100000000000002</v>
      </c>
      <c r="D448" s="2">
        <v>14.3879995346069</v>
      </c>
      <c r="E448" s="3">
        <f t="shared" si="26"/>
        <v>1.4387999534606901E-2</v>
      </c>
      <c r="F448" s="3">
        <f>ROUNDUP((0.015%*D448+10*0.01/(SQRT(3))),4)</f>
        <v>5.9900000000000002E-2</v>
      </c>
      <c r="G448" s="3">
        <f t="shared" si="27"/>
        <v>-4.2413607854946802</v>
      </c>
      <c r="H448" s="45"/>
    </row>
    <row r="449" spans="1:8" x14ac:dyDescent="0.25">
      <c r="A449" s="2">
        <v>814</v>
      </c>
      <c r="B449" s="3">
        <f t="shared" si="24"/>
        <v>0.81400000000000006</v>
      </c>
      <c r="C449" s="2">
        <f t="shared" si="25"/>
        <v>0.65179999999999993</v>
      </c>
      <c r="D449" s="2">
        <v>14.5129995346069</v>
      </c>
      <c r="E449" s="3">
        <f t="shared" si="26"/>
        <v>1.4512999534606901E-2</v>
      </c>
      <c r="F449" s="3">
        <f>ROUNDUP((0.015%*D449+10*0.01/(SQRT(3))),4)</f>
        <v>6.0000000000000005E-2</v>
      </c>
      <c r="G449" s="3">
        <f t="shared" si="27"/>
        <v>-4.2327105115612378</v>
      </c>
      <c r="H449" s="45"/>
    </row>
    <row r="450" spans="1:8" x14ac:dyDescent="0.25">
      <c r="A450" s="2">
        <v>816</v>
      </c>
      <c r="B450" s="3">
        <f t="shared" si="24"/>
        <v>0.81600000000000006</v>
      </c>
      <c r="C450" s="2">
        <f t="shared" si="25"/>
        <v>0.65339999999999998</v>
      </c>
      <c r="D450" s="2">
        <v>14.6560001373291</v>
      </c>
      <c r="E450" s="3">
        <f t="shared" si="26"/>
        <v>1.46560001373291E-2</v>
      </c>
      <c r="F450" s="3">
        <f>ROUNDUP((0.015%*D450+10*0.01/(SQRT(3))),4)</f>
        <v>6.0000000000000005E-2</v>
      </c>
      <c r="G450" s="3">
        <f t="shared" si="27"/>
        <v>-4.2229054616802006</v>
      </c>
      <c r="H450" s="45"/>
    </row>
    <row r="451" spans="1:8" x14ac:dyDescent="0.25">
      <c r="A451" s="2">
        <v>816</v>
      </c>
      <c r="B451" s="3">
        <f t="shared" si="24"/>
        <v>0.81600000000000006</v>
      </c>
      <c r="C451" s="2">
        <f t="shared" si="25"/>
        <v>0.65339999999999998</v>
      </c>
      <c r="D451" s="2">
        <v>14.699999809265099</v>
      </c>
      <c r="E451" s="3">
        <f t="shared" si="26"/>
        <v>1.4699999809265099E-2</v>
      </c>
      <c r="F451" s="3">
        <f>ROUNDUP((0.015%*D451+10*0.01/(SQRT(3))),4)</f>
        <v>6.0000000000000005E-2</v>
      </c>
      <c r="G451" s="3">
        <f t="shared" si="27"/>
        <v>-4.2199077981726099</v>
      </c>
      <c r="H451" s="45"/>
    </row>
    <row r="452" spans="1:8" x14ac:dyDescent="0.25">
      <c r="A452" s="2">
        <v>816</v>
      </c>
      <c r="B452" s="3">
        <f t="shared" si="24"/>
        <v>0.81600000000000006</v>
      </c>
      <c r="C452" s="2">
        <f t="shared" si="25"/>
        <v>0.65339999999999998</v>
      </c>
      <c r="D452" s="2">
        <v>14.7200002670288</v>
      </c>
      <c r="E452" s="3">
        <f t="shared" si="26"/>
        <v>1.4720000267028801E-2</v>
      </c>
      <c r="F452" s="3">
        <f>ROUNDUP((0.015%*D452+10*0.01/(SQRT(3))),4)</f>
        <v>6.0000000000000005E-2</v>
      </c>
      <c r="G452" s="3">
        <f t="shared" si="27"/>
        <v>-4.2185481475408633</v>
      </c>
      <c r="H452" s="45"/>
    </row>
    <row r="453" spans="1:8" x14ac:dyDescent="0.25">
      <c r="A453" s="2">
        <v>817</v>
      </c>
      <c r="B453" s="3">
        <f t="shared" si="24"/>
        <v>0.81700000000000006</v>
      </c>
      <c r="C453" s="2">
        <f t="shared" si="25"/>
        <v>0.6542</v>
      </c>
      <c r="D453" s="2">
        <v>14.760999679565399</v>
      </c>
      <c r="E453" s="3">
        <f t="shared" si="26"/>
        <v>1.4760999679565399E-2</v>
      </c>
      <c r="F453" s="3">
        <f>ROUNDUP((0.015%*D453+10*0.01/(SQRT(3))),4)</f>
        <v>6.0000000000000005E-2</v>
      </c>
      <c r="G453" s="3">
        <f t="shared" si="27"/>
        <v>-4.2157667331354682</v>
      </c>
      <c r="H453" s="45"/>
    </row>
    <row r="454" spans="1:8" x14ac:dyDescent="0.25">
      <c r="A454" s="2">
        <v>818</v>
      </c>
      <c r="B454" s="3">
        <f t="shared" si="24"/>
        <v>0.81800000000000006</v>
      </c>
      <c r="C454" s="2">
        <f t="shared" si="25"/>
        <v>0.65500000000000003</v>
      </c>
      <c r="D454" s="2">
        <v>14.850999832153301</v>
      </c>
      <c r="E454" s="3">
        <f t="shared" si="26"/>
        <v>1.4850999832153301E-2</v>
      </c>
      <c r="F454" s="3">
        <f>ROUNDUP((0.015%*D454+10*0.01/(SQRT(3))),4)</f>
        <v>6.0000000000000005E-2</v>
      </c>
      <c r="G454" s="3">
        <f t="shared" si="27"/>
        <v>-4.2096880872353761</v>
      </c>
      <c r="H454" s="45"/>
    </row>
    <row r="455" spans="1:8" x14ac:dyDescent="0.25">
      <c r="A455" s="2">
        <v>818</v>
      </c>
      <c r="B455" s="3">
        <f t="shared" si="24"/>
        <v>0.81800000000000006</v>
      </c>
      <c r="C455" s="2">
        <f t="shared" si="25"/>
        <v>0.65500000000000003</v>
      </c>
      <c r="D455" s="2">
        <v>14.895999908447299</v>
      </c>
      <c r="E455" s="3">
        <f t="shared" si="26"/>
        <v>1.48959999084473E-2</v>
      </c>
      <c r="F455" s="3">
        <f>ROUNDUP((0.015%*D455+10*0.01/(SQRT(3))),4)</f>
        <v>6.0000000000000005E-2</v>
      </c>
      <c r="G455" s="3">
        <f t="shared" si="27"/>
        <v>-4.206662564593552</v>
      </c>
      <c r="H455" s="45"/>
    </row>
    <row r="456" spans="1:8" x14ac:dyDescent="0.25">
      <c r="A456" s="2">
        <v>819</v>
      </c>
      <c r="B456" s="3">
        <f t="shared" si="24"/>
        <v>0.81900000000000006</v>
      </c>
      <c r="C456" s="2">
        <f t="shared" si="25"/>
        <v>0.65579999999999994</v>
      </c>
      <c r="D456" s="2">
        <v>14.956000328064</v>
      </c>
      <c r="E456" s="3">
        <f t="shared" si="26"/>
        <v>1.4956000328064E-2</v>
      </c>
      <c r="F456" s="3">
        <f>ROUNDUP((0.015%*D456+10*0.01/(SQRT(3))),4)</f>
        <v>6.0000000000000005E-2</v>
      </c>
      <c r="G456" s="3">
        <f t="shared" si="27"/>
        <v>-4.2026426999319932</v>
      </c>
      <c r="H456" s="45"/>
    </row>
    <row r="457" spans="1:8" x14ac:dyDescent="0.25">
      <c r="A457" s="2">
        <v>819</v>
      </c>
      <c r="B457" s="3">
        <f t="shared" si="24"/>
        <v>0.81900000000000006</v>
      </c>
      <c r="C457" s="2">
        <f t="shared" si="25"/>
        <v>0.65579999999999994</v>
      </c>
      <c r="D457" s="2">
        <v>14.9829998016357</v>
      </c>
      <c r="E457" s="3">
        <f t="shared" si="26"/>
        <v>1.4982999801635699E-2</v>
      </c>
      <c r="F457" s="3">
        <f>ROUNDUP((0.015%*D457+10*0.01/(SQRT(3))),4)</f>
        <v>6.0000000000000005E-2</v>
      </c>
      <c r="G457" s="3">
        <f t="shared" si="27"/>
        <v>-4.2008390671604214</v>
      </c>
      <c r="H457" s="45"/>
    </row>
    <row r="458" spans="1:8" x14ac:dyDescent="0.25">
      <c r="A458" s="2">
        <v>820</v>
      </c>
      <c r="B458" s="3">
        <f t="shared" si="24"/>
        <v>0.82000000000000006</v>
      </c>
      <c r="C458" s="2">
        <f t="shared" si="25"/>
        <v>0.65659999999999996</v>
      </c>
      <c r="D458" s="2">
        <v>15.0719995498657</v>
      </c>
      <c r="E458" s="3">
        <f t="shared" si="26"/>
        <v>1.5071999549865701E-2</v>
      </c>
      <c r="F458" s="3">
        <f>ROUNDUP((0.015%*D458+10*0.01/(SQRT(3))),4)</f>
        <v>6.0000000000000005E-2</v>
      </c>
      <c r="G458" s="3">
        <f t="shared" si="27"/>
        <v>-4.1949165910137287</v>
      </c>
      <c r="H458" s="45"/>
    </row>
    <row r="459" spans="1:8" x14ac:dyDescent="0.25">
      <c r="A459" s="2">
        <v>820</v>
      </c>
      <c r="B459" s="3">
        <f t="shared" si="24"/>
        <v>0.82000000000000006</v>
      </c>
      <c r="C459" s="2">
        <f t="shared" si="25"/>
        <v>0.65659999999999996</v>
      </c>
      <c r="D459" s="2">
        <v>15.116000175476101</v>
      </c>
      <c r="E459" s="3">
        <f t="shared" si="26"/>
        <v>1.5116000175476102E-2</v>
      </c>
      <c r="F459" s="3">
        <f>ROUNDUP((0.015%*D459+10*0.01/(SQRT(3))),4)</f>
        <v>6.0100000000000001E-2</v>
      </c>
      <c r="G459" s="3">
        <f t="shared" si="27"/>
        <v>-4.192001481886261</v>
      </c>
      <c r="H459" s="45"/>
    </row>
    <row r="460" spans="1:8" x14ac:dyDescent="0.25">
      <c r="A460" s="2">
        <v>821</v>
      </c>
      <c r="B460" s="3">
        <f t="shared" ref="B460:B523" si="28">A460*0.001</f>
        <v>0.82100000000000006</v>
      </c>
      <c r="C460" s="2">
        <f t="shared" ref="C460:C523" si="29">ROUNDUP((0.08%*A460+0.001/(SQRT(3))),4)</f>
        <v>0.65739999999999998</v>
      </c>
      <c r="D460" s="2">
        <v>15.1759996414185</v>
      </c>
      <c r="E460" s="3">
        <f t="shared" ref="E460:E523" si="30">D460*0.001</f>
        <v>1.5175999641418501E-2</v>
      </c>
      <c r="F460" s="3">
        <f>ROUNDUP((0.015%*D460+10*0.01/(SQRT(3))),4)</f>
        <v>6.0100000000000001E-2</v>
      </c>
      <c r="G460" s="3">
        <f t="shared" ref="G460:G523" si="31">LN(E460)</f>
        <v>-4.1880400699776201</v>
      </c>
      <c r="H460" s="45"/>
    </row>
    <row r="461" spans="1:8" x14ac:dyDescent="0.25">
      <c r="A461" s="2">
        <v>821</v>
      </c>
      <c r="B461" s="3">
        <f t="shared" si="28"/>
        <v>0.82100000000000006</v>
      </c>
      <c r="C461" s="2">
        <f t="shared" si="29"/>
        <v>0.65739999999999998</v>
      </c>
      <c r="D461" s="2">
        <v>15.213000297546399</v>
      </c>
      <c r="E461" s="3">
        <f t="shared" si="30"/>
        <v>1.52130002975464E-2</v>
      </c>
      <c r="F461" s="3">
        <f>ROUNDUP((0.015%*D461+10*0.01/(SQRT(3))),4)</f>
        <v>6.0100000000000001E-2</v>
      </c>
      <c r="G461" s="3">
        <f t="shared" si="31"/>
        <v>-4.1856049339424519</v>
      </c>
      <c r="H461" s="45"/>
    </row>
    <row r="462" spans="1:8" x14ac:dyDescent="0.25">
      <c r="A462" s="2">
        <v>822</v>
      </c>
      <c r="B462" s="3">
        <f t="shared" si="28"/>
        <v>0.82200000000000006</v>
      </c>
      <c r="C462" s="2">
        <f t="shared" si="29"/>
        <v>0.65820000000000001</v>
      </c>
      <c r="D462" s="2">
        <v>15.2659997940063</v>
      </c>
      <c r="E462" s="3">
        <f t="shared" si="30"/>
        <v>1.5265999794006301E-2</v>
      </c>
      <c r="F462" s="3">
        <f>ROUNDUP((0.015%*D462+10*0.01/(SQRT(3))),4)</f>
        <v>6.0100000000000001E-2</v>
      </c>
      <c r="G462" s="3">
        <f t="shared" si="31"/>
        <v>-4.1821271590994851</v>
      </c>
      <c r="H462" s="45"/>
    </row>
    <row r="463" spans="1:8" x14ac:dyDescent="0.25">
      <c r="A463" s="2">
        <v>822</v>
      </c>
      <c r="B463" s="3">
        <f t="shared" si="28"/>
        <v>0.82200000000000006</v>
      </c>
      <c r="C463" s="2">
        <f t="shared" si="29"/>
        <v>0.65820000000000001</v>
      </c>
      <c r="D463" s="2">
        <v>15.3240003585815</v>
      </c>
      <c r="E463" s="3">
        <f t="shared" si="30"/>
        <v>1.53240003585815E-2</v>
      </c>
      <c r="F463" s="3">
        <f>ROUNDUP((0.015%*D463+10*0.01/(SQRT(3))),4)</f>
        <v>6.0100000000000001E-2</v>
      </c>
      <c r="G463" s="3">
        <f t="shared" si="31"/>
        <v>-4.1783350287437413</v>
      </c>
      <c r="H463" s="45"/>
    </row>
    <row r="464" spans="1:8" x14ac:dyDescent="0.25">
      <c r="A464" s="2">
        <v>823</v>
      </c>
      <c r="B464" s="3">
        <f t="shared" si="28"/>
        <v>0.82300000000000006</v>
      </c>
      <c r="C464" s="2">
        <f t="shared" si="29"/>
        <v>0.65900000000000003</v>
      </c>
      <c r="D464" s="2">
        <v>15.3979997634888</v>
      </c>
      <c r="E464" s="3">
        <f t="shared" si="30"/>
        <v>1.5397999763488801E-2</v>
      </c>
      <c r="F464" s="3">
        <f>ROUNDUP((0.015%*D464+10*0.01/(SQRT(3))),4)</f>
        <v>6.0100000000000001E-2</v>
      </c>
      <c r="G464" s="3">
        <f t="shared" si="31"/>
        <v>-4.1735176634861446</v>
      </c>
      <c r="H464" s="45"/>
    </row>
    <row r="465" spans="1:8" x14ac:dyDescent="0.25">
      <c r="A465" s="2">
        <v>825</v>
      </c>
      <c r="B465" s="3">
        <f t="shared" si="28"/>
        <v>0.82500000000000007</v>
      </c>
      <c r="C465" s="2">
        <f t="shared" si="29"/>
        <v>0.66059999999999997</v>
      </c>
      <c r="D465" s="2">
        <v>15.647000312805201</v>
      </c>
      <c r="E465" s="3">
        <f t="shared" si="30"/>
        <v>1.56470003128052E-2</v>
      </c>
      <c r="F465" s="3">
        <f>ROUNDUP((0.015%*D465+10*0.01/(SQRT(3))),4)</f>
        <v>6.0100000000000001E-2</v>
      </c>
      <c r="G465" s="3">
        <f t="shared" si="31"/>
        <v>-4.1574760536708322</v>
      </c>
      <c r="H465" s="45"/>
    </row>
    <row r="466" spans="1:8" x14ac:dyDescent="0.25">
      <c r="A466" s="2">
        <v>826</v>
      </c>
      <c r="B466" s="3">
        <f t="shared" si="28"/>
        <v>0.82600000000000007</v>
      </c>
      <c r="C466" s="2">
        <f t="shared" si="29"/>
        <v>0.66139999999999999</v>
      </c>
      <c r="D466" s="2">
        <v>15.725999832153301</v>
      </c>
      <c r="E466" s="3">
        <f t="shared" si="30"/>
        <v>1.5725999832153302E-2</v>
      </c>
      <c r="F466" s="3">
        <f>ROUNDUP((0.015%*D466+10*0.01/(SQRT(3))),4)</f>
        <v>6.0100000000000001E-2</v>
      </c>
      <c r="G466" s="3">
        <f t="shared" si="31"/>
        <v>-4.1524398960860101</v>
      </c>
      <c r="H466" s="45"/>
    </row>
    <row r="467" spans="1:8" x14ac:dyDescent="0.25">
      <c r="A467" s="2">
        <v>826</v>
      </c>
      <c r="B467" s="3">
        <f t="shared" si="28"/>
        <v>0.82600000000000007</v>
      </c>
      <c r="C467" s="2">
        <f t="shared" si="29"/>
        <v>0.66139999999999999</v>
      </c>
      <c r="D467" s="2">
        <v>15.756999969482401</v>
      </c>
      <c r="E467" s="3">
        <f t="shared" si="30"/>
        <v>1.5756999969482401E-2</v>
      </c>
      <c r="F467" s="3">
        <f>ROUNDUP((0.015%*D467+10*0.01/(SQRT(3))),4)</f>
        <v>6.0100000000000001E-2</v>
      </c>
      <c r="G467" s="3">
        <f t="shared" si="31"/>
        <v>-4.1504705699389932</v>
      </c>
      <c r="H467" s="45"/>
    </row>
    <row r="468" spans="1:8" x14ac:dyDescent="0.25">
      <c r="A468" s="2">
        <v>827</v>
      </c>
      <c r="B468" s="3">
        <f t="shared" si="28"/>
        <v>0.82700000000000007</v>
      </c>
      <c r="C468" s="2">
        <f t="shared" si="29"/>
        <v>0.66220000000000001</v>
      </c>
      <c r="D468" s="2">
        <v>15.8240003585815</v>
      </c>
      <c r="E468" s="3">
        <f t="shared" si="30"/>
        <v>1.5824000358581499E-2</v>
      </c>
      <c r="F468" s="3">
        <f>ROUNDUP((0.015%*D468+10*0.01/(SQRT(3))),4)</f>
        <v>6.0200000000000004E-2</v>
      </c>
      <c r="G468" s="3">
        <f t="shared" si="31"/>
        <v>-4.146227481441171</v>
      </c>
      <c r="H468" s="45"/>
    </row>
    <row r="469" spans="1:8" x14ac:dyDescent="0.25">
      <c r="A469" s="2">
        <v>828</v>
      </c>
      <c r="B469" s="3">
        <f t="shared" si="28"/>
        <v>0.82800000000000007</v>
      </c>
      <c r="C469" s="2">
        <f t="shared" si="29"/>
        <v>0.66300000000000003</v>
      </c>
      <c r="D469" s="2">
        <v>15.918000221252401</v>
      </c>
      <c r="E469" s="3">
        <f t="shared" si="30"/>
        <v>1.59180002212524E-2</v>
      </c>
      <c r="F469" s="3">
        <f>ROUNDUP((0.015%*D469+10*0.01/(SQRT(3))),4)</f>
        <v>6.0200000000000004E-2</v>
      </c>
      <c r="G469" s="3">
        <f t="shared" si="31"/>
        <v>-4.1403047206989694</v>
      </c>
      <c r="H469" s="45"/>
    </row>
    <row r="470" spans="1:8" x14ac:dyDescent="0.25">
      <c r="A470" s="2">
        <v>828</v>
      </c>
      <c r="B470" s="3">
        <f t="shared" si="28"/>
        <v>0.82800000000000007</v>
      </c>
      <c r="C470" s="2">
        <f t="shared" si="29"/>
        <v>0.66300000000000003</v>
      </c>
      <c r="D470" s="2">
        <v>15.953000068664601</v>
      </c>
      <c r="E470" s="3">
        <f t="shared" si="30"/>
        <v>1.59530000686646E-2</v>
      </c>
      <c r="F470" s="3">
        <f>ROUNDUP((0.015%*D470+10*0.01/(SQRT(3))),4)</f>
        <v>6.0200000000000004E-2</v>
      </c>
      <c r="G470" s="3">
        <f t="shared" si="31"/>
        <v>-4.1381083753590957</v>
      </c>
      <c r="H470" s="45"/>
    </row>
    <row r="471" spans="1:8" x14ac:dyDescent="0.25">
      <c r="A471" s="2">
        <v>829</v>
      </c>
      <c r="B471" s="3">
        <f t="shared" si="28"/>
        <v>0.82900000000000007</v>
      </c>
      <c r="C471" s="2">
        <f t="shared" si="29"/>
        <v>0.66379999999999995</v>
      </c>
      <c r="D471" s="2">
        <v>15.998999595642101</v>
      </c>
      <c r="E471" s="3">
        <f t="shared" si="30"/>
        <v>1.5998999595642101E-2</v>
      </c>
      <c r="F471" s="3">
        <f>ROUNDUP((0.015%*D471+10*0.01/(SQRT(3))),4)</f>
        <v>6.0200000000000004E-2</v>
      </c>
      <c r="G471" s="3">
        <f t="shared" si="31"/>
        <v>-4.1352290839695112</v>
      </c>
      <c r="H471" s="45"/>
    </row>
    <row r="472" spans="1:8" x14ac:dyDescent="0.25">
      <c r="A472" s="2">
        <v>830</v>
      </c>
      <c r="B472" s="3">
        <f t="shared" si="28"/>
        <v>0.83000000000000007</v>
      </c>
      <c r="C472" s="2">
        <f t="shared" si="29"/>
        <v>0.66459999999999997</v>
      </c>
      <c r="D472" s="2">
        <v>16.0820007324219</v>
      </c>
      <c r="E472" s="3">
        <f t="shared" si="30"/>
        <v>1.60820007324219E-2</v>
      </c>
      <c r="F472" s="3">
        <f>ROUNDUP((0.015%*D472+10*0.01/(SQRT(3))),4)</f>
        <v>6.0200000000000004E-2</v>
      </c>
      <c r="G472" s="3">
        <f t="shared" si="31"/>
        <v>-4.1300545993132198</v>
      </c>
      <c r="H472" s="45"/>
    </row>
    <row r="473" spans="1:8" x14ac:dyDescent="0.25">
      <c r="A473" s="2">
        <v>831</v>
      </c>
      <c r="B473" s="3">
        <f t="shared" si="28"/>
        <v>0.83100000000000007</v>
      </c>
      <c r="C473" s="2">
        <f t="shared" si="29"/>
        <v>0.66539999999999999</v>
      </c>
      <c r="D473" s="2">
        <v>16.191999435424801</v>
      </c>
      <c r="E473" s="3">
        <f t="shared" si="30"/>
        <v>1.6191999435424802E-2</v>
      </c>
      <c r="F473" s="3">
        <f>ROUNDUP((0.015%*D473+10*0.01/(SQRT(3))),4)</f>
        <v>6.0200000000000004E-2</v>
      </c>
      <c r="G473" s="3">
        <f t="shared" si="31"/>
        <v>-4.1232380207446218</v>
      </c>
      <c r="H473" s="45"/>
    </row>
    <row r="474" spans="1:8" x14ac:dyDescent="0.25">
      <c r="A474" s="2">
        <v>831</v>
      </c>
      <c r="B474" s="3">
        <f t="shared" si="28"/>
        <v>0.83100000000000007</v>
      </c>
      <c r="C474" s="2">
        <f t="shared" si="29"/>
        <v>0.66539999999999999</v>
      </c>
      <c r="D474" s="2">
        <v>16.2630004882813</v>
      </c>
      <c r="E474" s="3">
        <f t="shared" si="30"/>
        <v>1.62630004882813E-2</v>
      </c>
      <c r="F474" s="3">
        <f>ROUNDUP((0.015%*D474+10*0.01/(SQRT(3))),4)</f>
        <v>6.0200000000000004E-2</v>
      </c>
      <c r="G474" s="3">
        <f t="shared" si="31"/>
        <v>-4.1188626600117662</v>
      </c>
      <c r="H474" s="45"/>
    </row>
    <row r="475" spans="1:8" x14ac:dyDescent="0.25">
      <c r="A475" s="2">
        <v>832</v>
      </c>
      <c r="B475" s="3">
        <f t="shared" si="28"/>
        <v>0.83200000000000007</v>
      </c>
      <c r="C475" s="2">
        <f t="shared" si="29"/>
        <v>0.66620000000000001</v>
      </c>
      <c r="D475" s="2">
        <v>16.3589992523193</v>
      </c>
      <c r="E475" s="3">
        <f t="shared" si="30"/>
        <v>1.63589992523193E-2</v>
      </c>
      <c r="F475" s="3">
        <f>ROUNDUP((0.015%*D475+10*0.01/(SQRT(3))),4)</f>
        <v>6.0200000000000004E-2</v>
      </c>
      <c r="G475" s="3">
        <f t="shared" si="31"/>
        <v>-4.1129771200746514</v>
      </c>
      <c r="H475" s="45"/>
    </row>
    <row r="476" spans="1:8" x14ac:dyDescent="0.25">
      <c r="A476" s="2">
        <v>833</v>
      </c>
      <c r="B476" s="3">
        <f t="shared" si="28"/>
        <v>0.83299999999999996</v>
      </c>
      <c r="C476" s="2">
        <f t="shared" si="29"/>
        <v>0.66700000000000004</v>
      </c>
      <c r="D476" s="2">
        <v>16.4379997253418</v>
      </c>
      <c r="E476" s="3">
        <f t="shared" si="30"/>
        <v>1.6437999725341802E-2</v>
      </c>
      <c r="F476" s="3">
        <f>ROUNDUP((0.015%*D476+10*0.01/(SQRT(3))),4)</f>
        <v>6.0299999999999999E-2</v>
      </c>
      <c r="G476" s="3">
        <f t="shared" si="31"/>
        <v>-4.1081595679645648</v>
      </c>
      <c r="H476" s="45"/>
    </row>
    <row r="477" spans="1:8" x14ac:dyDescent="0.25">
      <c r="A477" s="2">
        <v>834</v>
      </c>
      <c r="B477" s="3">
        <f t="shared" si="28"/>
        <v>0.83399999999999996</v>
      </c>
      <c r="C477" s="2">
        <f t="shared" si="29"/>
        <v>0.66779999999999995</v>
      </c>
      <c r="D477" s="2">
        <v>16.5130004882813</v>
      </c>
      <c r="E477" s="3">
        <f t="shared" si="30"/>
        <v>1.6513000488281301E-2</v>
      </c>
      <c r="F477" s="3">
        <f>ROUNDUP((0.015%*D477+10*0.01/(SQRT(3))),4)</f>
        <v>6.0299999999999999E-2</v>
      </c>
      <c r="G477" s="3">
        <f t="shared" si="31"/>
        <v>-4.1036072999317774</v>
      </c>
      <c r="H477" s="45"/>
    </row>
    <row r="478" spans="1:8" x14ac:dyDescent="0.25">
      <c r="A478" s="2">
        <v>834</v>
      </c>
      <c r="B478" s="3">
        <f t="shared" si="28"/>
        <v>0.83399999999999996</v>
      </c>
      <c r="C478" s="2">
        <f t="shared" si="29"/>
        <v>0.66779999999999995</v>
      </c>
      <c r="D478" s="2">
        <v>16.590999603271499</v>
      </c>
      <c r="E478" s="3">
        <f t="shared" si="30"/>
        <v>1.6590999603271497E-2</v>
      </c>
      <c r="F478" s="3">
        <f>ROUNDUP((0.015%*D478+10*0.01/(SQRT(3))),4)</f>
        <v>6.0299999999999999E-2</v>
      </c>
      <c r="G478" s="3">
        <f t="shared" si="31"/>
        <v>-4.0988949232331908</v>
      </c>
      <c r="H478" s="45"/>
    </row>
    <row r="479" spans="1:8" x14ac:dyDescent="0.25">
      <c r="A479" s="2">
        <v>835</v>
      </c>
      <c r="B479" s="3">
        <f t="shared" si="28"/>
        <v>0.83499999999999996</v>
      </c>
      <c r="C479" s="2">
        <f t="shared" si="29"/>
        <v>0.66859999999999997</v>
      </c>
      <c r="D479" s="2">
        <v>16.6879997253418</v>
      </c>
      <c r="E479" s="3">
        <f t="shared" si="30"/>
        <v>1.6687999725341802E-2</v>
      </c>
      <c r="F479" s="3">
        <f>ROUNDUP((0.015%*D479+10*0.01/(SQRT(3))),4)</f>
        <v>6.0299999999999999E-2</v>
      </c>
      <c r="G479" s="3">
        <f t="shared" si="31"/>
        <v>-4.093065397182146</v>
      </c>
      <c r="H479" s="45"/>
    </row>
    <row r="480" spans="1:8" x14ac:dyDescent="0.25">
      <c r="A480" s="2">
        <v>836</v>
      </c>
      <c r="B480" s="3">
        <f t="shared" si="28"/>
        <v>0.83599999999999997</v>
      </c>
      <c r="C480" s="2">
        <f t="shared" si="29"/>
        <v>0.6694</v>
      </c>
      <c r="D480" s="2">
        <v>16.802000045776399</v>
      </c>
      <c r="E480" s="3">
        <f t="shared" si="30"/>
        <v>1.6802000045776401E-2</v>
      </c>
      <c r="F480" s="3">
        <f>ROUNDUP((0.015%*D480+10*0.01/(SQRT(3))),4)</f>
        <v>6.0299999999999999E-2</v>
      </c>
      <c r="G480" s="3">
        <f t="shared" si="31"/>
        <v>-4.0862573493150203</v>
      </c>
      <c r="H480" s="45"/>
    </row>
    <row r="481" spans="1:8" x14ac:dyDescent="0.25">
      <c r="A481" s="2">
        <v>837</v>
      </c>
      <c r="B481" s="3">
        <f t="shared" si="28"/>
        <v>0.83699999999999997</v>
      </c>
      <c r="C481" s="2">
        <f t="shared" si="29"/>
        <v>0.67020000000000002</v>
      </c>
      <c r="D481" s="2">
        <v>16.936000823974599</v>
      </c>
      <c r="E481" s="3">
        <f t="shared" si="30"/>
        <v>1.69360008239746E-2</v>
      </c>
      <c r="F481" s="3">
        <f>ROUNDUP((0.015%*D481+10*0.01/(SQRT(3))),4)</f>
        <v>6.0299999999999999E-2</v>
      </c>
      <c r="G481" s="3">
        <f t="shared" si="31"/>
        <v>-4.078313696497319</v>
      </c>
      <c r="H481" s="45"/>
    </row>
    <row r="482" spans="1:8" x14ac:dyDescent="0.25">
      <c r="A482" s="2">
        <v>838</v>
      </c>
      <c r="B482" s="3">
        <f t="shared" si="28"/>
        <v>0.83799999999999997</v>
      </c>
      <c r="C482" s="2">
        <f t="shared" si="29"/>
        <v>0.67100000000000004</v>
      </c>
      <c r="D482" s="2">
        <v>16.9570007324219</v>
      </c>
      <c r="E482" s="3">
        <f t="shared" si="30"/>
        <v>1.6957000732421901E-2</v>
      </c>
      <c r="F482" s="3">
        <f>ROUNDUP((0.015%*D482+10*0.01/(SQRT(3))),4)</f>
        <v>6.0299999999999999E-2</v>
      </c>
      <c r="G482" s="3">
        <f t="shared" si="31"/>
        <v>-4.0770745078642534</v>
      </c>
      <c r="H482" s="45"/>
    </row>
    <row r="483" spans="1:8" x14ac:dyDescent="0.25">
      <c r="A483" s="2">
        <v>839</v>
      </c>
      <c r="B483" s="3">
        <f t="shared" si="28"/>
        <v>0.83899999999999997</v>
      </c>
      <c r="C483" s="2">
        <f t="shared" si="29"/>
        <v>0.67179999999999995</v>
      </c>
      <c r="D483" s="2">
        <v>17.058000564575199</v>
      </c>
      <c r="E483" s="3">
        <f t="shared" si="30"/>
        <v>1.7058000564575199E-2</v>
      </c>
      <c r="F483" s="3">
        <f>ROUNDUP((0.015%*D483+10*0.01/(SQRT(3))),4)</f>
        <v>6.0299999999999999E-2</v>
      </c>
      <c r="G483" s="3">
        <f t="shared" si="31"/>
        <v>-4.0711359439878345</v>
      </c>
      <c r="H483" s="45"/>
    </row>
    <row r="484" spans="1:8" x14ac:dyDescent="0.25">
      <c r="A484" s="2">
        <v>839</v>
      </c>
      <c r="B484" s="3">
        <f t="shared" si="28"/>
        <v>0.83899999999999997</v>
      </c>
      <c r="C484" s="2">
        <f t="shared" si="29"/>
        <v>0.67179999999999995</v>
      </c>
      <c r="D484" s="2">
        <v>17.097999572753899</v>
      </c>
      <c r="E484" s="3">
        <f t="shared" si="30"/>
        <v>1.7097999572753899E-2</v>
      </c>
      <c r="F484" s="3">
        <f>ROUNDUP((0.015%*D484+10*0.01/(SQRT(3))),4)</f>
        <v>6.0299999999999999E-2</v>
      </c>
      <c r="G484" s="3">
        <f t="shared" si="31"/>
        <v>-4.0687938063661697</v>
      </c>
      <c r="H484" s="45"/>
    </row>
    <row r="485" spans="1:8" x14ac:dyDescent="0.25">
      <c r="A485" s="2">
        <v>840</v>
      </c>
      <c r="B485" s="3">
        <f t="shared" si="28"/>
        <v>0.84</v>
      </c>
      <c r="C485" s="2">
        <f t="shared" si="29"/>
        <v>0.67259999999999998</v>
      </c>
      <c r="D485" s="2">
        <v>17.2600002288818</v>
      </c>
      <c r="E485" s="3">
        <f t="shared" si="30"/>
        <v>1.72600002288818E-2</v>
      </c>
      <c r="F485" s="3">
        <f>ROUNDUP((0.015%*D485+10*0.01/(SQRT(3))),4)</f>
        <v>6.0400000000000002E-2</v>
      </c>
      <c r="G485" s="3">
        <f t="shared" si="31"/>
        <v>-4.0593635800660328</v>
      </c>
      <c r="H485" s="45"/>
    </row>
    <row r="486" spans="1:8" x14ac:dyDescent="0.25">
      <c r="A486" s="2">
        <v>843</v>
      </c>
      <c r="B486" s="3">
        <f t="shared" si="28"/>
        <v>0.84299999999999997</v>
      </c>
      <c r="C486" s="2">
        <f t="shared" si="29"/>
        <v>0.67500000000000004</v>
      </c>
      <c r="D486" s="2">
        <v>17.617000579833999</v>
      </c>
      <c r="E486" s="3">
        <f t="shared" si="30"/>
        <v>1.7617000579833998E-2</v>
      </c>
      <c r="F486" s="3">
        <f>ROUNDUP((0.015%*D486+10*0.01/(SQRT(3))),4)</f>
        <v>6.0400000000000002E-2</v>
      </c>
      <c r="G486" s="3">
        <f t="shared" si="31"/>
        <v>-4.0388909011238123</v>
      </c>
      <c r="H486" s="45"/>
    </row>
    <row r="487" spans="1:8" x14ac:dyDescent="0.25">
      <c r="A487" s="2">
        <v>844</v>
      </c>
      <c r="B487" s="3">
        <f t="shared" si="28"/>
        <v>0.84399999999999997</v>
      </c>
      <c r="C487" s="2">
        <f t="shared" si="29"/>
        <v>0.67579999999999996</v>
      </c>
      <c r="D487" s="2">
        <v>17.693000793456999</v>
      </c>
      <c r="E487" s="3">
        <f t="shared" si="30"/>
        <v>1.7693000793456998E-2</v>
      </c>
      <c r="F487" s="3">
        <f>ROUNDUP((0.015%*D487+10*0.01/(SQRT(3))),4)</f>
        <v>6.0400000000000002E-2</v>
      </c>
      <c r="G487" s="3">
        <f t="shared" si="31"/>
        <v>-4.0345861530054581</v>
      </c>
      <c r="H487" s="45"/>
    </row>
    <row r="488" spans="1:8" x14ac:dyDescent="0.25">
      <c r="A488" s="2">
        <v>845</v>
      </c>
      <c r="B488" s="3">
        <f t="shared" si="28"/>
        <v>0.84499999999999997</v>
      </c>
      <c r="C488" s="2">
        <f t="shared" si="29"/>
        <v>0.67659999999999998</v>
      </c>
      <c r="D488" s="2">
        <v>17.7469997406006</v>
      </c>
      <c r="E488" s="3">
        <f t="shared" si="30"/>
        <v>1.7746999740600601E-2</v>
      </c>
      <c r="F488" s="3">
        <f>ROUNDUP((0.015%*D488+10*0.01/(SQRT(3))),4)</f>
        <v>6.0400000000000002E-2</v>
      </c>
      <c r="G488" s="3">
        <f t="shared" si="31"/>
        <v>-4.0315388060462301</v>
      </c>
      <c r="H488" s="45"/>
    </row>
    <row r="489" spans="1:8" x14ac:dyDescent="0.25">
      <c r="A489" s="2">
        <v>845</v>
      </c>
      <c r="B489" s="3">
        <f t="shared" si="28"/>
        <v>0.84499999999999997</v>
      </c>
      <c r="C489" s="2">
        <f t="shared" si="29"/>
        <v>0.67659999999999998</v>
      </c>
      <c r="D489" s="2">
        <v>17.775999069213899</v>
      </c>
      <c r="E489" s="3">
        <f t="shared" si="30"/>
        <v>1.7775999069213899E-2</v>
      </c>
      <c r="F489" s="3">
        <f>ROUNDUP((0.015%*D489+10*0.01/(SQRT(3))),4)</f>
        <v>6.0500000000000005E-2</v>
      </c>
      <c r="G489" s="3">
        <f t="shared" si="31"/>
        <v>-4.0299060984468182</v>
      </c>
      <c r="H489" s="45"/>
    </row>
    <row r="490" spans="1:8" x14ac:dyDescent="0.25">
      <c r="A490" s="2">
        <v>847</v>
      </c>
      <c r="B490" s="3">
        <f t="shared" si="28"/>
        <v>0.84699999999999998</v>
      </c>
      <c r="C490" s="2">
        <f t="shared" si="29"/>
        <v>0.67820000000000003</v>
      </c>
      <c r="D490" s="2">
        <v>18.020999908447301</v>
      </c>
      <c r="E490" s="3">
        <f t="shared" si="30"/>
        <v>1.8020999908447303E-2</v>
      </c>
      <c r="F490" s="3">
        <f>ROUNDUP((0.015%*D490+10*0.01/(SQRT(3))),4)</f>
        <v>6.0500000000000005E-2</v>
      </c>
      <c r="G490" s="3">
        <f t="shared" si="31"/>
        <v>-4.0162175395263366</v>
      </c>
      <c r="H490" s="45"/>
    </row>
    <row r="491" spans="1:8" x14ac:dyDescent="0.25">
      <c r="A491" s="2">
        <v>848</v>
      </c>
      <c r="B491" s="3">
        <f t="shared" si="28"/>
        <v>0.84799999999999998</v>
      </c>
      <c r="C491" s="2">
        <f t="shared" si="29"/>
        <v>0.67899999999999994</v>
      </c>
      <c r="D491" s="2">
        <v>18.072999954223601</v>
      </c>
      <c r="E491" s="3">
        <f t="shared" si="30"/>
        <v>1.8072999954223602E-2</v>
      </c>
      <c r="F491" s="3">
        <f>ROUNDUP((0.015%*D491+10*0.01/(SQRT(3))),4)</f>
        <v>6.0500000000000005E-2</v>
      </c>
      <c r="G491" s="3">
        <f t="shared" si="31"/>
        <v>-4.0133361696614962</v>
      </c>
      <c r="H491" s="45"/>
    </row>
    <row r="492" spans="1:8" x14ac:dyDescent="0.25">
      <c r="A492" s="2">
        <v>847</v>
      </c>
      <c r="B492" s="3">
        <f t="shared" si="28"/>
        <v>0.84699999999999998</v>
      </c>
      <c r="C492" s="2">
        <f t="shared" si="29"/>
        <v>0.67820000000000003</v>
      </c>
      <c r="D492" s="2">
        <v>18.054000854492202</v>
      </c>
      <c r="E492" s="3">
        <f t="shared" si="30"/>
        <v>1.8054000854492203E-2</v>
      </c>
      <c r="F492" s="3">
        <f>ROUNDUP((0.015%*D492+10*0.01/(SQRT(3))),4)</f>
        <v>6.0500000000000005E-2</v>
      </c>
      <c r="G492" s="3">
        <f t="shared" si="31"/>
        <v>-4.0143879647763754</v>
      </c>
      <c r="H492" s="45"/>
    </row>
    <row r="493" spans="1:8" x14ac:dyDescent="0.25">
      <c r="A493" s="2">
        <v>848</v>
      </c>
      <c r="B493" s="3">
        <f t="shared" si="28"/>
        <v>0.84799999999999998</v>
      </c>
      <c r="C493" s="2">
        <f t="shared" si="29"/>
        <v>0.67899999999999994</v>
      </c>
      <c r="D493" s="2">
        <v>18.1480007171631</v>
      </c>
      <c r="E493" s="3">
        <f t="shared" si="30"/>
        <v>1.8148000717163101E-2</v>
      </c>
      <c r="F493" s="3">
        <f>ROUNDUP((0.015%*D493+10*0.01/(SQRT(3))),4)</f>
        <v>6.0500000000000005E-2</v>
      </c>
      <c r="G493" s="3">
        <f t="shared" si="31"/>
        <v>-4.0091948776629476</v>
      </c>
      <c r="H493" s="45"/>
    </row>
    <row r="494" spans="1:8" x14ac:dyDescent="0.25">
      <c r="A494" s="2">
        <v>848</v>
      </c>
      <c r="B494" s="3">
        <f t="shared" si="28"/>
        <v>0.84799999999999998</v>
      </c>
      <c r="C494" s="2">
        <f t="shared" si="29"/>
        <v>0.67899999999999994</v>
      </c>
      <c r="D494" s="2">
        <v>18.1709995269775</v>
      </c>
      <c r="E494" s="3">
        <f t="shared" si="30"/>
        <v>1.81709995269775E-2</v>
      </c>
      <c r="F494" s="3">
        <f>ROUNDUP((0.015%*D494+10*0.01/(SQRT(3))),4)</f>
        <v>6.0500000000000005E-2</v>
      </c>
      <c r="G494" s="3">
        <f t="shared" si="31"/>
        <v>-4.0079283883469436</v>
      </c>
      <c r="H494" s="45"/>
    </row>
    <row r="495" spans="1:8" x14ac:dyDescent="0.25">
      <c r="A495" s="2">
        <v>849</v>
      </c>
      <c r="B495" s="3">
        <f t="shared" si="28"/>
        <v>0.84899999999999998</v>
      </c>
      <c r="C495" s="2">
        <f t="shared" si="29"/>
        <v>0.67979999999999996</v>
      </c>
      <c r="D495" s="2">
        <v>18.216999053955099</v>
      </c>
      <c r="E495" s="3">
        <f t="shared" si="30"/>
        <v>1.8216999053955098E-2</v>
      </c>
      <c r="F495" s="3">
        <f>ROUNDUP((0.015%*D495+10*0.01/(SQRT(3))),4)</f>
        <v>6.0500000000000005E-2</v>
      </c>
      <c r="G495" s="3">
        <f t="shared" si="31"/>
        <v>-4.0054001068654275</v>
      </c>
      <c r="H495" s="45"/>
    </row>
    <row r="496" spans="1:8" x14ac:dyDescent="0.25">
      <c r="A496" s="2">
        <v>849</v>
      </c>
      <c r="B496" s="3">
        <f t="shared" si="28"/>
        <v>0.84899999999999998</v>
      </c>
      <c r="C496" s="2">
        <f t="shared" si="29"/>
        <v>0.67979999999999996</v>
      </c>
      <c r="D496" s="2">
        <v>18.2630004882813</v>
      </c>
      <c r="E496" s="3">
        <f t="shared" si="30"/>
        <v>1.8263000488281299E-2</v>
      </c>
      <c r="F496" s="3">
        <f>ROUNDUP((0.015%*D496+10*0.01/(SQRT(3))),4)</f>
        <v>6.0500000000000005E-2</v>
      </c>
      <c r="G496" s="3">
        <f t="shared" si="31"/>
        <v>-4.0028780970361382</v>
      </c>
      <c r="H496" s="45"/>
    </row>
    <row r="497" spans="1:8" x14ac:dyDescent="0.25">
      <c r="A497" s="2">
        <v>849</v>
      </c>
      <c r="B497" s="3">
        <f t="shared" si="28"/>
        <v>0.84899999999999998</v>
      </c>
      <c r="C497" s="2">
        <f t="shared" si="29"/>
        <v>0.67979999999999996</v>
      </c>
      <c r="D497" s="2">
        <v>18.229000091552699</v>
      </c>
      <c r="E497" s="3">
        <f t="shared" si="30"/>
        <v>1.8229000091552698E-2</v>
      </c>
      <c r="F497" s="3">
        <f>ROUNDUP((0.015%*D497+10*0.01/(SQRT(3))),4)</f>
        <v>6.0500000000000005E-2</v>
      </c>
      <c r="G497" s="3">
        <f t="shared" si="31"/>
        <v>-4.0047415414089871</v>
      </c>
      <c r="H497" s="45"/>
    </row>
    <row r="498" spans="1:8" x14ac:dyDescent="0.25">
      <c r="A498" s="2">
        <v>850</v>
      </c>
      <c r="B498" s="3">
        <f t="shared" si="28"/>
        <v>0.85</v>
      </c>
      <c r="C498" s="2">
        <f t="shared" si="29"/>
        <v>0.68059999999999998</v>
      </c>
      <c r="D498" s="2">
        <v>18.349000930786101</v>
      </c>
      <c r="E498" s="3">
        <f t="shared" si="30"/>
        <v>1.8349000930786102E-2</v>
      </c>
      <c r="F498" s="3">
        <f>ROUNDUP((0.015%*D498+10*0.01/(SQRT(3))),4)</f>
        <v>6.0500000000000005E-2</v>
      </c>
      <c r="G498" s="3">
        <f t="shared" si="31"/>
        <v>-3.998180151152519</v>
      </c>
      <c r="H498" s="45"/>
    </row>
    <row r="499" spans="1:8" x14ac:dyDescent="0.25">
      <c r="A499" s="2">
        <v>851</v>
      </c>
      <c r="B499" s="3">
        <f t="shared" si="28"/>
        <v>0.85099999999999998</v>
      </c>
      <c r="C499" s="2">
        <f t="shared" si="29"/>
        <v>0.68140000000000001</v>
      </c>
      <c r="D499" s="2">
        <v>18.422000885009801</v>
      </c>
      <c r="E499" s="3">
        <f t="shared" si="30"/>
        <v>1.8422000885009802E-2</v>
      </c>
      <c r="F499" s="3">
        <f>ROUNDUP((0.015%*D499+10*0.01/(SQRT(3))),4)</f>
        <v>6.0500000000000005E-2</v>
      </c>
      <c r="G499" s="3">
        <f t="shared" si="31"/>
        <v>-3.9942096283751756</v>
      </c>
      <c r="H499" s="45"/>
    </row>
    <row r="500" spans="1:8" x14ac:dyDescent="0.25">
      <c r="A500" s="2">
        <v>851</v>
      </c>
      <c r="B500" s="3">
        <f t="shared" si="28"/>
        <v>0.85099999999999998</v>
      </c>
      <c r="C500" s="2">
        <f t="shared" si="29"/>
        <v>0.68140000000000001</v>
      </c>
      <c r="D500" s="2">
        <v>18.444999694824201</v>
      </c>
      <c r="E500" s="3">
        <f t="shared" si="30"/>
        <v>1.8444999694824202E-2</v>
      </c>
      <c r="F500" s="3">
        <f>ROUNDUP((0.015%*D500+10*0.01/(SQRT(3))),4)</f>
        <v>6.0600000000000001E-2</v>
      </c>
      <c r="G500" s="3">
        <f t="shared" si="31"/>
        <v>-3.9929619644786758</v>
      </c>
      <c r="H500" s="45"/>
    </row>
    <row r="501" spans="1:8" x14ac:dyDescent="0.25">
      <c r="A501" s="2">
        <v>852</v>
      </c>
      <c r="B501" s="3">
        <f t="shared" si="28"/>
        <v>0.85199999999999998</v>
      </c>
      <c r="C501" s="2">
        <f t="shared" si="29"/>
        <v>0.68220000000000003</v>
      </c>
      <c r="D501" s="2">
        <v>18.533000946044901</v>
      </c>
      <c r="E501" s="3">
        <f t="shared" si="30"/>
        <v>1.85330009460449E-2</v>
      </c>
      <c r="F501" s="3">
        <f>ROUNDUP((0.015%*D501+10*0.01/(SQRT(3))),4)</f>
        <v>6.0600000000000001E-2</v>
      </c>
      <c r="G501" s="3">
        <f>LN(E501)</f>
        <v>-3.988202301120459</v>
      </c>
      <c r="H501" s="45"/>
    </row>
    <row r="502" spans="1:8" x14ac:dyDescent="0.25">
      <c r="A502" s="2">
        <v>852</v>
      </c>
      <c r="B502" s="3">
        <f t="shared" si="28"/>
        <v>0.85199999999999998</v>
      </c>
      <c r="C502" s="2">
        <f t="shared" si="29"/>
        <v>0.68220000000000003</v>
      </c>
      <c r="D502" s="2">
        <v>18.583000183105501</v>
      </c>
      <c r="E502" s="3">
        <f t="shared" si="30"/>
        <v>1.8583000183105502E-2</v>
      </c>
      <c r="F502" s="3">
        <f>ROUNDUP((0.015%*D502+10*0.01/(SQRT(3))),4)</f>
        <v>6.0600000000000001E-2</v>
      </c>
      <c r="G502" s="3">
        <f t="shared" si="31"/>
        <v>-3.9855080848372357</v>
      </c>
      <c r="H502" s="45"/>
    </row>
    <row r="503" spans="1:8" x14ac:dyDescent="0.25">
      <c r="A503" s="2">
        <v>853</v>
      </c>
      <c r="B503" s="3">
        <f t="shared" si="28"/>
        <v>0.85299999999999998</v>
      </c>
      <c r="C503" s="2">
        <f t="shared" si="29"/>
        <v>0.68299999999999994</v>
      </c>
      <c r="D503" s="2">
        <v>18.636999130248999</v>
      </c>
      <c r="E503" s="3">
        <f t="shared" si="30"/>
        <v>1.8636999130249E-2</v>
      </c>
      <c r="F503" s="3">
        <f>ROUNDUP((0.015%*D503+10*0.01/(SQRT(3))),4)</f>
        <v>6.0600000000000001E-2</v>
      </c>
      <c r="G503" s="3">
        <f t="shared" si="31"/>
        <v>-3.9826064735515825</v>
      </c>
      <c r="H503" s="45"/>
    </row>
    <row r="504" spans="1:8" x14ac:dyDescent="0.25">
      <c r="A504" s="2">
        <v>853</v>
      </c>
      <c r="B504" s="3">
        <f t="shared" si="28"/>
        <v>0.85299999999999998</v>
      </c>
      <c r="C504" s="2">
        <f t="shared" si="29"/>
        <v>0.68299999999999994</v>
      </c>
      <c r="D504" s="2">
        <v>18.722999572753899</v>
      </c>
      <c r="E504" s="3">
        <f t="shared" si="30"/>
        <v>1.87229995727539E-2</v>
      </c>
      <c r="F504" s="3">
        <f>ROUNDUP((0.015%*D504+10*0.01/(SQRT(3))),4)</f>
        <v>6.0600000000000001E-2</v>
      </c>
      <c r="G504" s="3">
        <f t="shared" si="31"/>
        <v>-3.97800258718144</v>
      </c>
      <c r="H504" s="45"/>
    </row>
    <row r="505" spans="1:8" x14ac:dyDescent="0.25">
      <c r="A505" s="2">
        <v>854</v>
      </c>
      <c r="B505" s="3">
        <f t="shared" si="28"/>
        <v>0.85399999999999998</v>
      </c>
      <c r="C505" s="2">
        <f t="shared" si="29"/>
        <v>0.68379999999999996</v>
      </c>
      <c r="D505" s="2">
        <v>18.811000823974599</v>
      </c>
      <c r="E505" s="3">
        <f t="shared" si="30"/>
        <v>1.8811000823974598E-2</v>
      </c>
      <c r="F505" s="3">
        <f>ROUNDUP((0.015%*D505+10*0.01/(SQRT(3))),4)</f>
        <v>6.0600000000000001E-2</v>
      </c>
      <c r="G505" s="3">
        <f t="shared" si="31"/>
        <v>-3.9733134300684476</v>
      </c>
      <c r="H505" s="45"/>
    </row>
    <row r="506" spans="1:8" x14ac:dyDescent="0.25">
      <c r="A506" s="2">
        <v>855</v>
      </c>
      <c r="B506" s="3">
        <f t="shared" si="28"/>
        <v>0.85499999999999998</v>
      </c>
      <c r="C506" s="2">
        <f t="shared" si="29"/>
        <v>0.68459999999999999</v>
      </c>
      <c r="D506" s="2">
        <v>18.8579998016357</v>
      </c>
      <c r="E506" s="3">
        <f t="shared" si="30"/>
        <v>1.8857999801635699E-2</v>
      </c>
      <c r="F506" s="3">
        <f>ROUNDUP((0.015%*D506+10*0.01/(SQRT(3))),4)</f>
        <v>6.0600000000000001E-2</v>
      </c>
      <c r="G506" s="3">
        <f t="shared" si="31"/>
        <v>-3.9708180624574925</v>
      </c>
      <c r="H506" s="45"/>
    </row>
    <row r="507" spans="1:8" x14ac:dyDescent="0.25">
      <c r="A507" s="2">
        <v>855</v>
      </c>
      <c r="B507" s="3">
        <f t="shared" si="28"/>
        <v>0.85499999999999998</v>
      </c>
      <c r="C507" s="2">
        <f t="shared" si="29"/>
        <v>0.68459999999999999</v>
      </c>
      <c r="D507" s="2">
        <v>18.906000137329102</v>
      </c>
      <c r="E507" s="3">
        <f t="shared" si="30"/>
        <v>1.8906000137329102E-2</v>
      </c>
      <c r="F507" s="3">
        <f>ROUNDUP((0.015%*D507+10*0.01/(SQRT(3))),4)</f>
        <v>6.0600000000000001E-2</v>
      </c>
      <c r="G507" s="3">
        <f t="shared" si="31"/>
        <v>-3.9682759397151606</v>
      </c>
      <c r="H507" s="45"/>
    </row>
    <row r="508" spans="1:8" x14ac:dyDescent="0.25">
      <c r="A508" s="2">
        <v>855</v>
      </c>
      <c r="B508" s="3">
        <f t="shared" si="28"/>
        <v>0.85499999999999998</v>
      </c>
      <c r="C508" s="2">
        <f t="shared" si="29"/>
        <v>0.68459999999999999</v>
      </c>
      <c r="D508" s="2">
        <v>18.965000152587901</v>
      </c>
      <c r="E508" s="3">
        <f t="shared" si="30"/>
        <v>1.8965000152587903E-2</v>
      </c>
      <c r="F508" s="3">
        <f>ROUNDUP((0.015%*D508+10*0.01/(SQRT(3))),4)</f>
        <v>6.0600000000000001E-2</v>
      </c>
      <c r="G508" s="3">
        <f t="shared" si="31"/>
        <v>-3.9651600957955115</v>
      </c>
      <c r="H508" s="45"/>
    </row>
    <row r="509" spans="1:8" x14ac:dyDescent="0.25">
      <c r="A509" s="2">
        <v>856</v>
      </c>
      <c r="B509" s="3">
        <f t="shared" si="28"/>
        <v>0.85599999999999998</v>
      </c>
      <c r="C509" s="2">
        <f t="shared" si="29"/>
        <v>0.68540000000000001</v>
      </c>
      <c r="D509" s="2">
        <v>18.989000320434599</v>
      </c>
      <c r="E509" s="3">
        <f t="shared" si="30"/>
        <v>1.8989000320434598E-2</v>
      </c>
      <c r="F509" s="3">
        <f>ROUNDUP((0.015%*D509+10*0.01/(SQRT(3))),4)</f>
        <v>6.0600000000000001E-2</v>
      </c>
      <c r="G509" s="3">
        <f t="shared" si="31"/>
        <v>-3.9638953979641092</v>
      </c>
      <c r="H509" s="45"/>
    </row>
    <row r="510" spans="1:8" x14ac:dyDescent="0.25">
      <c r="A510" s="2">
        <v>856</v>
      </c>
      <c r="B510" s="3">
        <f t="shared" si="28"/>
        <v>0.85599999999999998</v>
      </c>
      <c r="C510" s="2">
        <f t="shared" si="29"/>
        <v>0.68540000000000001</v>
      </c>
      <c r="D510" s="2">
        <v>19.058000564575199</v>
      </c>
      <c r="E510" s="3">
        <f t="shared" si="30"/>
        <v>1.9058000564575198E-2</v>
      </c>
      <c r="F510" s="3">
        <f>ROUNDUP((0.015%*D510+10*0.01/(SQRT(3))),4)</f>
        <v>6.0600000000000001E-2</v>
      </c>
      <c r="G510" s="3">
        <f t="shared" si="31"/>
        <v>-3.9602682884320881</v>
      </c>
      <c r="H510" s="45"/>
    </row>
    <row r="511" spans="1:8" x14ac:dyDescent="0.25">
      <c r="A511" s="2">
        <v>858</v>
      </c>
      <c r="B511" s="3">
        <f t="shared" si="28"/>
        <v>0.85799999999999998</v>
      </c>
      <c r="C511" s="2">
        <f t="shared" si="29"/>
        <v>0.68699999999999994</v>
      </c>
      <c r="D511" s="2">
        <v>19.232000350952099</v>
      </c>
      <c r="E511" s="3">
        <f t="shared" si="30"/>
        <v>1.92320003509521E-2</v>
      </c>
      <c r="F511" s="3">
        <f>ROUNDUP((0.015%*D511+10*0.01/(SQRT(3))),4)</f>
        <v>6.0700000000000004E-2</v>
      </c>
      <c r="G511" s="3">
        <f t="shared" si="31"/>
        <v>-3.9511797023809989</v>
      </c>
      <c r="H511" s="45"/>
    </row>
    <row r="512" spans="1:8" x14ac:dyDescent="0.25">
      <c r="A512" s="2">
        <v>860</v>
      </c>
      <c r="B512" s="3">
        <f t="shared" si="28"/>
        <v>0.86</v>
      </c>
      <c r="C512" s="2">
        <f t="shared" si="29"/>
        <v>0.68859999999999999</v>
      </c>
      <c r="D512" s="2">
        <v>19.423999786376999</v>
      </c>
      <c r="E512" s="3">
        <f t="shared" si="30"/>
        <v>1.9423999786376999E-2</v>
      </c>
      <c r="F512" s="3">
        <f>ROUNDUP((0.015%*D512+10*0.01/(SQRT(3))),4)</f>
        <v>6.0700000000000004E-2</v>
      </c>
      <c r="G512" s="3">
        <f t="shared" si="31"/>
        <v>-3.9412458751029384</v>
      </c>
      <c r="H512" s="45"/>
    </row>
    <row r="513" spans="1:8" x14ac:dyDescent="0.25">
      <c r="A513" s="2">
        <v>860</v>
      </c>
      <c r="B513" s="3">
        <f t="shared" si="28"/>
        <v>0.86</v>
      </c>
      <c r="C513" s="2">
        <f t="shared" si="29"/>
        <v>0.68859999999999999</v>
      </c>
      <c r="D513" s="2">
        <v>19.504999160766602</v>
      </c>
      <c r="E513" s="3">
        <f t="shared" si="30"/>
        <v>1.9504999160766603E-2</v>
      </c>
      <c r="F513" s="3">
        <f>ROUNDUP((0.015%*D513+10*0.01/(SQRT(3))),4)</f>
        <v>6.0700000000000004E-2</v>
      </c>
      <c r="G513" s="3">
        <f t="shared" si="31"/>
        <v>-3.9370844790500956</v>
      </c>
      <c r="H513" s="45"/>
    </row>
    <row r="514" spans="1:8" x14ac:dyDescent="0.25">
      <c r="A514" s="2">
        <v>861</v>
      </c>
      <c r="B514" s="3">
        <f t="shared" si="28"/>
        <v>0.86099999999999999</v>
      </c>
      <c r="C514" s="2">
        <f t="shared" si="29"/>
        <v>0.68940000000000001</v>
      </c>
      <c r="D514" s="2">
        <v>19.534000396728501</v>
      </c>
      <c r="E514" s="3">
        <f t="shared" si="30"/>
        <v>1.9534000396728503E-2</v>
      </c>
      <c r="F514" s="3">
        <f>ROUNDUP((0.015%*D514+10*0.01/(SQRT(3))),4)</f>
        <v>6.0700000000000004E-2</v>
      </c>
      <c r="G514" s="3">
        <f t="shared" si="31"/>
        <v>-3.9355987216472124</v>
      </c>
      <c r="H514" s="45"/>
    </row>
    <row r="515" spans="1:8" x14ac:dyDescent="0.25">
      <c r="A515" s="2">
        <v>861</v>
      </c>
      <c r="B515" s="3">
        <f t="shared" si="28"/>
        <v>0.86099999999999999</v>
      </c>
      <c r="C515" s="2">
        <f t="shared" si="29"/>
        <v>0.68940000000000001</v>
      </c>
      <c r="D515" s="2">
        <v>19.576000213623001</v>
      </c>
      <c r="E515" s="3">
        <f t="shared" si="30"/>
        <v>1.9576000213623001E-2</v>
      </c>
      <c r="F515" s="3">
        <f>ROUNDUP((0.015%*D515+10*0.01/(SQRT(3))),4)</f>
        <v>6.0700000000000004E-2</v>
      </c>
      <c r="G515" s="3">
        <f t="shared" si="31"/>
        <v>-3.9334509419292716</v>
      </c>
      <c r="H515" s="45"/>
    </row>
    <row r="516" spans="1:8" x14ac:dyDescent="0.25">
      <c r="A516" s="2">
        <v>862</v>
      </c>
      <c r="B516" s="3">
        <f t="shared" si="28"/>
        <v>0.86199999999999999</v>
      </c>
      <c r="C516" s="2">
        <f t="shared" si="29"/>
        <v>0.69020000000000004</v>
      </c>
      <c r="D516" s="2">
        <v>19.670000076293899</v>
      </c>
      <c r="E516" s="3">
        <f t="shared" si="30"/>
        <v>1.9670000076293898E-2</v>
      </c>
      <c r="F516" s="3">
        <f>ROUNDUP((0.015%*D516+10*0.01/(SQRT(3))),4)</f>
        <v>6.0700000000000004E-2</v>
      </c>
      <c r="G516" s="3">
        <f t="shared" si="31"/>
        <v>-3.9286606427024759</v>
      </c>
      <c r="H516" s="45"/>
    </row>
    <row r="517" spans="1:8" x14ac:dyDescent="0.25">
      <c r="A517" s="2">
        <v>863</v>
      </c>
      <c r="B517" s="3">
        <f t="shared" si="28"/>
        <v>0.86299999999999999</v>
      </c>
      <c r="C517" s="2">
        <f t="shared" si="29"/>
        <v>0.69099999999999995</v>
      </c>
      <c r="D517" s="2">
        <v>19.767999649047901</v>
      </c>
      <c r="E517" s="3">
        <f t="shared" si="30"/>
        <v>1.97679996490479E-2</v>
      </c>
      <c r="F517" s="3">
        <f>ROUNDUP((0.015%*D517+10*0.01/(SQRT(3))),4)</f>
        <v>6.08E-2</v>
      </c>
      <c r="G517" s="3">
        <f t="shared" si="31"/>
        <v>-3.9236908280493745</v>
      </c>
      <c r="H517" s="45"/>
    </row>
    <row r="518" spans="1:8" x14ac:dyDescent="0.25">
      <c r="A518" s="2">
        <v>863</v>
      </c>
      <c r="B518" s="3">
        <f t="shared" si="28"/>
        <v>0.86299999999999999</v>
      </c>
      <c r="C518" s="2">
        <f t="shared" si="29"/>
        <v>0.69099999999999995</v>
      </c>
      <c r="D518" s="2">
        <v>19.7670001983643</v>
      </c>
      <c r="E518" s="3">
        <f t="shared" si="30"/>
        <v>1.9767000198364301E-2</v>
      </c>
      <c r="F518" s="3">
        <f>ROUNDUP((0.015%*D518+10*0.01/(SQRT(3))),4)</f>
        <v>6.08E-2</v>
      </c>
      <c r="G518" s="3">
        <f t="shared" si="31"/>
        <v>-3.9237413883472203</v>
      </c>
      <c r="H518" s="45"/>
    </row>
    <row r="519" spans="1:8" x14ac:dyDescent="0.25">
      <c r="A519" s="2">
        <v>864</v>
      </c>
      <c r="B519" s="3">
        <f t="shared" si="28"/>
        <v>0.86399999999999999</v>
      </c>
      <c r="C519" s="2">
        <f t="shared" si="29"/>
        <v>0.69179999999999997</v>
      </c>
      <c r="D519" s="2">
        <v>19.909000396728501</v>
      </c>
      <c r="E519" s="3">
        <f t="shared" si="30"/>
        <v>1.99090003967285E-2</v>
      </c>
      <c r="F519" s="3">
        <f>ROUNDUP((0.015%*D519+10*0.01/(SQRT(3))),4)</f>
        <v>6.08E-2</v>
      </c>
      <c r="G519" s="3">
        <f t="shared" si="31"/>
        <v>-3.9165833682573847</v>
      </c>
      <c r="H519" s="45"/>
    </row>
    <row r="520" spans="1:8" x14ac:dyDescent="0.25">
      <c r="A520" s="2">
        <v>865</v>
      </c>
      <c r="B520" s="3">
        <f t="shared" si="28"/>
        <v>0.86499999999999999</v>
      </c>
      <c r="C520" s="2">
        <f t="shared" si="29"/>
        <v>0.69259999999999999</v>
      </c>
      <c r="D520" s="2">
        <v>20.07200050354</v>
      </c>
      <c r="E520" s="3">
        <f t="shared" si="30"/>
        <v>2.0072000503540001E-2</v>
      </c>
      <c r="F520" s="3">
        <f>ROUNDUP((0.015%*D520+10*0.01/(SQRT(3))),4)</f>
        <v>6.08E-2</v>
      </c>
      <c r="G520" s="3">
        <f t="shared" si="31"/>
        <v>-3.9084294448313281</v>
      </c>
      <c r="H520" s="45"/>
    </row>
    <row r="521" spans="1:8" x14ac:dyDescent="0.25">
      <c r="A521" s="2">
        <v>866</v>
      </c>
      <c r="B521" s="3">
        <f t="shared" si="28"/>
        <v>0.86599999999999999</v>
      </c>
      <c r="C521" s="2">
        <f t="shared" si="29"/>
        <v>0.69340000000000002</v>
      </c>
      <c r="D521" s="2">
        <v>20.145999908447301</v>
      </c>
      <c r="E521" s="3">
        <f t="shared" si="30"/>
        <v>2.0145999908447301E-2</v>
      </c>
      <c r="F521" s="3">
        <f>ROUNDUP((0.015%*D521+10*0.01/(SQRT(3))),4)</f>
        <v>6.08E-2</v>
      </c>
      <c r="G521" s="3">
        <f t="shared" si="31"/>
        <v>-3.9047495260061083</v>
      </c>
      <c r="H521" s="45"/>
    </row>
    <row r="522" spans="1:8" x14ac:dyDescent="0.25">
      <c r="A522" s="2">
        <v>868</v>
      </c>
      <c r="B522" s="3">
        <f t="shared" si="28"/>
        <v>0.86799999999999999</v>
      </c>
      <c r="C522" s="2">
        <f t="shared" si="29"/>
        <v>0.69499999999999995</v>
      </c>
      <c r="D522" s="2">
        <v>20.406000137329102</v>
      </c>
      <c r="E522" s="3">
        <f t="shared" si="30"/>
        <v>2.0406000137329103E-2</v>
      </c>
      <c r="F522" s="3">
        <f>ROUNDUP((0.015%*D522+10*0.01/(SQRT(3))),4)</f>
        <v>6.08E-2</v>
      </c>
      <c r="G522" s="3">
        <f t="shared" si="31"/>
        <v>-3.8919262969991841</v>
      </c>
      <c r="H522" s="45"/>
    </row>
    <row r="523" spans="1:8" x14ac:dyDescent="0.25">
      <c r="A523" s="2">
        <v>868</v>
      </c>
      <c r="B523" s="3">
        <f t="shared" si="28"/>
        <v>0.86799999999999999</v>
      </c>
      <c r="C523" s="2">
        <f t="shared" si="29"/>
        <v>0.69499999999999995</v>
      </c>
      <c r="D523" s="2">
        <v>20.450000762939499</v>
      </c>
      <c r="E523" s="3">
        <f t="shared" si="30"/>
        <v>2.0450000762939499E-2</v>
      </c>
      <c r="F523" s="3">
        <f>ROUNDUP((0.015%*D523+10*0.01/(SQRT(3))),4)</f>
        <v>6.0900000000000003E-2</v>
      </c>
      <c r="G523" s="3">
        <f t="shared" si="31"/>
        <v>-3.889772359185772</v>
      </c>
      <c r="H523" s="45"/>
    </row>
    <row r="524" spans="1:8" x14ac:dyDescent="0.25">
      <c r="A524" s="2">
        <v>869</v>
      </c>
      <c r="B524" s="3">
        <f t="shared" ref="B524:B544" si="32">A524*0.001</f>
        <v>0.86899999999999999</v>
      </c>
      <c r="C524" s="2">
        <f t="shared" ref="C524:C544" si="33">ROUNDUP((0.08%*A524+0.001/(SQRT(3))),4)</f>
        <v>0.69579999999999997</v>
      </c>
      <c r="D524" s="2">
        <v>20.4769992828369</v>
      </c>
      <c r="E524" s="3">
        <f t="shared" ref="E524:E544" si="34">D524*0.001</f>
        <v>2.0476999282836899E-2</v>
      </c>
      <c r="F524" s="3">
        <f>ROUNDUP((0.015%*D524+10*0.01/(SQRT(3))),4)</f>
        <v>6.0900000000000003E-2</v>
      </c>
      <c r="G524" s="3">
        <f t="shared" ref="G524:G544" si="35">LN(E524)</f>
        <v>-3.8884530089385745</v>
      </c>
      <c r="H524" s="45"/>
    </row>
    <row r="525" spans="1:8" x14ac:dyDescent="0.25">
      <c r="A525" s="2">
        <v>869</v>
      </c>
      <c r="B525" s="3">
        <f t="shared" si="32"/>
        <v>0.86899999999999999</v>
      </c>
      <c r="C525" s="2">
        <f t="shared" si="33"/>
        <v>0.69579999999999997</v>
      </c>
      <c r="D525" s="2">
        <v>20.528999328613299</v>
      </c>
      <c r="E525" s="3">
        <f t="shared" si="34"/>
        <v>2.0528999328613299E-2</v>
      </c>
      <c r="F525" s="3">
        <f>ROUNDUP((0.015%*D525+10*0.01/(SQRT(3))),4)</f>
        <v>6.0900000000000003E-2</v>
      </c>
      <c r="G525" s="3">
        <f t="shared" si="35"/>
        <v>-3.8859167910479733</v>
      </c>
      <c r="H525" s="45"/>
    </row>
    <row r="526" spans="1:8" x14ac:dyDescent="0.25">
      <c r="A526" s="2">
        <v>870</v>
      </c>
      <c r="B526" s="3">
        <f t="shared" si="32"/>
        <v>0.87</v>
      </c>
      <c r="C526" s="2">
        <f t="shared" si="33"/>
        <v>0.6966</v>
      </c>
      <c r="D526" s="2">
        <v>20.6340007781982</v>
      </c>
      <c r="E526" s="3">
        <f t="shared" si="34"/>
        <v>2.06340007781982E-2</v>
      </c>
      <c r="F526" s="3">
        <f>ROUNDUP((0.015%*D526+10*0.01/(SQRT(3))),4)</f>
        <v>6.0900000000000003E-2</v>
      </c>
      <c r="G526" s="3">
        <f t="shared" si="35"/>
        <v>-3.8808150405895891</v>
      </c>
      <c r="H526" s="45"/>
    </row>
    <row r="527" spans="1:8" x14ac:dyDescent="0.25">
      <c r="A527" s="2">
        <v>870</v>
      </c>
      <c r="B527" s="3">
        <f t="shared" si="32"/>
        <v>0.87</v>
      </c>
      <c r="C527" s="2">
        <f t="shared" si="33"/>
        <v>0.6966</v>
      </c>
      <c r="D527" s="2">
        <v>20.638999938964801</v>
      </c>
      <c r="E527" s="3">
        <f t="shared" si="34"/>
        <v>2.06389999389648E-2</v>
      </c>
      <c r="F527" s="3">
        <f>ROUNDUP((0.015%*D527+10*0.01/(SQRT(3))),4)</f>
        <v>6.0900000000000003E-2</v>
      </c>
      <c r="G527" s="3">
        <f t="shared" si="35"/>
        <v>-3.8805727921121735</v>
      </c>
      <c r="H527" s="45"/>
    </row>
    <row r="528" spans="1:8" x14ac:dyDescent="0.25">
      <c r="A528" s="2">
        <v>870</v>
      </c>
      <c r="B528" s="3">
        <f t="shared" si="32"/>
        <v>0.87</v>
      </c>
      <c r="C528" s="2">
        <f t="shared" si="33"/>
        <v>0.6966</v>
      </c>
      <c r="D528" s="2">
        <v>20.681999206543001</v>
      </c>
      <c r="E528" s="3">
        <f t="shared" si="34"/>
        <v>2.0681999206543001E-2</v>
      </c>
      <c r="F528" s="3">
        <f>ROUNDUP((0.015%*D528+10*0.01/(SQRT(3))),4)</f>
        <v>6.0900000000000003E-2</v>
      </c>
      <c r="G528" s="3">
        <f t="shared" si="35"/>
        <v>-3.8784915605839712</v>
      </c>
      <c r="H528" s="45"/>
    </row>
    <row r="529" spans="1:8" x14ac:dyDescent="0.25">
      <c r="A529" s="2">
        <v>871</v>
      </c>
      <c r="B529" s="3">
        <f t="shared" si="32"/>
        <v>0.871</v>
      </c>
      <c r="C529" s="2">
        <f t="shared" si="33"/>
        <v>0.69740000000000002</v>
      </c>
      <c r="D529" s="2">
        <v>20.725000381469702</v>
      </c>
      <c r="E529" s="3">
        <f t="shared" si="34"/>
        <v>2.0725000381469703E-2</v>
      </c>
      <c r="F529" s="3">
        <f>ROUNDUP((0.015%*D529+10*0.01/(SQRT(3))),4)</f>
        <v>6.0900000000000003E-2</v>
      </c>
      <c r="G529" s="3">
        <f t="shared" si="35"/>
        <v>-3.8764145595545201</v>
      </c>
      <c r="H529" s="45"/>
    </row>
    <row r="530" spans="1:8" x14ac:dyDescent="0.25">
      <c r="A530" s="2">
        <v>871</v>
      </c>
      <c r="B530" s="3">
        <f t="shared" si="32"/>
        <v>0.871</v>
      </c>
      <c r="C530" s="2">
        <f t="shared" si="33"/>
        <v>0.69740000000000002</v>
      </c>
      <c r="D530" s="2">
        <v>20.787000656127901</v>
      </c>
      <c r="E530" s="3">
        <f t="shared" si="34"/>
        <v>2.0787000656127902E-2</v>
      </c>
      <c r="F530" s="3">
        <f>ROUNDUP((0.015%*D530+10*0.01/(SQRT(3))),4)</f>
        <v>6.0900000000000003E-2</v>
      </c>
      <c r="G530" s="3">
        <f t="shared" si="35"/>
        <v>-3.8734274561044453</v>
      </c>
      <c r="H530" s="45"/>
    </row>
    <row r="531" spans="1:8" x14ac:dyDescent="0.25">
      <c r="A531" s="2">
        <v>872</v>
      </c>
      <c r="B531" s="3">
        <f t="shared" si="32"/>
        <v>0.872</v>
      </c>
      <c r="C531" s="2">
        <f t="shared" si="33"/>
        <v>0.69820000000000004</v>
      </c>
      <c r="D531" s="2">
        <v>20.844999313354499</v>
      </c>
      <c r="E531" s="3">
        <f t="shared" si="34"/>
        <v>2.0844999313354498E-2</v>
      </c>
      <c r="F531" s="3">
        <f>ROUNDUP((0.015%*D531+10*0.01/(SQRT(3))),4)</f>
        <v>6.0900000000000003E-2</v>
      </c>
      <c r="G531" s="3">
        <f t="shared" si="35"/>
        <v>-3.8706412005899149</v>
      </c>
      <c r="H531" s="45"/>
    </row>
    <row r="532" spans="1:8" x14ac:dyDescent="0.25">
      <c r="A532" s="2">
        <v>871</v>
      </c>
      <c r="B532" s="3">
        <f t="shared" si="32"/>
        <v>0.871</v>
      </c>
      <c r="C532" s="2">
        <f t="shared" si="33"/>
        <v>0.69740000000000002</v>
      </c>
      <c r="D532" s="2">
        <v>20.804000854492202</v>
      </c>
      <c r="E532" s="3">
        <f t="shared" si="34"/>
        <v>2.0804000854492202E-2</v>
      </c>
      <c r="F532" s="3">
        <f>ROUNDUP((0.015%*D532+10*0.01/(SQRT(3))),4)</f>
        <v>6.0900000000000003E-2</v>
      </c>
      <c r="G532" s="3">
        <f t="shared" si="35"/>
        <v>-3.8726099619978549</v>
      </c>
      <c r="H532" s="45"/>
    </row>
    <row r="533" spans="1:8" x14ac:dyDescent="0.25">
      <c r="A533" s="2">
        <v>871</v>
      </c>
      <c r="B533" s="3">
        <f t="shared" si="32"/>
        <v>0.871</v>
      </c>
      <c r="C533" s="2">
        <f t="shared" si="33"/>
        <v>0.69740000000000002</v>
      </c>
      <c r="D533" s="2">
        <v>20.834999084472699</v>
      </c>
      <c r="E533" s="3">
        <f t="shared" si="34"/>
        <v>2.08349990844727E-2</v>
      </c>
      <c r="F533" s="3">
        <f>ROUNDUP((0.015%*D533+10*0.01/(SQRT(3))),4)</f>
        <v>6.0900000000000003E-2</v>
      </c>
      <c r="G533" s="3">
        <f t="shared" si="35"/>
        <v>-3.8711210580495163</v>
      </c>
      <c r="H533" s="45"/>
    </row>
    <row r="534" spans="1:8" x14ac:dyDescent="0.25">
      <c r="A534" s="2">
        <v>872</v>
      </c>
      <c r="B534" s="3">
        <f t="shared" si="32"/>
        <v>0.872</v>
      </c>
      <c r="C534" s="2">
        <f t="shared" si="33"/>
        <v>0.69820000000000004</v>
      </c>
      <c r="D534" s="2">
        <v>20.9379997253418</v>
      </c>
      <c r="E534" s="3">
        <f t="shared" si="34"/>
        <v>2.0937999725341799E-2</v>
      </c>
      <c r="F534" s="3">
        <f>ROUNDUP((0.015%*D534+10*0.01/(SQRT(3))),4)</f>
        <v>6.0900000000000003E-2</v>
      </c>
      <c r="G534" s="3">
        <f t="shared" si="35"/>
        <v>-3.8661896022026645</v>
      </c>
      <c r="H534" s="45"/>
    </row>
    <row r="535" spans="1:8" x14ac:dyDescent="0.25">
      <c r="A535" s="2">
        <v>873</v>
      </c>
      <c r="B535" s="3">
        <f t="shared" si="32"/>
        <v>0.873</v>
      </c>
      <c r="C535" s="2">
        <f t="shared" si="33"/>
        <v>0.69899999999999995</v>
      </c>
      <c r="D535" s="2">
        <v>20.982000350952099</v>
      </c>
      <c r="E535" s="3">
        <f t="shared" si="34"/>
        <v>2.0982000350952098E-2</v>
      </c>
      <c r="F535" s="3">
        <f>ROUNDUP((0.015%*D535+10*0.01/(SQRT(3))),4)</f>
        <v>6.0900000000000003E-2</v>
      </c>
      <c r="G535" s="3">
        <f t="shared" si="35"/>
        <v>-3.8640903349465017</v>
      </c>
      <c r="H535" s="45"/>
    </row>
    <row r="536" spans="1:8" x14ac:dyDescent="0.25">
      <c r="A536" s="2">
        <v>873</v>
      </c>
      <c r="B536" s="3">
        <f t="shared" si="32"/>
        <v>0.873</v>
      </c>
      <c r="C536" s="2">
        <f t="shared" si="33"/>
        <v>0.69899999999999995</v>
      </c>
      <c r="D536" s="2">
        <v>21.041000366210898</v>
      </c>
      <c r="E536" s="3">
        <f t="shared" si="34"/>
        <v>2.1041000366210899E-2</v>
      </c>
      <c r="F536" s="3">
        <f>ROUNDUP((0.015%*D536+10*0.01/(SQRT(3))),4)</f>
        <v>6.0900000000000003E-2</v>
      </c>
      <c r="G536" s="3">
        <f t="shared" si="35"/>
        <v>-3.8612823463203281</v>
      </c>
      <c r="H536" s="45"/>
    </row>
    <row r="537" spans="1:8" x14ac:dyDescent="0.25">
      <c r="A537" s="2">
        <v>875</v>
      </c>
      <c r="B537" s="3">
        <f t="shared" si="32"/>
        <v>0.875</v>
      </c>
      <c r="C537" s="2">
        <f t="shared" si="33"/>
        <v>0.7006</v>
      </c>
      <c r="D537" s="2">
        <v>21.246000289916999</v>
      </c>
      <c r="E537" s="3">
        <f t="shared" si="34"/>
        <v>2.1246000289917001E-2</v>
      </c>
      <c r="F537" s="3">
        <f>ROUNDUP((0.015%*D537+10*0.01/(SQRT(3))),4)</f>
        <v>6.1000000000000006E-2</v>
      </c>
      <c r="G537" s="3">
        <f t="shared" si="35"/>
        <v>-3.8515866229785938</v>
      </c>
      <c r="H537" s="45"/>
    </row>
    <row r="538" spans="1:8" x14ac:dyDescent="0.25">
      <c r="A538" s="2">
        <v>876</v>
      </c>
      <c r="B538" s="3">
        <f t="shared" si="32"/>
        <v>0.876</v>
      </c>
      <c r="C538" s="2">
        <f t="shared" si="33"/>
        <v>0.70140000000000002</v>
      </c>
      <c r="D538" s="2">
        <v>21.3780002593994</v>
      </c>
      <c r="E538" s="3">
        <f t="shared" si="34"/>
        <v>2.1378000259399399E-2</v>
      </c>
      <c r="F538" s="3">
        <f>ROUNDUP((0.015%*D538+10*0.01/(SQRT(3))),4)</f>
        <v>6.1000000000000006E-2</v>
      </c>
      <c r="G538" s="3">
        <f t="shared" si="35"/>
        <v>-3.8453929109964418</v>
      </c>
      <c r="H538" s="45"/>
    </row>
    <row r="539" spans="1:8" x14ac:dyDescent="0.25">
      <c r="A539" s="2">
        <v>876</v>
      </c>
      <c r="B539" s="3">
        <f t="shared" si="32"/>
        <v>0.876</v>
      </c>
      <c r="C539" s="2">
        <f t="shared" si="33"/>
        <v>0.70140000000000002</v>
      </c>
      <c r="D539" s="2">
        <v>21.405000686645501</v>
      </c>
      <c r="E539" s="3">
        <f t="shared" si="34"/>
        <v>2.1405000686645501E-2</v>
      </c>
      <c r="F539" s="3">
        <f>ROUNDUP((0.015%*D539+10*0.01/(SQRT(3))),4)</f>
        <v>6.1000000000000006E-2</v>
      </c>
      <c r="G539" s="3">
        <f t="shared" si="35"/>
        <v>-3.8441307073064848</v>
      </c>
      <c r="H539" s="45"/>
    </row>
    <row r="540" spans="1:8" x14ac:dyDescent="0.25">
      <c r="A540" s="2">
        <v>876</v>
      </c>
      <c r="B540" s="3">
        <f t="shared" si="32"/>
        <v>0.876</v>
      </c>
      <c r="C540" s="2">
        <f t="shared" si="33"/>
        <v>0.70140000000000002</v>
      </c>
      <c r="D540" s="2">
        <v>21.408000946044901</v>
      </c>
      <c r="E540" s="3">
        <f t="shared" si="34"/>
        <v>2.1408000946044902E-2</v>
      </c>
      <c r="F540" s="3">
        <f>ROUNDUP((0.015%*D540+10*0.01/(SQRT(3))),4)</f>
        <v>6.1000000000000006E-2</v>
      </c>
      <c r="G540" s="3">
        <f t="shared" si="35"/>
        <v>-3.8439905508451346</v>
      </c>
      <c r="H540" s="45"/>
    </row>
    <row r="541" spans="1:8" x14ac:dyDescent="0.25">
      <c r="A541" s="2">
        <v>876</v>
      </c>
      <c r="B541" s="3">
        <f t="shared" si="32"/>
        <v>0.876</v>
      </c>
      <c r="C541" s="2">
        <f t="shared" si="33"/>
        <v>0.70140000000000002</v>
      </c>
      <c r="D541" s="2">
        <v>21.419000625610401</v>
      </c>
      <c r="E541" s="3">
        <f t="shared" si="34"/>
        <v>2.1419000625610401E-2</v>
      </c>
      <c r="F541" s="3">
        <f>ROUNDUP((0.015%*D541+10*0.01/(SQRT(3))),4)</f>
        <v>6.1000000000000006E-2</v>
      </c>
      <c r="G541" s="3">
        <f t="shared" si="35"/>
        <v>-3.8434768711849339</v>
      </c>
      <c r="H541" s="45"/>
    </row>
    <row r="542" spans="1:8" x14ac:dyDescent="0.25">
      <c r="A542" s="2">
        <v>876</v>
      </c>
      <c r="B542" s="3">
        <f t="shared" si="32"/>
        <v>0.876</v>
      </c>
      <c r="C542" s="2">
        <f t="shared" si="33"/>
        <v>0.70140000000000002</v>
      </c>
      <c r="D542" s="2">
        <v>21.4209995269775</v>
      </c>
      <c r="E542" s="3">
        <f t="shared" si="34"/>
        <v>2.1420999526977499E-2</v>
      </c>
      <c r="F542" s="3">
        <f>ROUNDUP((0.015%*D542+10*0.01/(SQRT(3))),4)</f>
        <v>6.1000000000000006E-2</v>
      </c>
      <c r="G542" s="3">
        <f t="shared" si="35"/>
        <v>-3.8433835517936439</v>
      </c>
      <c r="H542" s="45"/>
    </row>
    <row r="543" spans="1:8" x14ac:dyDescent="0.25">
      <c r="A543" s="2">
        <v>876</v>
      </c>
      <c r="B543" s="3">
        <f t="shared" si="32"/>
        <v>0.876</v>
      </c>
      <c r="C543" s="2">
        <f t="shared" si="33"/>
        <v>0.70140000000000002</v>
      </c>
      <c r="D543" s="2">
        <v>21.422000885009801</v>
      </c>
      <c r="E543" s="3">
        <f t="shared" si="34"/>
        <v>2.1422000885009802E-2</v>
      </c>
      <c r="F543" s="3">
        <f>ROUNDUP((0.015%*D543+10*0.01/(SQRT(3))),4)</f>
        <v>6.1000000000000006E-2</v>
      </c>
      <c r="G543" s="3">
        <f t="shared" si="35"/>
        <v>-3.8433368063265734</v>
      </c>
      <c r="H543" s="45"/>
    </row>
    <row r="544" spans="1:8" x14ac:dyDescent="0.25">
      <c r="A544" s="2">
        <v>876</v>
      </c>
      <c r="B544" s="3">
        <f t="shared" si="32"/>
        <v>0.876</v>
      </c>
      <c r="C544" s="2">
        <f t="shared" si="33"/>
        <v>0.70140000000000002</v>
      </c>
      <c r="D544" s="2">
        <v>21.422000885009801</v>
      </c>
      <c r="E544" s="3">
        <f t="shared" si="34"/>
        <v>2.1422000885009802E-2</v>
      </c>
      <c r="F544" s="3">
        <f>ROUNDUP((0.015%*D544+10*0.01/(SQRT(3))),4)</f>
        <v>6.1000000000000006E-2</v>
      </c>
      <c r="G544" s="3">
        <f t="shared" si="35"/>
        <v>-3.8433368063265734</v>
      </c>
      <c r="H544" s="45"/>
    </row>
  </sheetData>
  <mergeCells count="6">
    <mergeCell ref="K16:L16"/>
    <mergeCell ref="A7:K7"/>
    <mergeCell ref="C1:N1"/>
    <mergeCell ref="C2:N2"/>
    <mergeCell ref="C3:N3"/>
    <mergeCell ref="C4:N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57293-18CE-49FB-BA27-05A9717815F2}">
  <dimension ref="A4:AC476"/>
  <sheetViews>
    <sheetView tabSelected="1" topLeftCell="E6" zoomScale="85" zoomScaleNormal="85" workbookViewId="0">
      <selection activeCell="P20" sqref="P20"/>
    </sheetView>
  </sheetViews>
  <sheetFormatPr defaultRowHeight="15" x14ac:dyDescent="0.25"/>
  <cols>
    <col min="1" max="1" width="11.42578125" bestFit="1" customWidth="1"/>
    <col min="2" max="2" width="11.42578125" customWidth="1"/>
    <col min="3" max="3" width="12" bestFit="1" customWidth="1"/>
    <col min="15" max="15" width="4.140625" customWidth="1"/>
    <col min="17" max="17" width="15.85546875" customWidth="1"/>
    <col min="18" max="18" width="18" customWidth="1"/>
    <col min="19" max="19" width="24.42578125" customWidth="1"/>
    <col min="20" max="20" width="24" customWidth="1"/>
    <col min="22" max="22" width="10.7109375" customWidth="1"/>
  </cols>
  <sheetData>
    <row r="4" spans="17:24" ht="15.75" thickBot="1" x14ac:dyDescent="0.3"/>
    <row r="5" spans="17:24" ht="15.75" thickBot="1" x14ac:dyDescent="0.3">
      <c r="V5" s="27" t="s">
        <v>29</v>
      </c>
      <c r="W5" s="28" t="s">
        <v>28</v>
      </c>
      <c r="X5" s="28" t="s">
        <v>30</v>
      </c>
    </row>
    <row r="6" spans="17:24" x14ac:dyDescent="0.25">
      <c r="Q6" s="19" t="s">
        <v>19</v>
      </c>
      <c r="R6" s="19" t="s">
        <v>18</v>
      </c>
      <c r="S6" s="19" t="s">
        <v>20</v>
      </c>
      <c r="W6" s="48">
        <f>R7+0.1</f>
        <v>-0.30698000788688695</v>
      </c>
      <c r="X6" s="2">
        <v>392</v>
      </c>
    </row>
    <row r="7" spans="17:24" x14ac:dyDescent="0.25">
      <c r="Q7" s="14">
        <v>37.020000000000003</v>
      </c>
      <c r="R7" s="20">
        <v>-0.40698000788688699</v>
      </c>
      <c r="S7" s="22">
        <v>501.29998779296898</v>
      </c>
      <c r="W7" s="48">
        <f t="shared" ref="W7:W11" si="0">R8+0.1</f>
        <v>-0.25229000449180594</v>
      </c>
      <c r="X7" s="2">
        <v>400</v>
      </c>
    </row>
    <row r="8" spans="17:24" x14ac:dyDescent="0.25">
      <c r="Q8" s="15">
        <v>31.97</v>
      </c>
      <c r="R8" s="21">
        <v>-0.35229000449180597</v>
      </c>
      <c r="S8" s="23">
        <v>491</v>
      </c>
      <c r="W8" s="48">
        <f t="shared" si="0"/>
        <v>-0.20213999748230002</v>
      </c>
      <c r="X8" s="2">
        <v>405</v>
      </c>
    </row>
    <row r="9" spans="17:24" x14ac:dyDescent="0.25">
      <c r="Q9" s="15">
        <v>27.07</v>
      </c>
      <c r="R9" s="21">
        <v>-0.30213999748230003</v>
      </c>
      <c r="S9" s="23">
        <v>483.60000610351602</v>
      </c>
      <c r="W9" s="48">
        <f t="shared" si="0"/>
        <v>-0.14868999421596499</v>
      </c>
      <c r="X9" s="2">
        <v>414</v>
      </c>
    </row>
    <row r="10" spans="17:24" x14ac:dyDescent="0.25">
      <c r="Q10" s="15">
        <v>22.08</v>
      </c>
      <c r="R10" s="21">
        <v>-0.24868999421596499</v>
      </c>
      <c r="S10" s="23">
        <v>474.60000610351602</v>
      </c>
      <c r="W10" s="48">
        <f t="shared" si="0"/>
        <v>-9.2450001835822998E-2</v>
      </c>
      <c r="X10" s="2">
        <v>422</v>
      </c>
    </row>
    <row r="11" spans="17:24" x14ac:dyDescent="0.25">
      <c r="Q11" s="15">
        <v>17.059999999999999</v>
      </c>
      <c r="R11" s="21">
        <v>-0.192450001835823</v>
      </c>
      <c r="S11" s="23">
        <v>462.10000610351602</v>
      </c>
      <c r="W11" s="48">
        <f t="shared" si="0"/>
        <v>-3.4020000696181996E-2</v>
      </c>
      <c r="X11" s="2">
        <v>429</v>
      </c>
    </row>
    <row r="12" spans="17:24" x14ac:dyDescent="0.25">
      <c r="Q12" s="17">
        <v>12.01</v>
      </c>
      <c r="R12" s="25">
        <v>-0.134020000696182</v>
      </c>
      <c r="S12" s="24">
        <v>449.60000610351602</v>
      </c>
    </row>
    <row r="14" spans="17:24" x14ac:dyDescent="0.25">
      <c r="R14" s="26"/>
    </row>
    <row r="15" spans="17:24" x14ac:dyDescent="0.25">
      <c r="R15" s="26"/>
    </row>
    <row r="16" spans="17:24" x14ac:dyDescent="0.25">
      <c r="R16" s="26"/>
    </row>
    <row r="17" spans="1:29" x14ac:dyDescent="0.25">
      <c r="R17" s="26"/>
    </row>
    <row r="18" spans="1:29" x14ac:dyDescent="0.25">
      <c r="R18" s="26"/>
    </row>
    <row r="19" spans="1:29" ht="15.75" thickBot="1" x14ac:dyDescent="0.3">
      <c r="R19" s="26"/>
    </row>
    <row r="20" spans="1:29" ht="15.75" thickBot="1" x14ac:dyDescent="0.3">
      <c r="Q20" s="14" cm="1">
        <f t="array" ref="Q20:R24">LINEST(W6:W11,X6:X11,1,1)</f>
        <v>7.2773970058892549E-3</v>
      </c>
      <c r="R20" s="32">
        <v>-3.1589202391847175</v>
      </c>
      <c r="T20" s="33" t="s">
        <v>47</v>
      </c>
    </row>
    <row r="21" spans="1:29" ht="15.75" thickBot="1" x14ac:dyDescent="0.3">
      <c r="Q21" s="15">
        <v>1.9316897480297805E-4</v>
      </c>
      <c r="R21" s="16">
        <v>7.9301687246255873E-2</v>
      </c>
      <c r="T21" s="34">
        <f>1/Q20</f>
        <v>137.41176950917301</v>
      </c>
    </row>
    <row r="22" spans="1:29" ht="15.75" thickBot="1" x14ac:dyDescent="0.3">
      <c r="Q22" s="15">
        <v>0.9971896502728882</v>
      </c>
      <c r="R22" s="16">
        <v>6.014145747576259E-3</v>
      </c>
      <c r="T22" s="33" t="s">
        <v>27</v>
      </c>
    </row>
    <row r="23" spans="1:29" x14ac:dyDescent="0.25">
      <c r="Q23" s="15">
        <v>1419.3104020512096</v>
      </c>
      <c r="R23" s="16">
        <v>4</v>
      </c>
      <c r="T23" s="3">
        <f>Q21/(Q20*Q20)</f>
        <v>3.6474155004144349</v>
      </c>
    </row>
    <row r="24" spans="1:29" x14ac:dyDescent="0.25">
      <c r="Q24" s="17">
        <v>5.1336384961098575E-2</v>
      </c>
      <c r="R24" s="18">
        <v>1.446797962923584E-4</v>
      </c>
    </row>
    <row r="26" spans="1:29" ht="15.75" thickBot="1" x14ac:dyDescent="0.3"/>
    <row r="27" spans="1:29" ht="15.75" thickBot="1" x14ac:dyDescent="0.3">
      <c r="A27" s="35" t="s">
        <v>36</v>
      </c>
      <c r="B27" s="39"/>
      <c r="C27" s="39"/>
      <c r="D27" s="39"/>
      <c r="E27" s="39"/>
      <c r="F27" s="39"/>
      <c r="G27" s="36"/>
    </row>
    <row r="29" spans="1:29" ht="15.75" thickBot="1" x14ac:dyDescent="0.3"/>
    <row r="30" spans="1:29" ht="15.75" thickBot="1" x14ac:dyDescent="0.3">
      <c r="A30" s="40" t="s">
        <v>21</v>
      </c>
      <c r="B30" s="41"/>
      <c r="C30" s="41"/>
      <c r="D30" s="42"/>
      <c r="F30" s="40" t="s">
        <v>22</v>
      </c>
      <c r="G30" s="41"/>
      <c r="H30" s="41"/>
      <c r="I30" s="42"/>
      <c r="K30" s="40" t="s">
        <v>23</v>
      </c>
      <c r="L30" s="41"/>
      <c r="M30" s="41"/>
      <c r="N30" s="42"/>
      <c r="P30" s="40" t="s">
        <v>24</v>
      </c>
      <c r="Q30" s="41"/>
      <c r="R30" s="41"/>
      <c r="S30" s="42"/>
      <c r="U30" s="40" t="s">
        <v>25</v>
      </c>
      <c r="V30" s="41"/>
      <c r="W30" s="41"/>
      <c r="X30" s="42"/>
      <c r="Z30" s="40" t="s">
        <v>26</v>
      </c>
      <c r="AA30" s="41"/>
      <c r="AB30" s="41"/>
      <c r="AC30" s="42"/>
    </row>
    <row r="32" spans="1:29" ht="15.75" thickBot="1" x14ac:dyDescent="0.3"/>
    <row r="33" spans="1:29" x14ac:dyDescent="0.25">
      <c r="A33" s="7" t="s">
        <v>13</v>
      </c>
      <c r="B33" s="13" t="s">
        <v>4</v>
      </c>
      <c r="C33" s="13" t="s">
        <v>5</v>
      </c>
      <c r="D33" s="8" t="s">
        <v>6</v>
      </c>
      <c r="F33" s="7" t="s">
        <v>13</v>
      </c>
      <c r="G33" s="13" t="s">
        <v>4</v>
      </c>
      <c r="H33" s="13" t="s">
        <v>5</v>
      </c>
      <c r="I33" s="8" t="s">
        <v>6</v>
      </c>
      <c r="K33" s="7" t="s">
        <v>13</v>
      </c>
      <c r="L33" s="13" t="s">
        <v>4</v>
      </c>
      <c r="M33" s="13" t="s">
        <v>5</v>
      </c>
      <c r="N33" s="8" t="s">
        <v>6</v>
      </c>
      <c r="P33" s="7" t="s">
        <v>13</v>
      </c>
      <c r="Q33" s="13" t="s">
        <v>4</v>
      </c>
      <c r="R33" s="13" t="s">
        <v>5</v>
      </c>
      <c r="S33" s="8" t="s">
        <v>6</v>
      </c>
      <c r="U33" s="7" t="s">
        <v>13</v>
      </c>
      <c r="V33" s="13" t="s">
        <v>4</v>
      </c>
      <c r="W33" s="13" t="s">
        <v>5</v>
      </c>
      <c r="X33" s="8" t="s">
        <v>6</v>
      </c>
      <c r="Z33" s="7" t="s">
        <v>13</v>
      </c>
      <c r="AA33" s="13" t="s">
        <v>4</v>
      </c>
      <c r="AB33" s="13" t="s">
        <v>5</v>
      </c>
      <c r="AC33" s="8" t="s">
        <v>6</v>
      </c>
    </row>
    <row r="34" spans="1:29" x14ac:dyDescent="0.25">
      <c r="A34" s="2">
        <v>-97.900001525878906</v>
      </c>
      <c r="B34" s="2">
        <f>ROUNDUP((0.08%*A34+0.001/(SQRT(3))),4)</f>
        <v>-7.7800000000000008E-2</v>
      </c>
      <c r="C34" s="2">
        <v>-0.40724998712539701</v>
      </c>
      <c r="D34" s="2">
        <f>ROUNDUP((0.015%*C34+0.01/(SQRT(3))),4)</f>
        <v>5.8000000000000005E-3</v>
      </c>
      <c r="F34" s="2">
        <v>-100.800003051758</v>
      </c>
      <c r="G34" s="2">
        <f>ROUNDUP((0.08%*F34+0.001/(SQRT(3))),4)</f>
        <v>-8.0100000000000005E-2</v>
      </c>
      <c r="H34" s="2">
        <v>-0.352319985628128</v>
      </c>
      <c r="I34" s="2">
        <f>ROUNDUP((0.015%*H34+0.01/(SQRT(3))),4)</f>
        <v>5.8000000000000005E-3</v>
      </c>
      <c r="K34" s="2">
        <v>-101</v>
      </c>
      <c r="L34" s="2">
        <f>ROUNDUP((0.08%*K34+0.001/(SQRT(3))),4)</f>
        <v>-8.0299999999999996E-2</v>
      </c>
      <c r="M34" s="2">
        <v>-0.30184000730514499</v>
      </c>
      <c r="N34" s="2">
        <f>ROUNDUP((0.015%*M34+0.01/(SQRT(3))),4)</f>
        <v>5.8000000000000005E-3</v>
      </c>
      <c r="P34" s="2">
        <v>-99.300003051757798</v>
      </c>
      <c r="Q34" s="2">
        <f>ROUNDUP((0.08%*P34+0.001/(SQRT(3))),4)</f>
        <v>-7.8899999999999998E-2</v>
      </c>
      <c r="R34" s="2">
        <v>-0.24886000156402599</v>
      </c>
      <c r="S34" s="2">
        <f>ROUNDUP((0.015%*R34+0.01/(SQRT(3))),4)</f>
        <v>5.8000000000000005E-3</v>
      </c>
      <c r="U34" s="2">
        <v>-105</v>
      </c>
      <c r="V34" s="2">
        <f>ROUNDUP((0.08%*U34+0.001/(SQRT(3))),4)</f>
        <v>-8.3500000000000005E-2</v>
      </c>
      <c r="W34" s="2">
        <v>-0.19222000241279599</v>
      </c>
      <c r="X34" s="2">
        <f>ROUNDUP((0.015%*W34+0.01/(SQRT(3))),4)</f>
        <v>5.8000000000000005E-3</v>
      </c>
      <c r="Z34" s="2">
        <v>-92.5</v>
      </c>
      <c r="AA34" s="2">
        <f>ROUNDUP((0.08%*Z34+0.001/(SQRT(3))),4)</f>
        <v>-7.350000000000001E-2</v>
      </c>
      <c r="AB34" s="2">
        <v>-0.13402999937534299</v>
      </c>
      <c r="AC34" s="2">
        <f>ROUNDUP((0.015%*AB34+0.01/(SQRT(3))),4)</f>
        <v>5.8000000000000005E-3</v>
      </c>
    </row>
    <row r="35" spans="1:29" x14ac:dyDescent="0.25">
      <c r="A35" s="2">
        <v>-95.199996948242202</v>
      </c>
      <c r="B35" s="2">
        <f t="shared" ref="B35:B98" si="1">ROUNDUP((0.08%*A35+0.001/(SQRT(3))),4)</f>
        <v>-7.5600000000000001E-2</v>
      </c>
      <c r="C35" s="2">
        <v>-0.40724998712539701</v>
      </c>
      <c r="D35" s="2">
        <f t="shared" ref="D35:D98" si="2">ROUNDUP((0.015%*C35+0.01/(SQRT(3))),4)</f>
        <v>5.8000000000000005E-3</v>
      </c>
      <c r="F35" s="2">
        <v>-94.099998474121094</v>
      </c>
      <c r="G35" s="2">
        <f t="shared" ref="G35:G98" si="3">ROUNDUP((0.08%*F35+0.001/(SQRT(3))),4)</f>
        <v>-7.4800000000000005E-2</v>
      </c>
      <c r="H35" s="2">
        <v>-0.35231000185012801</v>
      </c>
      <c r="I35" s="2">
        <f t="shared" ref="I35:I98" si="4">ROUNDUP((0.015%*H35+0.01/(SQRT(3))),4)</f>
        <v>5.8000000000000005E-3</v>
      </c>
      <c r="K35" s="2">
        <v>-98.099998474121094</v>
      </c>
      <c r="L35" s="2">
        <f t="shared" ref="L35:L98" si="5">ROUNDUP((0.08%*K35+0.001/(SQRT(3))),4)</f>
        <v>-7.8E-2</v>
      </c>
      <c r="M35" s="2">
        <v>-0.30184999108314498</v>
      </c>
      <c r="N35" s="2">
        <f t="shared" ref="N35:N98" si="6">ROUNDUP((0.015%*M35+0.01/(SQRT(3))),4)</f>
        <v>5.8000000000000005E-3</v>
      </c>
      <c r="P35" s="2">
        <v>-95.300003051757798</v>
      </c>
      <c r="Q35" s="2">
        <f t="shared" ref="Q35:Q98" si="7">ROUNDUP((0.08%*P35+0.001/(SQRT(3))),4)</f>
        <v>-7.5700000000000003E-2</v>
      </c>
      <c r="R35" s="2">
        <v>-0.24886000156402599</v>
      </c>
      <c r="S35" s="2">
        <f t="shared" ref="S35:S98" si="8">ROUNDUP((0.015%*R35+0.01/(SQRT(3))),4)</f>
        <v>5.8000000000000005E-3</v>
      </c>
      <c r="U35" s="2">
        <v>-105</v>
      </c>
      <c r="V35" s="2">
        <f t="shared" ref="V35:V98" si="9">ROUNDUP((0.08%*U35+0.001/(SQRT(3))),4)</f>
        <v>-8.3500000000000005E-2</v>
      </c>
      <c r="W35" s="2">
        <v>-0.192239999771118</v>
      </c>
      <c r="X35" s="2">
        <f t="shared" ref="X35:X98" si="10">ROUNDUP((0.015%*W35+0.01/(SQRT(3))),4)</f>
        <v>5.8000000000000005E-3</v>
      </c>
      <c r="Z35" s="2">
        <v>-87.699996948242202</v>
      </c>
      <c r="AA35" s="2">
        <f t="shared" ref="AA35:AA98" si="11">ROUNDUP((0.08%*Z35+0.001/(SQRT(3))),4)</f>
        <v>-6.9600000000000009E-2</v>
      </c>
      <c r="AB35" s="2">
        <v>-0.13403999805450401</v>
      </c>
      <c r="AC35" s="2">
        <f t="shared" ref="AC35:AC98" si="12">ROUNDUP((0.015%*AB35+0.01/(SQRT(3))),4)</f>
        <v>5.8000000000000005E-3</v>
      </c>
    </row>
    <row r="36" spans="1:29" x14ac:dyDescent="0.25">
      <c r="A36" s="2">
        <v>-93.699996948242202</v>
      </c>
      <c r="B36" s="2">
        <f t="shared" si="1"/>
        <v>-7.4400000000000008E-2</v>
      </c>
      <c r="C36" s="2">
        <v>-0.40724000334739702</v>
      </c>
      <c r="D36" s="2">
        <f t="shared" si="2"/>
        <v>5.8000000000000005E-3</v>
      </c>
      <c r="F36" s="2">
        <v>-88.599998474121094</v>
      </c>
      <c r="G36" s="2">
        <f t="shared" si="3"/>
        <v>-7.0400000000000004E-2</v>
      </c>
      <c r="H36" s="2">
        <v>-0.35231000185012801</v>
      </c>
      <c r="I36" s="2">
        <f t="shared" si="4"/>
        <v>5.8000000000000005E-3</v>
      </c>
      <c r="K36" s="2">
        <v>-98.099998474121094</v>
      </c>
      <c r="L36" s="2">
        <f t="shared" si="5"/>
        <v>-7.8E-2</v>
      </c>
      <c r="M36" s="2">
        <v>-0.30184999108314498</v>
      </c>
      <c r="N36" s="2">
        <f t="shared" si="6"/>
        <v>5.8000000000000005E-3</v>
      </c>
      <c r="P36" s="2">
        <v>-87.699996948242202</v>
      </c>
      <c r="Q36" s="2">
        <f t="shared" si="7"/>
        <v>-6.9600000000000009E-2</v>
      </c>
      <c r="R36" s="2">
        <v>-0.24884000420570401</v>
      </c>
      <c r="S36" s="2">
        <f t="shared" si="8"/>
        <v>5.8000000000000005E-3</v>
      </c>
      <c r="U36" s="2">
        <v>-104.90000152587901</v>
      </c>
      <c r="V36" s="2">
        <f t="shared" si="9"/>
        <v>-8.3400000000000002E-2</v>
      </c>
      <c r="W36" s="2">
        <v>-0.19225999712944</v>
      </c>
      <c r="X36" s="2">
        <f t="shared" si="10"/>
        <v>5.8000000000000005E-3</v>
      </c>
      <c r="Z36" s="2">
        <v>-82.800003051757798</v>
      </c>
      <c r="AA36" s="2">
        <f t="shared" si="11"/>
        <v>-6.5700000000000008E-2</v>
      </c>
      <c r="AB36" s="2">
        <v>-0.13403999805450401</v>
      </c>
      <c r="AC36" s="2">
        <f t="shared" si="12"/>
        <v>5.8000000000000005E-3</v>
      </c>
    </row>
    <row r="37" spans="1:29" x14ac:dyDescent="0.25">
      <c r="A37" s="2">
        <v>-91.900001525878906</v>
      </c>
      <c r="B37" s="2">
        <f t="shared" si="1"/>
        <v>-7.3000000000000009E-2</v>
      </c>
      <c r="C37" s="2">
        <v>-0.407209992408752</v>
      </c>
      <c r="D37" s="2">
        <f t="shared" si="2"/>
        <v>5.8000000000000005E-3</v>
      </c>
      <c r="F37" s="2">
        <v>-86.599998474121094</v>
      </c>
      <c r="G37" s="2">
        <f t="shared" si="3"/>
        <v>-6.88E-2</v>
      </c>
      <c r="H37" s="2">
        <v>-0.35229998826980602</v>
      </c>
      <c r="I37" s="2">
        <f t="shared" si="4"/>
        <v>5.8000000000000005E-3</v>
      </c>
      <c r="K37" s="2">
        <v>-98.099998474121094</v>
      </c>
      <c r="L37" s="2">
        <f t="shared" si="5"/>
        <v>-7.8E-2</v>
      </c>
      <c r="M37" s="2">
        <v>-0.30186000466346702</v>
      </c>
      <c r="N37" s="2">
        <f t="shared" si="6"/>
        <v>5.8000000000000005E-3</v>
      </c>
      <c r="P37" s="2">
        <v>-81.5</v>
      </c>
      <c r="Q37" s="2">
        <f t="shared" si="7"/>
        <v>-6.4700000000000008E-2</v>
      </c>
      <c r="R37" s="2">
        <v>-0.248830005526543</v>
      </c>
      <c r="S37" s="2">
        <f t="shared" si="8"/>
        <v>5.8000000000000005E-3</v>
      </c>
      <c r="U37" s="2">
        <v>-103</v>
      </c>
      <c r="V37" s="2">
        <f t="shared" si="9"/>
        <v>-8.1900000000000001E-2</v>
      </c>
      <c r="W37" s="2">
        <v>-0.19225999712944</v>
      </c>
      <c r="X37" s="2">
        <f t="shared" si="10"/>
        <v>5.8000000000000005E-3</v>
      </c>
      <c r="Z37" s="2">
        <v>-74.199996948242202</v>
      </c>
      <c r="AA37" s="2">
        <f t="shared" si="11"/>
        <v>-5.8800000000000005E-2</v>
      </c>
      <c r="AB37" s="2">
        <v>-0.13403999805450401</v>
      </c>
      <c r="AC37" s="2">
        <f t="shared" si="12"/>
        <v>5.8000000000000005E-3</v>
      </c>
    </row>
    <row r="38" spans="1:29" x14ac:dyDescent="0.25">
      <c r="A38" s="2">
        <v>-91.699996948242202</v>
      </c>
      <c r="B38" s="2">
        <f t="shared" si="1"/>
        <v>-7.2800000000000004E-2</v>
      </c>
      <c r="C38" s="2">
        <v>-0.407209992408752</v>
      </c>
      <c r="D38" s="2">
        <f t="shared" si="2"/>
        <v>5.8000000000000005E-3</v>
      </c>
      <c r="F38" s="2">
        <v>-83.400001525878906</v>
      </c>
      <c r="G38" s="2">
        <f t="shared" si="3"/>
        <v>-6.6200000000000009E-2</v>
      </c>
      <c r="H38" s="2">
        <v>-0.35229998826980602</v>
      </c>
      <c r="I38" s="2">
        <f t="shared" si="4"/>
        <v>5.8000000000000005E-3</v>
      </c>
      <c r="K38" s="2">
        <v>-98.099998474121094</v>
      </c>
      <c r="L38" s="2">
        <f t="shared" si="5"/>
        <v>-7.8E-2</v>
      </c>
      <c r="M38" s="2">
        <v>-0.30188000202178999</v>
      </c>
      <c r="N38" s="2">
        <f t="shared" si="6"/>
        <v>5.8000000000000005E-3</v>
      </c>
      <c r="P38" s="2">
        <v>-67.199996948242202</v>
      </c>
      <c r="Q38" s="2">
        <f t="shared" si="7"/>
        <v>-5.3200000000000004E-2</v>
      </c>
      <c r="R38" s="2">
        <v>-0.248779997229576</v>
      </c>
      <c r="S38" s="2">
        <f t="shared" si="8"/>
        <v>5.8000000000000005E-3</v>
      </c>
      <c r="U38" s="2">
        <v>-99.699996948242202</v>
      </c>
      <c r="V38" s="2">
        <f t="shared" si="9"/>
        <v>-7.9200000000000007E-2</v>
      </c>
      <c r="W38" s="2">
        <v>-0.19227999448776201</v>
      </c>
      <c r="X38" s="2">
        <f t="shared" si="10"/>
        <v>5.8000000000000005E-3</v>
      </c>
      <c r="Z38" s="2">
        <v>-64.199996948242202</v>
      </c>
      <c r="AA38" s="2">
        <f t="shared" si="11"/>
        <v>-5.0800000000000005E-2</v>
      </c>
      <c r="AB38" s="2">
        <v>-0.13403999805450401</v>
      </c>
      <c r="AC38" s="2">
        <f t="shared" si="12"/>
        <v>5.8000000000000005E-3</v>
      </c>
    </row>
    <row r="39" spans="1:29" x14ac:dyDescent="0.25">
      <c r="A39" s="2">
        <v>-91.699996948242202</v>
      </c>
      <c r="B39" s="2">
        <f t="shared" si="1"/>
        <v>-7.2800000000000004E-2</v>
      </c>
      <c r="C39" s="2">
        <v>-0.40720000863075301</v>
      </c>
      <c r="D39" s="2">
        <f t="shared" si="2"/>
        <v>5.8000000000000005E-3</v>
      </c>
      <c r="F39" s="2">
        <v>-81.599998474121094</v>
      </c>
      <c r="G39" s="2">
        <f t="shared" si="3"/>
        <v>-6.4799999999999996E-2</v>
      </c>
      <c r="H39" s="2">
        <v>-0.35229998826980602</v>
      </c>
      <c r="I39" s="2">
        <f t="shared" si="4"/>
        <v>5.8000000000000005E-3</v>
      </c>
      <c r="K39" s="2">
        <v>-97.099998474121094</v>
      </c>
      <c r="L39" s="2">
        <f t="shared" si="5"/>
        <v>-7.7200000000000005E-2</v>
      </c>
      <c r="M39" s="2">
        <v>-0.30188998579978898</v>
      </c>
      <c r="N39" s="2">
        <f t="shared" si="6"/>
        <v>5.8000000000000005E-3</v>
      </c>
      <c r="P39" s="2">
        <v>-63.700000762939503</v>
      </c>
      <c r="Q39" s="2">
        <f t="shared" si="7"/>
        <v>-5.04E-2</v>
      </c>
      <c r="R39" s="2">
        <v>-0.248779997229576</v>
      </c>
      <c r="S39" s="2">
        <f t="shared" si="8"/>
        <v>5.8000000000000005E-3</v>
      </c>
      <c r="U39" s="2">
        <v>-98</v>
      </c>
      <c r="V39" s="2">
        <f t="shared" si="9"/>
        <v>-7.7899999999999997E-2</v>
      </c>
      <c r="W39" s="2">
        <v>-0.19228999316692399</v>
      </c>
      <c r="X39" s="2">
        <f t="shared" si="10"/>
        <v>5.8000000000000005E-3</v>
      </c>
      <c r="Z39" s="2">
        <v>-59.599998474121101</v>
      </c>
      <c r="AA39" s="2">
        <f t="shared" si="11"/>
        <v>-4.7200000000000006E-2</v>
      </c>
      <c r="AB39" s="2">
        <v>-0.13403999805450401</v>
      </c>
      <c r="AC39" s="2">
        <f t="shared" si="12"/>
        <v>5.8000000000000005E-3</v>
      </c>
    </row>
    <row r="40" spans="1:29" x14ac:dyDescent="0.25">
      <c r="A40" s="2">
        <v>-91.699996948242202</v>
      </c>
      <c r="B40" s="2">
        <f t="shared" si="1"/>
        <v>-7.2800000000000004E-2</v>
      </c>
      <c r="C40" s="2">
        <v>-0.40720000863075301</v>
      </c>
      <c r="D40" s="2">
        <f t="shared" si="2"/>
        <v>5.8000000000000005E-3</v>
      </c>
      <c r="F40" s="2">
        <v>-78.199996948242202</v>
      </c>
      <c r="G40" s="2">
        <f t="shared" si="3"/>
        <v>-6.2E-2</v>
      </c>
      <c r="H40" s="2">
        <v>-0.35231000185012801</v>
      </c>
      <c r="I40" s="2">
        <f t="shared" si="4"/>
        <v>5.8000000000000005E-3</v>
      </c>
      <c r="K40" s="2">
        <v>-97.300003051757798</v>
      </c>
      <c r="L40" s="2">
        <f t="shared" si="5"/>
        <v>-7.7300000000000008E-2</v>
      </c>
      <c r="M40" s="2">
        <v>-0.30189999938011203</v>
      </c>
      <c r="N40" s="2">
        <f t="shared" si="6"/>
        <v>5.8000000000000005E-3</v>
      </c>
      <c r="P40" s="2">
        <v>-59.900001525878899</v>
      </c>
      <c r="Q40" s="2">
        <f t="shared" si="7"/>
        <v>-4.7400000000000005E-2</v>
      </c>
      <c r="R40" s="2">
        <v>-0.24876999855041501</v>
      </c>
      <c r="S40" s="2">
        <f t="shared" si="8"/>
        <v>5.8000000000000005E-3</v>
      </c>
      <c r="U40" s="2">
        <v>-97.400001525878906</v>
      </c>
      <c r="V40" s="2">
        <f t="shared" si="9"/>
        <v>-7.7399999999999997E-2</v>
      </c>
      <c r="W40" s="2">
        <v>-0.19230000674724601</v>
      </c>
      <c r="X40" s="2">
        <f t="shared" si="10"/>
        <v>5.8000000000000005E-3</v>
      </c>
      <c r="Z40" s="2">
        <v>-53.200000762939503</v>
      </c>
      <c r="AA40" s="2">
        <f t="shared" si="11"/>
        <v>-4.2000000000000003E-2</v>
      </c>
      <c r="AB40" s="2">
        <v>-0.13402999937534299</v>
      </c>
      <c r="AC40" s="2">
        <f t="shared" si="12"/>
        <v>5.8000000000000005E-3</v>
      </c>
    </row>
    <row r="41" spans="1:29" x14ac:dyDescent="0.25">
      <c r="A41" s="2">
        <v>-91.699996948242202</v>
      </c>
      <c r="B41" s="2">
        <f t="shared" si="1"/>
        <v>-7.2800000000000004E-2</v>
      </c>
      <c r="C41" s="2">
        <v>-0.40720000863075301</v>
      </c>
      <c r="D41" s="2">
        <f t="shared" si="2"/>
        <v>5.8000000000000005E-3</v>
      </c>
      <c r="F41" s="2">
        <v>-74.599998474121094</v>
      </c>
      <c r="G41" s="2">
        <f t="shared" si="3"/>
        <v>-5.9200000000000003E-2</v>
      </c>
      <c r="H41" s="2">
        <v>-0.35229000449180597</v>
      </c>
      <c r="I41" s="2">
        <f t="shared" si="4"/>
        <v>5.8000000000000005E-3</v>
      </c>
      <c r="K41" s="2">
        <v>-94.599998474121094</v>
      </c>
      <c r="L41" s="2">
        <f t="shared" si="5"/>
        <v>-7.5200000000000003E-2</v>
      </c>
      <c r="M41" s="2">
        <v>-0.30195000767707803</v>
      </c>
      <c r="N41" s="2">
        <f t="shared" si="6"/>
        <v>5.8000000000000005E-3</v>
      </c>
      <c r="P41" s="2">
        <v>-54.799999237060497</v>
      </c>
      <c r="Q41" s="2">
        <f t="shared" si="7"/>
        <v>-4.3300000000000005E-2</v>
      </c>
      <c r="R41" s="2">
        <v>-0.248759999871254</v>
      </c>
      <c r="S41" s="2">
        <f t="shared" si="8"/>
        <v>5.8000000000000005E-3</v>
      </c>
      <c r="U41" s="2">
        <v>-96.199996948242202</v>
      </c>
      <c r="V41" s="2">
        <f t="shared" si="9"/>
        <v>-7.640000000000001E-2</v>
      </c>
      <c r="W41" s="2">
        <v>-0.192310005426407</v>
      </c>
      <c r="X41" s="2">
        <f t="shared" si="10"/>
        <v>5.8000000000000005E-3</v>
      </c>
      <c r="Z41" s="2">
        <v>-49.400001525878899</v>
      </c>
      <c r="AA41" s="2">
        <f t="shared" si="11"/>
        <v>-3.9E-2</v>
      </c>
      <c r="AB41" s="2">
        <v>-0.13402999937534299</v>
      </c>
      <c r="AC41" s="2">
        <f t="shared" si="12"/>
        <v>5.8000000000000005E-3</v>
      </c>
    </row>
    <row r="42" spans="1:29" x14ac:dyDescent="0.25">
      <c r="A42" s="2">
        <v>-91.599998474121094</v>
      </c>
      <c r="B42" s="2">
        <f t="shared" si="1"/>
        <v>-7.2800000000000004E-2</v>
      </c>
      <c r="C42" s="2">
        <v>-0.40718999505043002</v>
      </c>
      <c r="D42" s="2">
        <f t="shared" si="2"/>
        <v>5.8000000000000005E-3</v>
      </c>
      <c r="F42" s="2">
        <v>-74</v>
      </c>
      <c r="G42" s="2">
        <f t="shared" si="3"/>
        <v>-5.8700000000000002E-2</v>
      </c>
      <c r="H42" s="2">
        <v>-0.35229000449180597</v>
      </c>
      <c r="I42" s="2">
        <f t="shared" si="4"/>
        <v>5.8000000000000005E-3</v>
      </c>
      <c r="K42" s="2">
        <v>-91.099998474121094</v>
      </c>
      <c r="L42" s="2">
        <f t="shared" si="5"/>
        <v>-7.2400000000000006E-2</v>
      </c>
      <c r="M42" s="2">
        <v>-0.30193999409675598</v>
      </c>
      <c r="N42" s="2">
        <f t="shared" si="6"/>
        <v>5.8000000000000005E-3</v>
      </c>
      <c r="P42" s="2">
        <v>-51.799999237060497</v>
      </c>
      <c r="Q42" s="2">
        <f t="shared" si="7"/>
        <v>-4.0900000000000006E-2</v>
      </c>
      <c r="R42" s="2">
        <v>-0.248759999871254</v>
      </c>
      <c r="S42" s="2">
        <f t="shared" si="8"/>
        <v>5.8000000000000005E-3</v>
      </c>
      <c r="U42" s="2">
        <v>-95.800003051757798</v>
      </c>
      <c r="V42" s="2">
        <f t="shared" si="9"/>
        <v>-7.6100000000000001E-2</v>
      </c>
      <c r="W42" s="2">
        <v>-0.19232000410556799</v>
      </c>
      <c r="X42" s="2">
        <f t="shared" si="10"/>
        <v>5.8000000000000005E-3</v>
      </c>
      <c r="Z42" s="2">
        <v>0</v>
      </c>
      <c r="AA42" s="2">
        <f t="shared" si="11"/>
        <v>6.0000000000000006E-4</v>
      </c>
      <c r="AB42" s="2">
        <v>-0.13402999937534299</v>
      </c>
      <c r="AC42" s="2">
        <f t="shared" si="12"/>
        <v>5.8000000000000005E-3</v>
      </c>
    </row>
    <row r="43" spans="1:29" x14ac:dyDescent="0.25">
      <c r="A43" s="2">
        <v>-91</v>
      </c>
      <c r="B43" s="2">
        <f t="shared" si="1"/>
        <v>-7.2300000000000003E-2</v>
      </c>
      <c r="C43" s="2">
        <v>-0.40718999505043002</v>
      </c>
      <c r="D43" s="2">
        <f t="shared" si="2"/>
        <v>5.8000000000000005E-3</v>
      </c>
      <c r="F43" s="2">
        <v>-74</v>
      </c>
      <c r="G43" s="2">
        <f t="shared" si="3"/>
        <v>-5.8700000000000002E-2</v>
      </c>
      <c r="H43" s="2">
        <v>-0.35227999091148399</v>
      </c>
      <c r="I43" s="2">
        <f t="shared" si="4"/>
        <v>5.8000000000000005E-3</v>
      </c>
      <c r="K43" s="2">
        <v>-91.099998474121094</v>
      </c>
      <c r="L43" s="2">
        <f t="shared" si="5"/>
        <v>-7.2400000000000006E-2</v>
      </c>
      <c r="M43" s="2">
        <v>-0.30195000767707803</v>
      </c>
      <c r="N43" s="2">
        <f t="shared" si="6"/>
        <v>5.8000000000000005E-3</v>
      </c>
      <c r="P43" s="2">
        <v>-51</v>
      </c>
      <c r="Q43" s="2">
        <f t="shared" si="7"/>
        <v>-4.0300000000000002E-2</v>
      </c>
      <c r="R43" s="2">
        <v>-0.248759999871254</v>
      </c>
      <c r="S43" s="2">
        <f t="shared" si="8"/>
        <v>5.8000000000000005E-3</v>
      </c>
      <c r="U43" s="2">
        <v>-94.300003051757798</v>
      </c>
      <c r="V43" s="2">
        <f t="shared" si="9"/>
        <v>-7.4900000000000008E-2</v>
      </c>
      <c r="W43" s="2">
        <v>-0.19232000410556799</v>
      </c>
      <c r="X43" s="2">
        <f t="shared" si="10"/>
        <v>5.8000000000000005E-3</v>
      </c>
      <c r="Z43" s="2">
        <v>-41.630001068115199</v>
      </c>
      <c r="AA43" s="2">
        <f t="shared" si="11"/>
        <v>-3.2800000000000003E-2</v>
      </c>
      <c r="AB43" s="2">
        <v>-0.13402999937534299</v>
      </c>
      <c r="AC43" s="2">
        <f t="shared" si="12"/>
        <v>5.8000000000000005E-3</v>
      </c>
    </row>
    <row r="44" spans="1:29" x14ac:dyDescent="0.25">
      <c r="A44" s="2">
        <v>-90.199996948242202</v>
      </c>
      <c r="B44" s="2">
        <f t="shared" si="1"/>
        <v>-7.1599999999999997E-2</v>
      </c>
      <c r="C44" s="2">
        <v>-0.40718999505043002</v>
      </c>
      <c r="D44" s="2">
        <f t="shared" si="2"/>
        <v>5.8000000000000005E-3</v>
      </c>
      <c r="F44" s="2">
        <v>-72.800003051757798</v>
      </c>
      <c r="G44" s="2">
        <f t="shared" si="3"/>
        <v>-5.7700000000000001E-2</v>
      </c>
      <c r="H44" s="2">
        <v>-0.35229000449180597</v>
      </c>
      <c r="I44" s="2">
        <f t="shared" si="4"/>
        <v>5.8000000000000005E-3</v>
      </c>
      <c r="K44" s="2">
        <v>-91.099998474121094</v>
      </c>
      <c r="L44" s="2">
        <f t="shared" si="5"/>
        <v>-7.2400000000000006E-2</v>
      </c>
      <c r="M44" s="2">
        <v>-0.30195999145507801</v>
      </c>
      <c r="N44" s="2">
        <f t="shared" si="6"/>
        <v>5.8000000000000005E-3</v>
      </c>
      <c r="P44" s="2">
        <v>-48</v>
      </c>
      <c r="Q44" s="2">
        <f t="shared" si="7"/>
        <v>-3.7900000000000003E-2</v>
      </c>
      <c r="R44" s="2">
        <v>-0.248759999871254</v>
      </c>
      <c r="S44" s="2">
        <f t="shared" si="8"/>
        <v>5.8000000000000005E-3</v>
      </c>
      <c r="U44" s="2">
        <v>-93.099998474121094</v>
      </c>
      <c r="V44" s="2">
        <f t="shared" si="9"/>
        <v>-7.3999999999999996E-2</v>
      </c>
      <c r="W44" s="2">
        <v>-0.192330002784729</v>
      </c>
      <c r="X44" s="2">
        <f t="shared" si="10"/>
        <v>5.8000000000000005E-3</v>
      </c>
      <c r="Z44" s="2">
        <v>-37.5</v>
      </c>
      <c r="AA44" s="2">
        <f t="shared" si="11"/>
        <v>-2.9499999999999998E-2</v>
      </c>
      <c r="AB44" s="2">
        <v>-0.13402999937534299</v>
      </c>
      <c r="AC44" s="2">
        <f t="shared" si="12"/>
        <v>5.8000000000000005E-3</v>
      </c>
    </row>
    <row r="45" spans="1:29" x14ac:dyDescent="0.25">
      <c r="A45" s="2">
        <v>-89.900001525878906</v>
      </c>
      <c r="B45" s="2">
        <f t="shared" si="1"/>
        <v>-7.1400000000000005E-2</v>
      </c>
      <c r="C45" s="2">
        <v>-0.40718001127242998</v>
      </c>
      <c r="D45" s="2">
        <f t="shared" si="2"/>
        <v>5.8000000000000005E-3</v>
      </c>
      <c r="F45" s="2">
        <v>-66.300003051757798</v>
      </c>
      <c r="G45" s="2">
        <f t="shared" si="3"/>
        <v>-5.2500000000000005E-2</v>
      </c>
      <c r="H45" s="2">
        <v>-0.35229998826980602</v>
      </c>
      <c r="I45" s="2">
        <f t="shared" si="4"/>
        <v>5.8000000000000005E-3</v>
      </c>
      <c r="K45" s="2">
        <v>-90.199996948242202</v>
      </c>
      <c r="L45" s="2">
        <f t="shared" si="5"/>
        <v>-7.1599999999999997E-2</v>
      </c>
      <c r="M45" s="2">
        <v>-0.30199998617172202</v>
      </c>
      <c r="N45" s="2">
        <f t="shared" si="6"/>
        <v>5.8000000000000005E-3</v>
      </c>
      <c r="P45" s="2">
        <v>-46.099998474121101</v>
      </c>
      <c r="Q45" s="2">
        <f t="shared" si="7"/>
        <v>-3.6400000000000002E-2</v>
      </c>
      <c r="R45" s="2">
        <v>-0.248759999871254</v>
      </c>
      <c r="S45" s="2">
        <f t="shared" si="8"/>
        <v>5.8000000000000005E-3</v>
      </c>
      <c r="U45" s="2">
        <v>-90.800003051757798</v>
      </c>
      <c r="V45" s="2">
        <f t="shared" si="9"/>
        <v>-7.2099999999999997E-2</v>
      </c>
      <c r="W45" s="2">
        <v>-0.19234000146388999</v>
      </c>
      <c r="X45" s="2">
        <f t="shared" si="10"/>
        <v>5.8000000000000005E-3</v>
      </c>
      <c r="Z45" s="2">
        <v>-34.159999847412102</v>
      </c>
      <c r="AA45" s="2">
        <f t="shared" si="11"/>
        <v>-2.6800000000000001E-2</v>
      </c>
      <c r="AB45" s="2">
        <v>-0.13402999937534299</v>
      </c>
      <c r="AC45" s="2">
        <f t="shared" si="12"/>
        <v>5.8000000000000005E-3</v>
      </c>
    </row>
    <row r="46" spans="1:29" x14ac:dyDescent="0.25">
      <c r="A46" s="2">
        <v>-89.900001525878906</v>
      </c>
      <c r="B46" s="2">
        <f t="shared" si="1"/>
        <v>-7.1400000000000005E-2</v>
      </c>
      <c r="C46" s="2">
        <v>-0.40718001127242998</v>
      </c>
      <c r="D46" s="2">
        <f t="shared" si="2"/>
        <v>5.8000000000000005E-3</v>
      </c>
      <c r="F46" s="2">
        <v>-64</v>
      </c>
      <c r="G46" s="2">
        <f t="shared" si="3"/>
        <v>-5.0700000000000002E-2</v>
      </c>
      <c r="H46" s="2">
        <v>-0.35229998826980602</v>
      </c>
      <c r="I46" s="2">
        <f t="shared" si="4"/>
        <v>5.8000000000000005E-3</v>
      </c>
      <c r="K46" s="2">
        <v>-89.300003051757798</v>
      </c>
      <c r="L46" s="2">
        <f t="shared" si="5"/>
        <v>-7.0900000000000005E-2</v>
      </c>
      <c r="M46" s="2">
        <v>-0.30199998617172202</v>
      </c>
      <c r="N46" s="2">
        <f t="shared" si="6"/>
        <v>5.8000000000000005E-3</v>
      </c>
      <c r="P46" s="2">
        <v>-41.540000915527301</v>
      </c>
      <c r="Q46" s="2">
        <f t="shared" si="7"/>
        <v>-3.27E-2</v>
      </c>
      <c r="R46" s="2">
        <v>-0.24875000119209301</v>
      </c>
      <c r="S46" s="2">
        <f t="shared" si="8"/>
        <v>5.8000000000000005E-3</v>
      </c>
      <c r="U46" s="2">
        <v>-89.699996948242202</v>
      </c>
      <c r="V46" s="2">
        <f t="shared" si="9"/>
        <v>-7.1199999999999999E-2</v>
      </c>
      <c r="W46" s="2">
        <v>-0.19234000146388999</v>
      </c>
      <c r="X46" s="2">
        <f t="shared" si="10"/>
        <v>5.8000000000000005E-3</v>
      </c>
      <c r="Z46" s="2">
        <v>-22.290000915527301</v>
      </c>
      <c r="AA46" s="2">
        <f t="shared" si="11"/>
        <v>-1.7299999999999999E-2</v>
      </c>
      <c r="AB46" s="2">
        <v>-0.13402999937534299</v>
      </c>
      <c r="AC46" s="2">
        <f t="shared" si="12"/>
        <v>5.8000000000000005E-3</v>
      </c>
    </row>
    <row r="47" spans="1:29" x14ac:dyDescent="0.25">
      <c r="A47" s="2">
        <v>-89.900001525878906</v>
      </c>
      <c r="B47" s="2">
        <f t="shared" si="1"/>
        <v>-7.1400000000000005E-2</v>
      </c>
      <c r="C47" s="2">
        <v>-0.40718001127242998</v>
      </c>
      <c r="D47" s="2">
        <f t="shared" si="2"/>
        <v>5.8000000000000005E-3</v>
      </c>
      <c r="F47" s="2">
        <v>-62.900001525878899</v>
      </c>
      <c r="G47" s="2">
        <f t="shared" si="3"/>
        <v>-4.9800000000000004E-2</v>
      </c>
      <c r="H47" s="2">
        <v>-0.35229000449180597</v>
      </c>
      <c r="I47" s="2">
        <f t="shared" si="4"/>
        <v>5.8000000000000005E-3</v>
      </c>
      <c r="K47" s="2">
        <v>-88.300003051757798</v>
      </c>
      <c r="L47" s="2">
        <f t="shared" si="5"/>
        <v>-7.010000000000001E-2</v>
      </c>
      <c r="M47" s="2">
        <v>-0.30200999975204501</v>
      </c>
      <c r="N47" s="2">
        <f t="shared" si="6"/>
        <v>5.8000000000000005E-3</v>
      </c>
      <c r="P47" s="2">
        <v>-39.169998168945298</v>
      </c>
      <c r="Q47" s="2">
        <f t="shared" si="7"/>
        <v>-3.0800000000000001E-2</v>
      </c>
      <c r="R47" s="2">
        <v>-0.24875000119209301</v>
      </c>
      <c r="S47" s="2">
        <f t="shared" si="8"/>
        <v>5.8000000000000005E-3</v>
      </c>
      <c r="U47" s="2">
        <v>-86.099998474121094</v>
      </c>
      <c r="V47" s="2">
        <f t="shared" si="9"/>
        <v>-6.8400000000000002E-2</v>
      </c>
      <c r="W47" s="2">
        <v>-0.19236999750137301</v>
      </c>
      <c r="X47" s="2">
        <f t="shared" si="10"/>
        <v>5.8000000000000005E-3</v>
      </c>
      <c r="Z47" s="2">
        <v>-20.75</v>
      </c>
      <c r="AA47" s="2">
        <f t="shared" si="11"/>
        <v>-1.61E-2</v>
      </c>
      <c r="AB47" s="2">
        <v>-0.13402999937534299</v>
      </c>
      <c r="AC47" s="2">
        <f t="shared" si="12"/>
        <v>5.8000000000000005E-3</v>
      </c>
    </row>
    <row r="48" spans="1:29" x14ac:dyDescent="0.25">
      <c r="A48" s="2">
        <v>-90.199996948242202</v>
      </c>
      <c r="B48" s="2">
        <f t="shared" si="1"/>
        <v>-7.1599999999999997E-2</v>
      </c>
      <c r="C48" s="2">
        <v>-0.40718999505043002</v>
      </c>
      <c r="D48" s="2">
        <f t="shared" si="2"/>
        <v>5.8000000000000005E-3</v>
      </c>
      <c r="F48" s="2">
        <v>-59.799999237060497</v>
      </c>
      <c r="G48" s="2">
        <f t="shared" si="3"/>
        <v>-4.7300000000000002E-2</v>
      </c>
      <c r="H48" s="2">
        <v>-0.35229000449180597</v>
      </c>
      <c r="I48" s="2">
        <f t="shared" si="4"/>
        <v>5.8000000000000005E-3</v>
      </c>
      <c r="K48" s="2">
        <v>-87.900001525878906</v>
      </c>
      <c r="L48" s="2">
        <f t="shared" si="5"/>
        <v>-6.9800000000000001E-2</v>
      </c>
      <c r="M48" s="2">
        <v>-0.30200999975204501</v>
      </c>
      <c r="N48" s="2">
        <f t="shared" si="6"/>
        <v>5.8000000000000005E-3</v>
      </c>
      <c r="P48" s="2">
        <v>-38.220001220703097</v>
      </c>
      <c r="Q48" s="2">
        <f t="shared" si="7"/>
        <v>-0.03</v>
      </c>
      <c r="R48" s="2">
        <v>-0.24874000251293199</v>
      </c>
      <c r="S48" s="2">
        <f t="shared" si="8"/>
        <v>5.8000000000000005E-3</v>
      </c>
      <c r="U48" s="2">
        <v>-82.900001525878906</v>
      </c>
      <c r="V48" s="2">
        <f t="shared" si="9"/>
        <v>-6.5799999999999997E-2</v>
      </c>
      <c r="W48" s="2">
        <v>-0.192379996180534</v>
      </c>
      <c r="X48" s="2">
        <f t="shared" si="10"/>
        <v>5.8000000000000005E-3</v>
      </c>
      <c r="Z48" s="2">
        <v>-11.939999580383301</v>
      </c>
      <c r="AA48" s="2">
        <f t="shared" si="11"/>
        <v>-8.9999999999999993E-3</v>
      </c>
      <c r="AB48" s="2">
        <v>-0.13402999937534299</v>
      </c>
      <c r="AC48" s="2">
        <f t="shared" si="12"/>
        <v>5.8000000000000005E-3</v>
      </c>
    </row>
    <row r="49" spans="1:29" x14ac:dyDescent="0.25">
      <c r="A49" s="2">
        <v>-83.800003051757798</v>
      </c>
      <c r="B49" s="2">
        <f t="shared" si="1"/>
        <v>-6.6500000000000004E-2</v>
      </c>
      <c r="C49" s="2">
        <v>-0.40718001127242998</v>
      </c>
      <c r="D49" s="2">
        <f t="shared" si="2"/>
        <v>5.8000000000000005E-3</v>
      </c>
      <c r="F49" s="2">
        <v>-56.799999237060497</v>
      </c>
      <c r="G49" s="2">
        <f t="shared" si="3"/>
        <v>-4.4900000000000002E-2</v>
      </c>
      <c r="H49" s="2">
        <v>-0.35227999091148399</v>
      </c>
      <c r="I49" s="2">
        <f t="shared" si="4"/>
        <v>5.8000000000000005E-3</v>
      </c>
      <c r="K49" s="2">
        <v>-85.5</v>
      </c>
      <c r="L49" s="2">
        <f t="shared" si="5"/>
        <v>-6.7900000000000002E-2</v>
      </c>
      <c r="M49" s="2">
        <v>-0.30204999446868902</v>
      </c>
      <c r="N49" s="2">
        <f t="shared" si="6"/>
        <v>5.8000000000000005E-3</v>
      </c>
      <c r="P49" s="2">
        <v>-35.659999847412102</v>
      </c>
      <c r="Q49" s="2">
        <f t="shared" si="7"/>
        <v>-2.8000000000000001E-2</v>
      </c>
      <c r="R49" s="2">
        <v>-0.24874000251293199</v>
      </c>
      <c r="S49" s="2">
        <f t="shared" si="8"/>
        <v>5.8000000000000005E-3</v>
      </c>
      <c r="U49" s="2">
        <v>-81</v>
      </c>
      <c r="V49" s="2">
        <f t="shared" si="9"/>
        <v>-6.4299999999999996E-2</v>
      </c>
      <c r="W49" s="2">
        <v>-0.19238999485969499</v>
      </c>
      <c r="X49" s="2">
        <f t="shared" si="10"/>
        <v>5.8000000000000005E-3</v>
      </c>
      <c r="Z49" s="2">
        <v>-4.3600001335143999</v>
      </c>
      <c r="AA49" s="2">
        <f t="shared" si="11"/>
        <v>-2.9999999999999996E-3</v>
      </c>
      <c r="AB49" s="2">
        <v>-0.134020000696182</v>
      </c>
      <c r="AC49" s="2">
        <f t="shared" si="12"/>
        <v>5.8000000000000005E-3</v>
      </c>
    </row>
    <row r="50" spans="1:29" x14ac:dyDescent="0.25">
      <c r="A50" s="2">
        <v>-82.800003051757798</v>
      </c>
      <c r="B50" s="2">
        <f t="shared" si="1"/>
        <v>-6.5700000000000008E-2</v>
      </c>
      <c r="C50" s="2">
        <v>-0.40718001127242998</v>
      </c>
      <c r="D50" s="2">
        <f t="shared" si="2"/>
        <v>5.8000000000000005E-3</v>
      </c>
      <c r="F50" s="2">
        <v>-55</v>
      </c>
      <c r="G50" s="2">
        <f t="shared" si="3"/>
        <v>-4.3500000000000004E-2</v>
      </c>
      <c r="H50" s="2">
        <v>-0.35227999091148399</v>
      </c>
      <c r="I50" s="2">
        <f t="shared" si="4"/>
        <v>5.8000000000000005E-3</v>
      </c>
      <c r="K50" s="2">
        <v>-84</v>
      </c>
      <c r="L50" s="2">
        <f t="shared" si="5"/>
        <v>-6.6700000000000009E-2</v>
      </c>
      <c r="M50" s="2">
        <v>-0.30204999446868902</v>
      </c>
      <c r="N50" s="2">
        <f t="shared" si="6"/>
        <v>5.8000000000000005E-3</v>
      </c>
      <c r="P50" s="2">
        <v>-33.439998626708999</v>
      </c>
      <c r="Q50" s="2">
        <f t="shared" si="7"/>
        <v>-2.6200000000000001E-2</v>
      </c>
      <c r="R50" s="2">
        <v>-0.24874000251293199</v>
      </c>
      <c r="S50" s="2">
        <f t="shared" si="8"/>
        <v>5.8000000000000005E-3</v>
      </c>
      <c r="U50" s="2">
        <v>-78.800003051757798</v>
      </c>
      <c r="V50" s="2">
        <f t="shared" si="9"/>
        <v>-6.25E-2</v>
      </c>
      <c r="W50" s="2">
        <v>-0.19239999353885701</v>
      </c>
      <c r="X50" s="2">
        <f t="shared" si="10"/>
        <v>5.8000000000000005E-3</v>
      </c>
      <c r="Z50" s="2">
        <v>14.819999694824199</v>
      </c>
      <c r="AA50" s="2">
        <f t="shared" si="11"/>
        <v>1.2499999999999999E-2</v>
      </c>
      <c r="AB50" s="2">
        <v>-0.13400000333786</v>
      </c>
      <c r="AC50" s="2">
        <f t="shared" si="12"/>
        <v>5.8000000000000005E-3</v>
      </c>
    </row>
    <row r="51" spans="1:29" x14ac:dyDescent="0.25">
      <c r="A51" s="2">
        <v>-82.699996948242202</v>
      </c>
      <c r="B51" s="2">
        <f t="shared" si="1"/>
        <v>-6.5600000000000006E-2</v>
      </c>
      <c r="C51" s="2">
        <v>-0.407160013914108</v>
      </c>
      <c r="D51" s="2">
        <f t="shared" si="2"/>
        <v>5.8000000000000005E-3</v>
      </c>
      <c r="F51" s="2">
        <v>-53.200000762939503</v>
      </c>
      <c r="G51" s="2">
        <f t="shared" si="3"/>
        <v>-4.2000000000000003E-2</v>
      </c>
      <c r="H51" s="2">
        <v>-0.35227999091148399</v>
      </c>
      <c r="I51" s="2">
        <f t="shared" si="4"/>
        <v>5.8000000000000005E-3</v>
      </c>
      <c r="K51" s="2">
        <v>-84</v>
      </c>
      <c r="L51" s="2">
        <f t="shared" si="5"/>
        <v>-6.6700000000000009E-2</v>
      </c>
      <c r="M51" s="2">
        <v>-0.30204999446868902</v>
      </c>
      <c r="N51" s="2">
        <f t="shared" si="6"/>
        <v>5.8000000000000005E-3</v>
      </c>
      <c r="P51" s="2">
        <v>-28.610000610351602</v>
      </c>
      <c r="Q51" s="2">
        <f t="shared" si="7"/>
        <v>-2.24E-2</v>
      </c>
      <c r="R51" s="2">
        <v>-0.24874000251293199</v>
      </c>
      <c r="S51" s="2">
        <f t="shared" si="8"/>
        <v>5.8000000000000005E-3</v>
      </c>
      <c r="U51" s="2">
        <v>-78.199996948242202</v>
      </c>
      <c r="V51" s="2">
        <f t="shared" si="9"/>
        <v>-6.2E-2</v>
      </c>
      <c r="W51" s="2">
        <v>-0.19239999353885701</v>
      </c>
      <c r="X51" s="2">
        <f t="shared" si="10"/>
        <v>5.8000000000000005E-3</v>
      </c>
      <c r="Z51" s="2">
        <v>19.7600002288818</v>
      </c>
      <c r="AA51" s="2">
        <f t="shared" si="11"/>
        <v>1.6399999999999998E-2</v>
      </c>
      <c r="AB51" s="2">
        <v>-0.13400000333786</v>
      </c>
      <c r="AC51" s="2">
        <f t="shared" si="12"/>
        <v>5.8000000000000005E-3</v>
      </c>
    </row>
    <row r="52" spans="1:29" x14ac:dyDescent="0.25">
      <c r="A52" s="2">
        <v>-77.5</v>
      </c>
      <c r="B52" s="2">
        <f t="shared" si="1"/>
        <v>-6.1500000000000006E-2</v>
      </c>
      <c r="C52" s="2">
        <v>-0.40715000033378601</v>
      </c>
      <c r="D52" s="2">
        <f t="shared" si="2"/>
        <v>5.8000000000000005E-3</v>
      </c>
      <c r="F52" s="2">
        <v>-51.900001525878899</v>
      </c>
      <c r="G52" s="2">
        <f t="shared" si="3"/>
        <v>-4.1000000000000002E-2</v>
      </c>
      <c r="H52" s="2">
        <v>-0.35227999091148399</v>
      </c>
      <c r="I52" s="2">
        <f t="shared" si="4"/>
        <v>5.8000000000000005E-3</v>
      </c>
      <c r="K52" s="2">
        <v>-82.199996948242202</v>
      </c>
      <c r="L52" s="2">
        <f t="shared" si="5"/>
        <v>-6.5200000000000008E-2</v>
      </c>
      <c r="M52" s="2">
        <v>-0.30206000804901101</v>
      </c>
      <c r="N52" s="2">
        <f t="shared" si="6"/>
        <v>5.8000000000000005E-3</v>
      </c>
      <c r="P52" s="2">
        <v>-23.440000534057599</v>
      </c>
      <c r="Q52" s="2">
        <f t="shared" si="7"/>
        <v>-1.8200000000000001E-2</v>
      </c>
      <c r="R52" s="2">
        <v>-0.24874000251293199</v>
      </c>
      <c r="S52" s="2">
        <f t="shared" si="8"/>
        <v>5.8000000000000005E-3</v>
      </c>
      <c r="U52" s="2">
        <v>-75.199996948242202</v>
      </c>
      <c r="V52" s="2">
        <f t="shared" si="9"/>
        <v>-5.96E-2</v>
      </c>
      <c r="W52" s="2">
        <v>-0.19241000711917899</v>
      </c>
      <c r="X52" s="2">
        <f t="shared" si="10"/>
        <v>5.8000000000000005E-3</v>
      </c>
      <c r="Z52" s="2">
        <v>21.709999084472699</v>
      </c>
      <c r="AA52" s="2">
        <f t="shared" si="11"/>
        <v>1.7999999999999999E-2</v>
      </c>
      <c r="AB52" s="2">
        <v>-0.13399000465869901</v>
      </c>
      <c r="AC52" s="2">
        <f t="shared" si="12"/>
        <v>5.8000000000000005E-3</v>
      </c>
    </row>
    <row r="53" spans="1:29" x14ac:dyDescent="0.25">
      <c r="A53" s="2">
        <v>-76.300003051757798</v>
      </c>
      <c r="B53" s="2">
        <f t="shared" si="1"/>
        <v>-6.0500000000000005E-2</v>
      </c>
      <c r="C53" s="2">
        <v>-0.40713998675346402</v>
      </c>
      <c r="D53" s="2">
        <f t="shared" si="2"/>
        <v>5.8000000000000005E-3</v>
      </c>
      <c r="F53" s="2">
        <v>-53.200000762939503</v>
      </c>
      <c r="G53" s="2">
        <f t="shared" si="3"/>
        <v>-4.2000000000000003E-2</v>
      </c>
      <c r="H53" s="2">
        <v>-0.35227999091148399</v>
      </c>
      <c r="I53" s="2">
        <f t="shared" si="4"/>
        <v>5.8000000000000005E-3</v>
      </c>
      <c r="K53" s="2">
        <v>-82</v>
      </c>
      <c r="L53" s="2">
        <f t="shared" si="5"/>
        <v>-6.5100000000000005E-2</v>
      </c>
      <c r="M53" s="2">
        <v>-0.302069991827011</v>
      </c>
      <c r="N53" s="2">
        <f t="shared" si="6"/>
        <v>5.8000000000000005E-3</v>
      </c>
      <c r="P53" s="2">
        <v>-21.590000152587901</v>
      </c>
      <c r="Q53" s="2">
        <f t="shared" si="7"/>
        <v>-1.67E-2</v>
      </c>
      <c r="R53" s="2">
        <v>-0.248730003833771</v>
      </c>
      <c r="S53" s="2">
        <f t="shared" si="8"/>
        <v>5.8000000000000005E-3</v>
      </c>
      <c r="U53" s="2">
        <v>-74.800003051757798</v>
      </c>
      <c r="V53" s="2">
        <f t="shared" si="9"/>
        <v>-5.9300000000000005E-2</v>
      </c>
      <c r="W53" s="2">
        <v>-0.19241000711917899</v>
      </c>
      <c r="X53" s="2">
        <f t="shared" si="10"/>
        <v>5.8000000000000005E-3</v>
      </c>
      <c r="Z53" s="2">
        <v>24.420000076293899</v>
      </c>
      <c r="AA53" s="2">
        <f t="shared" si="11"/>
        <v>2.0199999999999999E-2</v>
      </c>
      <c r="AB53" s="2">
        <v>-0.13399000465869901</v>
      </c>
      <c r="AC53" s="2">
        <f t="shared" si="12"/>
        <v>5.8000000000000005E-3</v>
      </c>
    </row>
    <row r="54" spans="1:29" x14ac:dyDescent="0.25">
      <c r="A54" s="2">
        <v>-57.700000762939503</v>
      </c>
      <c r="B54" s="2">
        <f t="shared" si="1"/>
        <v>-4.5600000000000002E-2</v>
      </c>
      <c r="C54" s="2">
        <v>-0.40707001090049699</v>
      </c>
      <c r="D54" s="2">
        <f t="shared" si="2"/>
        <v>5.8000000000000005E-3</v>
      </c>
      <c r="F54" s="2">
        <v>-53.099998474121101</v>
      </c>
      <c r="G54" s="2">
        <f t="shared" si="3"/>
        <v>-4.2000000000000003E-2</v>
      </c>
      <c r="H54" s="2">
        <v>-0.35227999091148399</v>
      </c>
      <c r="I54" s="2">
        <f t="shared" si="4"/>
        <v>5.8000000000000005E-3</v>
      </c>
      <c r="K54" s="2">
        <v>-78.599998474121094</v>
      </c>
      <c r="L54" s="2">
        <f t="shared" si="5"/>
        <v>-6.2400000000000004E-2</v>
      </c>
      <c r="M54" s="2">
        <v>-0.30208000540733299</v>
      </c>
      <c r="N54" s="2">
        <f t="shared" si="6"/>
        <v>5.8000000000000005E-3</v>
      </c>
      <c r="P54" s="2">
        <v>-18.090000152587901</v>
      </c>
      <c r="Q54" s="2">
        <f t="shared" si="7"/>
        <v>-1.3899999999999999E-2</v>
      </c>
      <c r="R54" s="2">
        <v>-0.248730003833771</v>
      </c>
      <c r="S54" s="2">
        <f t="shared" si="8"/>
        <v>5.8000000000000005E-3</v>
      </c>
      <c r="U54" s="2">
        <v>-73.5</v>
      </c>
      <c r="V54" s="2">
        <f t="shared" si="9"/>
        <v>-5.8300000000000005E-2</v>
      </c>
      <c r="W54" s="2">
        <v>-0.19242000579834001</v>
      </c>
      <c r="X54" s="2">
        <f t="shared" si="10"/>
        <v>5.8000000000000005E-3</v>
      </c>
      <c r="Z54" s="2">
        <v>25.7600002288818</v>
      </c>
      <c r="AA54" s="2">
        <f t="shared" si="11"/>
        <v>2.12E-2</v>
      </c>
      <c r="AB54" s="2">
        <v>-0.13399000465869901</v>
      </c>
      <c r="AC54" s="2">
        <f t="shared" si="12"/>
        <v>5.8000000000000005E-3</v>
      </c>
    </row>
    <row r="55" spans="1:29" x14ac:dyDescent="0.25">
      <c r="A55" s="2">
        <v>-56.299999237060497</v>
      </c>
      <c r="B55" s="2">
        <f t="shared" si="1"/>
        <v>-4.4500000000000005E-2</v>
      </c>
      <c r="C55" s="2">
        <v>-0.40705001354217502</v>
      </c>
      <c r="D55" s="2">
        <f t="shared" si="2"/>
        <v>5.8000000000000005E-3</v>
      </c>
      <c r="F55" s="2">
        <v>-51.400001525878899</v>
      </c>
      <c r="G55" s="2">
        <f t="shared" si="3"/>
        <v>-4.0600000000000004E-2</v>
      </c>
      <c r="H55" s="2">
        <v>-0.35227999091148399</v>
      </c>
      <c r="I55" s="2">
        <f t="shared" si="4"/>
        <v>5.8000000000000005E-3</v>
      </c>
      <c r="K55" s="2">
        <v>-75.199996948242202</v>
      </c>
      <c r="L55" s="2">
        <f t="shared" si="5"/>
        <v>-5.96E-2</v>
      </c>
      <c r="M55" s="2">
        <v>-0.30208000540733299</v>
      </c>
      <c r="N55" s="2">
        <f t="shared" si="6"/>
        <v>5.8000000000000005E-3</v>
      </c>
      <c r="P55" s="2">
        <v>-14.310000419616699</v>
      </c>
      <c r="Q55" s="2">
        <f t="shared" si="7"/>
        <v>-1.09E-2</v>
      </c>
      <c r="R55" s="2">
        <v>-0.24872000515461001</v>
      </c>
      <c r="S55" s="2">
        <f t="shared" si="8"/>
        <v>5.8000000000000005E-3</v>
      </c>
      <c r="U55" s="2">
        <v>-72.5</v>
      </c>
      <c r="V55" s="2">
        <f t="shared" si="9"/>
        <v>-5.7500000000000002E-2</v>
      </c>
      <c r="W55" s="2">
        <v>-0.19242000579834001</v>
      </c>
      <c r="X55" s="2">
        <f t="shared" si="10"/>
        <v>5.8000000000000005E-3</v>
      </c>
      <c r="Z55" s="2">
        <v>30.850000381469702</v>
      </c>
      <c r="AA55" s="2">
        <f t="shared" si="11"/>
        <v>2.53E-2</v>
      </c>
      <c r="AB55" s="2">
        <v>-0.13400000333786</v>
      </c>
      <c r="AC55" s="2">
        <f t="shared" si="12"/>
        <v>5.8000000000000005E-3</v>
      </c>
    </row>
    <row r="56" spans="1:29" x14ac:dyDescent="0.25">
      <c r="A56" s="2">
        <v>-56.700000762939503</v>
      </c>
      <c r="B56" s="2">
        <f t="shared" si="1"/>
        <v>-4.48E-2</v>
      </c>
      <c r="C56" s="2">
        <v>-0.40703999996185303</v>
      </c>
      <c r="D56" s="2">
        <f t="shared" si="2"/>
        <v>5.8000000000000005E-3</v>
      </c>
      <c r="F56" s="2">
        <v>-47.900001525878899</v>
      </c>
      <c r="G56" s="2">
        <f t="shared" si="3"/>
        <v>-3.78E-2</v>
      </c>
      <c r="H56" s="2">
        <v>-0.35229000449180597</v>
      </c>
      <c r="I56" s="2">
        <f t="shared" si="4"/>
        <v>5.8000000000000005E-3</v>
      </c>
      <c r="K56" s="2">
        <v>-74.900001525878906</v>
      </c>
      <c r="L56" s="2">
        <f t="shared" si="5"/>
        <v>-5.9400000000000001E-2</v>
      </c>
      <c r="M56" s="2">
        <v>-0.30208998918533297</v>
      </c>
      <c r="N56" s="2">
        <f t="shared" si="6"/>
        <v>5.8000000000000005E-3</v>
      </c>
      <c r="P56" s="2">
        <v>-8.6099996566772496</v>
      </c>
      <c r="Q56" s="2">
        <f t="shared" si="7"/>
        <v>-6.4000000000000003E-3</v>
      </c>
      <c r="R56" s="2">
        <v>-0.248710006475449</v>
      </c>
      <c r="S56" s="2">
        <f t="shared" si="8"/>
        <v>5.8000000000000005E-3</v>
      </c>
      <c r="U56" s="2">
        <v>-71.599998474121094</v>
      </c>
      <c r="V56" s="2">
        <f t="shared" si="9"/>
        <v>-5.6800000000000003E-2</v>
      </c>
      <c r="W56" s="2">
        <v>-0.192430004477501</v>
      </c>
      <c r="X56" s="2">
        <f t="shared" si="10"/>
        <v>5.8000000000000005E-3</v>
      </c>
      <c r="Z56" s="2">
        <v>33.779998779296903</v>
      </c>
      <c r="AA56" s="2">
        <f t="shared" si="11"/>
        <v>2.7699999999999999E-2</v>
      </c>
      <c r="AB56" s="2">
        <v>-0.13400000333786</v>
      </c>
      <c r="AC56" s="2">
        <f t="shared" si="12"/>
        <v>5.8000000000000005E-3</v>
      </c>
    </row>
    <row r="57" spans="1:29" x14ac:dyDescent="0.25">
      <c r="A57" s="2">
        <v>-54.299999237060497</v>
      </c>
      <c r="B57" s="2">
        <f t="shared" si="1"/>
        <v>-4.2900000000000001E-2</v>
      </c>
      <c r="C57" s="2">
        <v>-0.40703999996185303</v>
      </c>
      <c r="D57" s="2">
        <f t="shared" si="2"/>
        <v>5.8000000000000005E-3</v>
      </c>
      <c r="F57" s="2">
        <v>-46.200000762939503</v>
      </c>
      <c r="G57" s="2">
        <f t="shared" si="3"/>
        <v>-3.6400000000000002E-2</v>
      </c>
      <c r="H57" s="2">
        <v>-0.35229000449180597</v>
      </c>
      <c r="I57" s="2">
        <f t="shared" si="4"/>
        <v>5.8000000000000005E-3</v>
      </c>
      <c r="K57" s="2">
        <v>-74.099998474121094</v>
      </c>
      <c r="L57" s="2">
        <f t="shared" si="5"/>
        <v>-5.8800000000000005E-2</v>
      </c>
      <c r="M57" s="2">
        <v>-0.30210000276565602</v>
      </c>
      <c r="N57" s="2">
        <f t="shared" si="6"/>
        <v>5.8000000000000005E-3</v>
      </c>
      <c r="P57" s="2">
        <v>-3.2400000095367401</v>
      </c>
      <c r="Q57" s="2">
        <f t="shared" si="7"/>
        <v>-2.0999999999999999E-3</v>
      </c>
      <c r="R57" s="2">
        <v>-0.24869999289512601</v>
      </c>
      <c r="S57" s="2">
        <f t="shared" si="8"/>
        <v>5.8000000000000005E-3</v>
      </c>
      <c r="U57" s="2">
        <v>-69.400001525878906</v>
      </c>
      <c r="V57" s="2">
        <f t="shared" si="9"/>
        <v>-5.5E-2</v>
      </c>
      <c r="W57" s="2">
        <v>-0.19242000579834001</v>
      </c>
      <c r="X57" s="2">
        <f t="shared" si="10"/>
        <v>5.8000000000000005E-3</v>
      </c>
      <c r="Z57" s="2">
        <v>36.459999084472699</v>
      </c>
      <c r="AA57" s="2">
        <f t="shared" si="11"/>
        <v>2.98E-2</v>
      </c>
      <c r="AB57" s="2">
        <v>-0.13399000465869901</v>
      </c>
      <c r="AC57" s="2">
        <f t="shared" si="12"/>
        <v>5.8000000000000005E-3</v>
      </c>
    </row>
    <row r="58" spans="1:29" x14ac:dyDescent="0.25">
      <c r="A58" s="2">
        <v>-48.599998474121101</v>
      </c>
      <c r="B58" s="2">
        <f t="shared" si="1"/>
        <v>-3.8400000000000004E-2</v>
      </c>
      <c r="C58" s="2">
        <v>-0.40700000524520902</v>
      </c>
      <c r="D58" s="2">
        <f t="shared" si="2"/>
        <v>5.8000000000000005E-3</v>
      </c>
      <c r="F58" s="2">
        <v>-47</v>
      </c>
      <c r="G58" s="2">
        <f t="shared" si="3"/>
        <v>-3.7100000000000001E-2</v>
      </c>
      <c r="H58" s="2">
        <v>-0.35227999091148399</v>
      </c>
      <c r="I58" s="2">
        <f t="shared" si="4"/>
        <v>5.8000000000000005E-3</v>
      </c>
      <c r="K58" s="2">
        <v>-68.099998474121094</v>
      </c>
      <c r="L58" s="2">
        <f t="shared" si="5"/>
        <v>-5.4000000000000006E-2</v>
      </c>
      <c r="M58" s="2">
        <v>-0.30210998654365501</v>
      </c>
      <c r="N58" s="2">
        <f t="shared" si="6"/>
        <v>5.8000000000000005E-3</v>
      </c>
      <c r="P58" s="2">
        <v>1.9400000572204601</v>
      </c>
      <c r="Q58" s="2">
        <f t="shared" si="7"/>
        <v>2.1999999999999997E-3</v>
      </c>
      <c r="R58" s="2">
        <v>-0.24868999421596499</v>
      </c>
      <c r="S58" s="2">
        <f t="shared" si="8"/>
        <v>5.8000000000000005E-3</v>
      </c>
      <c r="U58" s="2">
        <v>-66.5</v>
      </c>
      <c r="V58" s="2">
        <f t="shared" si="9"/>
        <v>-5.2700000000000004E-2</v>
      </c>
      <c r="W58" s="2">
        <v>-0.192430004477501</v>
      </c>
      <c r="X58" s="2">
        <f t="shared" si="10"/>
        <v>5.8000000000000005E-3</v>
      </c>
      <c r="Z58" s="2">
        <v>40.830001831054702</v>
      </c>
      <c r="AA58" s="2">
        <f t="shared" si="11"/>
        <v>3.3300000000000003E-2</v>
      </c>
      <c r="AB58" s="2">
        <v>-0.13399000465869901</v>
      </c>
      <c r="AC58" s="2">
        <f t="shared" si="12"/>
        <v>5.8000000000000005E-3</v>
      </c>
    </row>
    <row r="59" spans="1:29" x14ac:dyDescent="0.25">
      <c r="A59" s="2">
        <v>-46.299999237060497</v>
      </c>
      <c r="B59" s="2">
        <f t="shared" si="1"/>
        <v>-3.6500000000000005E-2</v>
      </c>
      <c r="C59" s="2">
        <v>-0.40698999166488598</v>
      </c>
      <c r="D59" s="2">
        <f t="shared" si="2"/>
        <v>5.8000000000000005E-3</v>
      </c>
      <c r="F59" s="2">
        <v>-46.299999237060497</v>
      </c>
      <c r="G59" s="2">
        <f t="shared" si="3"/>
        <v>-3.6500000000000005E-2</v>
      </c>
      <c r="H59" s="2">
        <v>-0.35229000449180597</v>
      </c>
      <c r="I59" s="2">
        <f t="shared" si="4"/>
        <v>5.8000000000000005E-3</v>
      </c>
      <c r="K59" s="2">
        <v>-66.300003051757798</v>
      </c>
      <c r="L59" s="2">
        <f t="shared" si="5"/>
        <v>-5.2500000000000005E-2</v>
      </c>
      <c r="M59" s="2">
        <v>-0.30210998654365501</v>
      </c>
      <c r="N59" s="2">
        <f t="shared" si="6"/>
        <v>5.8000000000000005E-3</v>
      </c>
      <c r="P59" s="2">
        <v>4.75</v>
      </c>
      <c r="Q59" s="2">
        <f t="shared" si="7"/>
        <v>4.4000000000000003E-3</v>
      </c>
      <c r="R59" s="2">
        <v>-0.248679995536804</v>
      </c>
      <c r="S59" s="2">
        <f t="shared" si="8"/>
        <v>5.8000000000000005E-3</v>
      </c>
      <c r="U59" s="2">
        <v>-64.5</v>
      </c>
      <c r="V59" s="2">
        <f t="shared" si="9"/>
        <v>-5.11E-2</v>
      </c>
      <c r="W59" s="2">
        <v>-0.19244000315666199</v>
      </c>
      <c r="X59" s="2">
        <f t="shared" si="10"/>
        <v>5.8000000000000005E-3</v>
      </c>
      <c r="Z59" s="2">
        <v>44.299999237060497</v>
      </c>
      <c r="AA59" s="2">
        <f t="shared" si="11"/>
        <v>3.61E-2</v>
      </c>
      <c r="AB59" s="2">
        <v>-0.13399000465869901</v>
      </c>
      <c r="AC59" s="2">
        <f t="shared" si="12"/>
        <v>5.8000000000000005E-3</v>
      </c>
    </row>
    <row r="60" spans="1:29" x14ac:dyDescent="0.25">
      <c r="A60" s="2">
        <v>0</v>
      </c>
      <c r="B60" s="2">
        <f t="shared" si="1"/>
        <v>6.0000000000000006E-4</v>
      </c>
      <c r="C60" s="2">
        <v>-0.40698000788688699</v>
      </c>
      <c r="D60" s="2">
        <f t="shared" si="2"/>
        <v>5.8000000000000005E-3</v>
      </c>
      <c r="F60" s="2">
        <v>0</v>
      </c>
      <c r="G60" s="2">
        <f t="shared" si="3"/>
        <v>6.0000000000000006E-4</v>
      </c>
      <c r="H60" s="2">
        <v>-0.35229000449180597</v>
      </c>
      <c r="I60" s="2">
        <f t="shared" si="4"/>
        <v>5.8000000000000005E-3</v>
      </c>
      <c r="K60" s="2">
        <v>-64.599998474121094</v>
      </c>
      <c r="L60" s="2">
        <f t="shared" si="5"/>
        <v>-5.1200000000000002E-2</v>
      </c>
      <c r="M60" s="2">
        <v>-0.30210998654365501</v>
      </c>
      <c r="N60" s="2">
        <f t="shared" si="6"/>
        <v>5.8000000000000005E-3</v>
      </c>
      <c r="P60" s="2">
        <v>6.5300002098083496</v>
      </c>
      <c r="Q60" s="2">
        <f t="shared" si="7"/>
        <v>5.8999999999999999E-3</v>
      </c>
      <c r="R60" s="2">
        <v>-0.24866999685764299</v>
      </c>
      <c r="S60" s="2">
        <f t="shared" si="8"/>
        <v>5.8000000000000005E-3</v>
      </c>
      <c r="U60" s="2">
        <v>-62.599998474121101</v>
      </c>
      <c r="V60" s="2">
        <f t="shared" si="9"/>
        <v>-4.9600000000000005E-2</v>
      </c>
      <c r="W60" s="2">
        <v>-0.19244000315666199</v>
      </c>
      <c r="X60" s="2">
        <f t="shared" si="10"/>
        <v>5.8000000000000005E-3</v>
      </c>
      <c r="Z60" s="2">
        <v>49.130001068115199</v>
      </c>
      <c r="AA60" s="2">
        <f t="shared" si="11"/>
        <v>3.9900000000000005E-2</v>
      </c>
      <c r="AB60" s="2">
        <v>-0.13398000597953799</v>
      </c>
      <c r="AC60" s="2">
        <f t="shared" si="12"/>
        <v>5.8000000000000005E-3</v>
      </c>
    </row>
    <row r="61" spans="1:29" x14ac:dyDescent="0.25">
      <c r="A61" s="2">
        <v>-41.900001525878899</v>
      </c>
      <c r="B61" s="2">
        <f t="shared" si="1"/>
        <v>-3.3000000000000002E-2</v>
      </c>
      <c r="C61" s="2">
        <v>-0.40698000788688699</v>
      </c>
      <c r="D61" s="2">
        <f t="shared" si="2"/>
        <v>5.8000000000000005E-3</v>
      </c>
      <c r="F61" s="2">
        <v>-44.110000610351598</v>
      </c>
      <c r="G61" s="2">
        <f t="shared" si="3"/>
        <v>-3.4800000000000005E-2</v>
      </c>
      <c r="H61" s="2">
        <v>-0.35229000449180597</v>
      </c>
      <c r="I61" s="2">
        <f t="shared" si="4"/>
        <v>5.8000000000000005E-3</v>
      </c>
      <c r="K61" s="2">
        <v>-64.599998474121094</v>
      </c>
      <c r="L61" s="2">
        <f t="shared" si="5"/>
        <v>-5.1200000000000002E-2</v>
      </c>
      <c r="M61" s="2">
        <v>-0.30210998654365501</v>
      </c>
      <c r="N61" s="2">
        <f t="shared" si="6"/>
        <v>5.8000000000000005E-3</v>
      </c>
      <c r="P61" s="2">
        <v>11.8400001525879</v>
      </c>
      <c r="Q61" s="2">
        <f t="shared" si="7"/>
        <v>1.01E-2</v>
      </c>
      <c r="R61" s="2">
        <v>-0.248659998178482</v>
      </c>
      <c r="S61" s="2">
        <f t="shared" si="8"/>
        <v>5.8000000000000005E-3</v>
      </c>
      <c r="U61" s="2">
        <v>-60.799999237060497</v>
      </c>
      <c r="V61" s="2">
        <f t="shared" si="9"/>
        <v>-4.8100000000000004E-2</v>
      </c>
      <c r="W61" s="2">
        <v>-0.19244000315666199</v>
      </c>
      <c r="X61" s="2">
        <f t="shared" si="10"/>
        <v>5.8000000000000005E-3</v>
      </c>
      <c r="Z61" s="2">
        <v>59.900001525878899</v>
      </c>
      <c r="AA61" s="2">
        <f t="shared" si="11"/>
        <v>4.8500000000000001E-2</v>
      </c>
      <c r="AB61" s="2">
        <v>-0.13395999372005499</v>
      </c>
      <c r="AC61" s="2">
        <f t="shared" si="12"/>
        <v>5.8000000000000005E-3</v>
      </c>
    </row>
    <row r="62" spans="1:29" x14ac:dyDescent="0.25">
      <c r="A62" s="2">
        <v>-41.889999389648402</v>
      </c>
      <c r="B62" s="2">
        <f t="shared" si="1"/>
        <v>-3.3000000000000002E-2</v>
      </c>
      <c r="C62" s="2">
        <v>-0.406969994306564</v>
      </c>
      <c r="D62" s="2">
        <f t="shared" si="2"/>
        <v>5.8000000000000005E-3</v>
      </c>
      <c r="F62" s="2">
        <v>-42.669998168945298</v>
      </c>
      <c r="G62" s="2">
        <f t="shared" si="3"/>
        <v>-3.3600000000000005E-2</v>
      </c>
      <c r="H62" s="2">
        <v>-0.35229000449180597</v>
      </c>
      <c r="I62" s="2">
        <f t="shared" si="4"/>
        <v>5.8000000000000005E-3</v>
      </c>
      <c r="K62" s="2">
        <v>-59.799999237060497</v>
      </c>
      <c r="L62" s="2">
        <f t="shared" si="5"/>
        <v>-4.7300000000000002E-2</v>
      </c>
      <c r="M62" s="2">
        <v>-0.30213001370429998</v>
      </c>
      <c r="N62" s="2">
        <f t="shared" si="6"/>
        <v>5.8000000000000005E-3</v>
      </c>
      <c r="P62" s="2">
        <v>13.5200004577637</v>
      </c>
      <c r="Q62" s="2">
        <f t="shared" si="7"/>
        <v>1.1399999999999999E-2</v>
      </c>
      <c r="R62" s="2">
        <v>-0.24864999949932101</v>
      </c>
      <c r="S62" s="2">
        <f t="shared" si="8"/>
        <v>5.8000000000000005E-3</v>
      </c>
      <c r="U62" s="2">
        <v>-57.700000762939503</v>
      </c>
      <c r="V62" s="2">
        <f t="shared" si="9"/>
        <v>-4.5600000000000002E-2</v>
      </c>
      <c r="W62" s="2">
        <v>-0.192450001835823</v>
      </c>
      <c r="X62" s="2">
        <f t="shared" si="10"/>
        <v>5.8000000000000005E-3</v>
      </c>
      <c r="Z62" s="2">
        <v>62.799999237060497</v>
      </c>
      <c r="AA62" s="2">
        <f t="shared" si="11"/>
        <v>5.0900000000000001E-2</v>
      </c>
      <c r="AB62" s="2">
        <v>-0.133970007300377</v>
      </c>
      <c r="AC62" s="2">
        <f t="shared" si="12"/>
        <v>5.8000000000000005E-3</v>
      </c>
    </row>
    <row r="63" spans="1:29" x14ac:dyDescent="0.25">
      <c r="A63" s="2">
        <v>-39.490001678466797</v>
      </c>
      <c r="B63" s="2">
        <f t="shared" si="1"/>
        <v>-3.1099999999999999E-2</v>
      </c>
      <c r="C63" s="2">
        <v>-0.40696001052856401</v>
      </c>
      <c r="D63" s="2">
        <f t="shared" si="2"/>
        <v>5.8000000000000005E-3</v>
      </c>
      <c r="F63" s="2">
        <v>-40.669998168945298</v>
      </c>
      <c r="G63" s="2">
        <f t="shared" si="3"/>
        <v>-3.2000000000000001E-2</v>
      </c>
      <c r="H63" s="2">
        <v>-0.35229000449180597</v>
      </c>
      <c r="I63" s="2">
        <f t="shared" si="4"/>
        <v>5.8000000000000005E-3</v>
      </c>
      <c r="K63" s="2">
        <v>-58</v>
      </c>
      <c r="L63" s="2">
        <f t="shared" si="5"/>
        <v>-4.5900000000000003E-2</v>
      </c>
      <c r="M63" s="2">
        <v>-0.30213001370429998</v>
      </c>
      <c r="N63" s="2">
        <f t="shared" si="6"/>
        <v>5.8000000000000005E-3</v>
      </c>
      <c r="P63" s="2">
        <v>14.800000190734901</v>
      </c>
      <c r="Q63" s="2">
        <f t="shared" si="7"/>
        <v>1.2499999999999999E-2</v>
      </c>
      <c r="R63" s="2">
        <v>-0.24864999949932101</v>
      </c>
      <c r="S63" s="2">
        <f t="shared" si="8"/>
        <v>5.8000000000000005E-3</v>
      </c>
      <c r="U63" s="2">
        <v>-57.700000762939503</v>
      </c>
      <c r="V63" s="2">
        <f t="shared" si="9"/>
        <v>-4.5600000000000002E-2</v>
      </c>
      <c r="W63" s="2">
        <v>-0.192450001835823</v>
      </c>
      <c r="X63" s="2">
        <f t="shared" si="10"/>
        <v>5.8000000000000005E-3</v>
      </c>
      <c r="Z63" s="2">
        <v>82.900001525878906</v>
      </c>
      <c r="AA63" s="2">
        <f t="shared" si="11"/>
        <v>6.6900000000000001E-2</v>
      </c>
      <c r="AB63" s="2">
        <v>-0.133949995040894</v>
      </c>
      <c r="AC63" s="2">
        <f t="shared" si="12"/>
        <v>5.8000000000000005E-3</v>
      </c>
    </row>
    <row r="64" spans="1:29" x14ac:dyDescent="0.25">
      <c r="A64" s="2">
        <v>-37.060001373291001</v>
      </c>
      <c r="B64" s="2">
        <f t="shared" si="1"/>
        <v>-2.9100000000000001E-2</v>
      </c>
      <c r="C64" s="2">
        <v>-0.40696001052856401</v>
      </c>
      <c r="D64" s="2">
        <f t="shared" si="2"/>
        <v>5.8000000000000005E-3</v>
      </c>
      <c r="F64" s="2">
        <v>-39.130001068115199</v>
      </c>
      <c r="G64" s="2">
        <f t="shared" si="3"/>
        <v>-3.0800000000000001E-2</v>
      </c>
      <c r="H64" s="2">
        <v>-0.35229000449180597</v>
      </c>
      <c r="I64" s="2">
        <f t="shared" si="4"/>
        <v>5.8000000000000005E-3</v>
      </c>
      <c r="K64" s="2">
        <v>-57.5</v>
      </c>
      <c r="L64" s="2">
        <f t="shared" si="5"/>
        <v>-4.5500000000000006E-2</v>
      </c>
      <c r="M64" s="2">
        <v>-0.30212000012397799</v>
      </c>
      <c r="N64" s="2">
        <f t="shared" si="6"/>
        <v>5.8000000000000005E-3</v>
      </c>
      <c r="P64" s="2">
        <v>15.300000190734901</v>
      </c>
      <c r="Q64" s="2">
        <f t="shared" si="7"/>
        <v>1.29E-2</v>
      </c>
      <c r="R64" s="2">
        <v>-0.24864999949932101</v>
      </c>
      <c r="S64" s="2">
        <f t="shared" si="8"/>
        <v>5.8000000000000005E-3</v>
      </c>
      <c r="U64" s="2">
        <v>-55.200000762939503</v>
      </c>
      <c r="V64" s="2">
        <f t="shared" si="9"/>
        <v>-4.36E-2</v>
      </c>
      <c r="W64" s="2">
        <v>-0.192450001835823</v>
      </c>
      <c r="X64" s="2">
        <f t="shared" si="10"/>
        <v>5.8000000000000005E-3</v>
      </c>
      <c r="Z64" s="2">
        <v>86.300003051757798</v>
      </c>
      <c r="AA64" s="2">
        <f t="shared" si="11"/>
        <v>6.9699999999999998E-2</v>
      </c>
      <c r="AB64" s="2">
        <v>-0.13393999636173201</v>
      </c>
      <c r="AC64" s="2">
        <f t="shared" si="12"/>
        <v>5.8000000000000005E-3</v>
      </c>
    </row>
    <row r="65" spans="1:29" x14ac:dyDescent="0.25">
      <c r="A65" s="2">
        <v>-36.240001678466797</v>
      </c>
      <c r="B65" s="2">
        <f t="shared" si="1"/>
        <v>-2.8500000000000001E-2</v>
      </c>
      <c r="C65" s="2">
        <v>-0.40694999694824202</v>
      </c>
      <c r="D65" s="2">
        <f t="shared" si="2"/>
        <v>5.8000000000000005E-3</v>
      </c>
      <c r="F65" s="2">
        <v>-37.360000610351598</v>
      </c>
      <c r="G65" s="2">
        <f t="shared" si="3"/>
        <v>-2.9399999999999999E-2</v>
      </c>
      <c r="H65" s="2">
        <v>-0.35229000449180597</v>
      </c>
      <c r="I65" s="2">
        <f t="shared" si="4"/>
        <v>5.8000000000000005E-3</v>
      </c>
      <c r="K65" s="2">
        <v>-56.5</v>
      </c>
      <c r="L65" s="2">
        <f t="shared" si="5"/>
        <v>-4.4700000000000004E-2</v>
      </c>
      <c r="M65" s="2">
        <v>-0.30213001370429998</v>
      </c>
      <c r="N65" s="2">
        <f t="shared" si="6"/>
        <v>5.8000000000000005E-3</v>
      </c>
      <c r="P65" s="2">
        <v>22.299999237060501</v>
      </c>
      <c r="Q65" s="2">
        <f t="shared" si="7"/>
        <v>1.8499999999999999E-2</v>
      </c>
      <c r="R65" s="2">
        <v>-0.24864999949932101</v>
      </c>
      <c r="S65" s="2">
        <f t="shared" si="8"/>
        <v>5.8000000000000005E-3</v>
      </c>
      <c r="U65" s="2">
        <v>-51.700000762939503</v>
      </c>
      <c r="V65" s="2">
        <f t="shared" si="9"/>
        <v>-4.0800000000000003E-2</v>
      </c>
      <c r="W65" s="2">
        <v>-0.192450001835823</v>
      </c>
      <c r="X65" s="2">
        <f t="shared" si="10"/>
        <v>5.8000000000000005E-3</v>
      </c>
      <c r="Z65" s="2">
        <v>89.800003051757798</v>
      </c>
      <c r="AA65" s="2">
        <f t="shared" si="11"/>
        <v>7.2500000000000009E-2</v>
      </c>
      <c r="AB65" s="2">
        <v>-0.13393999636173201</v>
      </c>
      <c r="AC65" s="2">
        <f t="shared" si="12"/>
        <v>5.8000000000000005E-3</v>
      </c>
    </row>
    <row r="66" spans="1:29" x14ac:dyDescent="0.25">
      <c r="A66" s="2">
        <v>-33.380001068115199</v>
      </c>
      <c r="B66" s="2">
        <f t="shared" si="1"/>
        <v>-2.6200000000000001E-2</v>
      </c>
      <c r="C66" s="2">
        <v>-0.40694001317024198</v>
      </c>
      <c r="D66" s="2">
        <f t="shared" si="2"/>
        <v>5.8000000000000005E-3</v>
      </c>
      <c r="F66" s="2">
        <v>-35.610000610351598</v>
      </c>
      <c r="G66" s="2">
        <f t="shared" si="3"/>
        <v>-2.8000000000000001E-2</v>
      </c>
      <c r="H66" s="2">
        <v>-0.35229000449180597</v>
      </c>
      <c r="I66" s="2">
        <f t="shared" si="4"/>
        <v>5.8000000000000005E-3</v>
      </c>
      <c r="K66" s="2">
        <v>-55.400001525878899</v>
      </c>
      <c r="L66" s="2">
        <f t="shared" si="5"/>
        <v>-4.3800000000000006E-2</v>
      </c>
      <c r="M66" s="2">
        <v>-0.30213001370429998</v>
      </c>
      <c r="N66" s="2">
        <f t="shared" si="6"/>
        <v>5.8000000000000005E-3</v>
      </c>
      <c r="P66" s="2">
        <v>25.829999923706101</v>
      </c>
      <c r="Q66" s="2">
        <f t="shared" si="7"/>
        <v>2.1299999999999999E-2</v>
      </c>
      <c r="R66" s="2">
        <v>-0.24864000082016</v>
      </c>
      <c r="S66" s="2">
        <f t="shared" si="8"/>
        <v>5.8000000000000005E-3</v>
      </c>
      <c r="U66" s="2">
        <v>-50.599998474121101</v>
      </c>
      <c r="V66" s="2">
        <f t="shared" si="9"/>
        <v>-0.04</v>
      </c>
      <c r="W66" s="2">
        <v>-0.19246000051498399</v>
      </c>
      <c r="X66" s="2">
        <f t="shared" si="10"/>
        <v>5.8000000000000005E-3</v>
      </c>
      <c r="Z66" s="2">
        <v>92.900001525878906</v>
      </c>
      <c r="AA66" s="2">
        <f t="shared" si="11"/>
        <v>7.4900000000000008E-2</v>
      </c>
      <c r="AB66" s="2">
        <v>-0.13392999768257099</v>
      </c>
      <c r="AC66" s="2">
        <f t="shared" si="12"/>
        <v>5.8000000000000005E-3</v>
      </c>
    </row>
    <row r="67" spans="1:29" x14ac:dyDescent="0.25">
      <c r="A67" s="2">
        <v>-31.2399997711182</v>
      </c>
      <c r="B67" s="2">
        <f t="shared" si="1"/>
        <v>-2.4500000000000001E-2</v>
      </c>
      <c r="C67" s="2">
        <v>-0.40692999958991999</v>
      </c>
      <c r="D67" s="2">
        <f t="shared" si="2"/>
        <v>5.8000000000000005E-3</v>
      </c>
      <c r="F67" s="2">
        <v>-33.430000305175803</v>
      </c>
      <c r="G67" s="2">
        <f t="shared" si="3"/>
        <v>-2.6200000000000001E-2</v>
      </c>
      <c r="H67" s="2">
        <v>-0.35227999091148399</v>
      </c>
      <c r="I67" s="2">
        <f t="shared" si="4"/>
        <v>5.8000000000000005E-3</v>
      </c>
      <c r="K67" s="2">
        <v>-53.900001525878899</v>
      </c>
      <c r="L67" s="2">
        <f t="shared" si="5"/>
        <v>-4.2600000000000006E-2</v>
      </c>
      <c r="M67" s="2">
        <v>-0.30213001370429998</v>
      </c>
      <c r="N67" s="2">
        <f t="shared" si="6"/>
        <v>5.8000000000000005E-3</v>
      </c>
      <c r="P67" s="2">
        <v>29.350000381469702</v>
      </c>
      <c r="Q67" s="2">
        <f t="shared" si="7"/>
        <v>2.41E-2</v>
      </c>
      <c r="R67" s="2">
        <v>-0.24864000082016</v>
      </c>
      <c r="S67" s="2">
        <f t="shared" si="8"/>
        <v>5.8000000000000005E-3</v>
      </c>
      <c r="U67" s="2">
        <v>-48.599998474121101</v>
      </c>
      <c r="V67" s="2">
        <f t="shared" si="9"/>
        <v>-3.8400000000000004E-2</v>
      </c>
      <c r="W67" s="2">
        <v>-0.19246000051498399</v>
      </c>
      <c r="X67" s="2">
        <f t="shared" si="10"/>
        <v>5.8000000000000005E-3</v>
      </c>
      <c r="Z67" s="2">
        <v>112.09999847412099</v>
      </c>
      <c r="AA67" s="2">
        <f t="shared" si="11"/>
        <v>9.0300000000000005E-2</v>
      </c>
      <c r="AB67" s="2">
        <v>-0.133900001645088</v>
      </c>
      <c r="AC67" s="2">
        <f t="shared" si="12"/>
        <v>5.8000000000000005E-3</v>
      </c>
    </row>
    <row r="68" spans="1:29" x14ac:dyDescent="0.25">
      <c r="A68" s="2">
        <v>-29.450000762939499</v>
      </c>
      <c r="B68" s="2">
        <f t="shared" si="1"/>
        <v>-2.3E-2</v>
      </c>
      <c r="C68" s="2">
        <v>-0.406919986009598</v>
      </c>
      <c r="D68" s="2">
        <f t="shared" si="2"/>
        <v>5.8000000000000005E-3</v>
      </c>
      <c r="F68" s="2">
        <v>-28.2399997711182</v>
      </c>
      <c r="G68" s="2">
        <f t="shared" si="3"/>
        <v>-2.2099999999999998E-2</v>
      </c>
      <c r="H68" s="2">
        <v>-0.35227999091148399</v>
      </c>
      <c r="I68" s="2">
        <f t="shared" si="4"/>
        <v>5.8000000000000005E-3</v>
      </c>
      <c r="K68" s="2">
        <v>-53.900001525878899</v>
      </c>
      <c r="L68" s="2">
        <f t="shared" si="5"/>
        <v>-4.2600000000000006E-2</v>
      </c>
      <c r="M68" s="2">
        <v>-0.30213999748230003</v>
      </c>
      <c r="N68" s="2">
        <f t="shared" si="6"/>
        <v>5.8000000000000005E-3</v>
      </c>
      <c r="P68" s="2">
        <v>31.190000534057599</v>
      </c>
      <c r="Q68" s="2">
        <f t="shared" si="7"/>
        <v>2.5599999999999998E-2</v>
      </c>
      <c r="R68" s="2">
        <v>-0.24863000214099901</v>
      </c>
      <c r="S68" s="2">
        <f t="shared" si="8"/>
        <v>5.8000000000000005E-3</v>
      </c>
      <c r="U68" s="2">
        <v>-45.5</v>
      </c>
      <c r="V68" s="2">
        <f t="shared" si="9"/>
        <v>-3.5900000000000001E-2</v>
      </c>
      <c r="W68" s="2">
        <v>-0.19246999919414501</v>
      </c>
      <c r="X68" s="2">
        <f t="shared" si="10"/>
        <v>5.8000000000000005E-3</v>
      </c>
      <c r="Z68" s="2">
        <v>118.199996948242</v>
      </c>
      <c r="AA68" s="2">
        <f t="shared" si="11"/>
        <v>9.5200000000000007E-2</v>
      </c>
      <c r="AB68" s="2">
        <v>-0.13389000296592701</v>
      </c>
      <c r="AC68" s="2">
        <f t="shared" si="12"/>
        <v>5.8000000000000005E-3</v>
      </c>
    </row>
    <row r="69" spans="1:29" x14ac:dyDescent="0.25">
      <c r="A69" s="2">
        <v>-27.670000076293899</v>
      </c>
      <c r="B69" s="2">
        <f t="shared" si="1"/>
        <v>-2.1599999999999998E-2</v>
      </c>
      <c r="C69" s="2">
        <v>-0.40689998865127602</v>
      </c>
      <c r="D69" s="2">
        <f t="shared" si="2"/>
        <v>5.8000000000000005E-3</v>
      </c>
      <c r="F69" s="2">
        <v>-21.420000076293899</v>
      </c>
      <c r="G69" s="2">
        <f t="shared" si="3"/>
        <v>-1.66E-2</v>
      </c>
      <c r="H69" s="2">
        <v>-0.352270007133484</v>
      </c>
      <c r="I69" s="2">
        <f t="shared" si="4"/>
        <v>5.8000000000000005E-3</v>
      </c>
      <c r="K69" s="2">
        <v>-52.200000762939503</v>
      </c>
      <c r="L69" s="2">
        <f t="shared" si="5"/>
        <v>-4.1200000000000001E-2</v>
      </c>
      <c r="M69" s="2">
        <v>-0.30213999748230003</v>
      </c>
      <c r="N69" s="2">
        <f t="shared" si="6"/>
        <v>5.8000000000000005E-3</v>
      </c>
      <c r="P69" s="2">
        <v>36.080001831054702</v>
      </c>
      <c r="Q69" s="2">
        <f t="shared" si="7"/>
        <v>2.9499999999999998E-2</v>
      </c>
      <c r="R69" s="2">
        <v>-0.24862000346183799</v>
      </c>
      <c r="S69" s="2">
        <f t="shared" si="8"/>
        <v>5.8000000000000005E-3</v>
      </c>
      <c r="U69" s="2">
        <v>-45.400001525878899</v>
      </c>
      <c r="V69" s="2">
        <f t="shared" si="9"/>
        <v>-3.5800000000000005E-2</v>
      </c>
      <c r="W69" s="2">
        <v>-0.19246999919414501</v>
      </c>
      <c r="X69" s="2">
        <f t="shared" si="10"/>
        <v>5.8000000000000005E-3</v>
      </c>
      <c r="Z69" s="2">
        <v>124.300003051758</v>
      </c>
      <c r="AA69" s="2">
        <f t="shared" si="11"/>
        <v>0.10010000000000001</v>
      </c>
      <c r="AB69" s="2">
        <v>-0.133880004286766</v>
      </c>
      <c r="AC69" s="2">
        <f t="shared" si="12"/>
        <v>5.8000000000000005E-3</v>
      </c>
    </row>
    <row r="70" spans="1:29" x14ac:dyDescent="0.25">
      <c r="A70" s="2">
        <v>-25.899999618530298</v>
      </c>
      <c r="B70" s="2">
        <f t="shared" si="1"/>
        <v>-2.0199999999999999E-2</v>
      </c>
      <c r="C70" s="2">
        <v>-0.40689000487327598</v>
      </c>
      <c r="D70" s="2">
        <f t="shared" si="2"/>
        <v>5.8000000000000005E-3</v>
      </c>
      <c r="F70" s="2">
        <v>-18.079999923706101</v>
      </c>
      <c r="G70" s="2">
        <f t="shared" si="3"/>
        <v>-1.3899999999999999E-2</v>
      </c>
      <c r="H70" s="2">
        <v>-0.35225999355316201</v>
      </c>
      <c r="I70" s="2">
        <f t="shared" si="4"/>
        <v>5.8000000000000005E-3</v>
      </c>
      <c r="K70" s="2">
        <v>-50.700000762939503</v>
      </c>
      <c r="L70" s="2">
        <f t="shared" si="5"/>
        <v>-0.04</v>
      </c>
      <c r="M70" s="2">
        <v>-0.30213999748230003</v>
      </c>
      <c r="N70" s="2">
        <f t="shared" si="6"/>
        <v>5.8000000000000005E-3</v>
      </c>
      <c r="P70" s="2">
        <v>39.389999389648402</v>
      </c>
      <c r="Q70" s="2">
        <f t="shared" si="7"/>
        <v>3.2100000000000004E-2</v>
      </c>
      <c r="R70" s="2">
        <v>-0.248610004782677</v>
      </c>
      <c r="S70" s="2">
        <f t="shared" si="8"/>
        <v>5.8000000000000005E-3</v>
      </c>
      <c r="U70" s="2">
        <v>-43.380001068115199</v>
      </c>
      <c r="V70" s="2">
        <f t="shared" si="9"/>
        <v>-3.4200000000000001E-2</v>
      </c>
      <c r="W70" s="2">
        <v>-0.19246999919414501</v>
      </c>
      <c r="X70" s="2">
        <f t="shared" si="10"/>
        <v>5.8000000000000005E-3</v>
      </c>
      <c r="Z70" s="2">
        <v>130</v>
      </c>
      <c r="AA70" s="2">
        <f t="shared" si="11"/>
        <v>0.1046</v>
      </c>
      <c r="AB70" s="2">
        <v>-0.13387000560760501</v>
      </c>
      <c r="AC70" s="2">
        <f t="shared" si="12"/>
        <v>5.8000000000000005E-3</v>
      </c>
    </row>
    <row r="71" spans="1:29" x14ac:dyDescent="0.25">
      <c r="A71" s="2">
        <v>-25.0200004577637</v>
      </c>
      <c r="B71" s="2">
        <f t="shared" si="1"/>
        <v>-1.95E-2</v>
      </c>
      <c r="C71" s="2">
        <v>-0.40687999129295299</v>
      </c>
      <c r="D71" s="2">
        <f t="shared" si="2"/>
        <v>5.8000000000000005E-3</v>
      </c>
      <c r="F71" s="2">
        <v>-16.129999160766602</v>
      </c>
      <c r="G71" s="2">
        <f t="shared" si="3"/>
        <v>-1.24E-2</v>
      </c>
      <c r="H71" s="2">
        <v>-0.35223999619483898</v>
      </c>
      <c r="I71" s="2">
        <f t="shared" si="4"/>
        <v>5.8000000000000005E-3</v>
      </c>
      <c r="K71" s="2">
        <v>-50.400001525878899</v>
      </c>
      <c r="L71" s="2">
        <f t="shared" si="5"/>
        <v>-3.9800000000000002E-2</v>
      </c>
      <c r="M71" s="2">
        <v>-0.30213999748230003</v>
      </c>
      <c r="N71" s="2">
        <f t="shared" si="6"/>
        <v>5.8000000000000005E-3</v>
      </c>
      <c r="P71" s="2">
        <v>43.119998931884801</v>
      </c>
      <c r="Q71" s="2">
        <f t="shared" si="7"/>
        <v>3.5100000000000006E-2</v>
      </c>
      <c r="R71" s="2">
        <v>-0.24860000610351601</v>
      </c>
      <c r="S71" s="2">
        <f t="shared" si="8"/>
        <v>5.8000000000000005E-3</v>
      </c>
      <c r="U71" s="2">
        <v>-41.700000762939503</v>
      </c>
      <c r="V71" s="2">
        <f t="shared" si="9"/>
        <v>-3.2800000000000003E-2</v>
      </c>
      <c r="W71" s="2">
        <v>-0.19246999919414501</v>
      </c>
      <c r="X71" s="2">
        <f t="shared" si="10"/>
        <v>5.8000000000000005E-3</v>
      </c>
      <c r="Z71" s="2">
        <v>132.30000305175801</v>
      </c>
      <c r="AA71" s="2">
        <f t="shared" si="11"/>
        <v>0.1065</v>
      </c>
      <c r="AB71" s="2">
        <v>-0.13386000692844399</v>
      </c>
      <c r="AC71" s="2">
        <f t="shared" si="12"/>
        <v>5.8000000000000005E-3</v>
      </c>
    </row>
    <row r="72" spans="1:29" x14ac:dyDescent="0.25">
      <c r="A72" s="2">
        <v>-22.350000381469702</v>
      </c>
      <c r="B72" s="2">
        <f t="shared" si="1"/>
        <v>-1.7399999999999999E-2</v>
      </c>
      <c r="C72" s="2">
        <v>-0.406870007514954</v>
      </c>
      <c r="D72" s="2">
        <f t="shared" si="2"/>
        <v>5.8000000000000005E-3</v>
      </c>
      <c r="F72" s="2">
        <v>-14.3800001144409</v>
      </c>
      <c r="G72" s="2">
        <f t="shared" si="3"/>
        <v>-1.0999999999999999E-2</v>
      </c>
      <c r="H72" s="2">
        <v>-0.352219998836517</v>
      </c>
      <c r="I72" s="2">
        <f t="shared" si="4"/>
        <v>5.8000000000000005E-3</v>
      </c>
      <c r="K72" s="2">
        <v>-48.599998474121101</v>
      </c>
      <c r="L72" s="2">
        <f t="shared" si="5"/>
        <v>-3.8400000000000004E-2</v>
      </c>
      <c r="M72" s="2">
        <v>-0.30213001370429998</v>
      </c>
      <c r="N72" s="2">
        <f t="shared" si="6"/>
        <v>5.8000000000000005E-3</v>
      </c>
      <c r="P72" s="2">
        <v>45.139999389648402</v>
      </c>
      <c r="Q72" s="2">
        <f t="shared" si="7"/>
        <v>3.6700000000000003E-2</v>
      </c>
      <c r="R72" s="2">
        <v>-0.248590007424355</v>
      </c>
      <c r="S72" s="2">
        <f t="shared" si="8"/>
        <v>5.8000000000000005E-3</v>
      </c>
      <c r="U72" s="2">
        <v>-40.180000305175803</v>
      </c>
      <c r="V72" s="2">
        <f t="shared" si="9"/>
        <v>-3.1600000000000003E-2</v>
      </c>
      <c r="W72" s="2">
        <v>-0.19246999919414501</v>
      </c>
      <c r="X72" s="2">
        <f t="shared" si="10"/>
        <v>5.8000000000000005E-3</v>
      </c>
      <c r="Z72" s="2">
        <v>134.60000610351599</v>
      </c>
      <c r="AA72" s="2">
        <f t="shared" si="11"/>
        <v>0.10830000000000001</v>
      </c>
      <c r="AB72" s="2">
        <v>-0.133849993348122</v>
      </c>
      <c r="AC72" s="2">
        <f t="shared" si="12"/>
        <v>5.8000000000000005E-3</v>
      </c>
    </row>
    <row r="73" spans="1:29" x14ac:dyDescent="0.25">
      <c r="A73" s="2">
        <v>-20.579999923706101</v>
      </c>
      <c r="B73" s="2">
        <f t="shared" si="1"/>
        <v>-1.5900000000000001E-2</v>
      </c>
      <c r="C73" s="2">
        <v>-0.406870007514954</v>
      </c>
      <c r="D73" s="2">
        <f t="shared" si="2"/>
        <v>5.8000000000000005E-3</v>
      </c>
      <c r="F73" s="2">
        <v>-4.1399998664856001</v>
      </c>
      <c r="G73" s="2">
        <f t="shared" si="3"/>
        <v>-2.8E-3</v>
      </c>
      <c r="H73" s="2">
        <v>-0.35220998525619501</v>
      </c>
      <c r="I73" s="2">
        <f t="shared" si="4"/>
        <v>5.8000000000000005E-3</v>
      </c>
      <c r="K73" s="2">
        <v>0</v>
      </c>
      <c r="L73" s="2">
        <f t="shared" si="5"/>
        <v>6.0000000000000006E-4</v>
      </c>
      <c r="M73" s="2">
        <v>-0.30213999748230003</v>
      </c>
      <c r="N73" s="2">
        <f t="shared" si="6"/>
        <v>5.8000000000000005E-3</v>
      </c>
      <c r="P73" s="2">
        <v>51.389999389648402</v>
      </c>
      <c r="Q73" s="2">
        <f t="shared" si="7"/>
        <v>4.1700000000000001E-2</v>
      </c>
      <c r="R73" s="2">
        <v>-0.24857999384403201</v>
      </c>
      <c r="S73" s="2">
        <f t="shared" si="8"/>
        <v>5.8000000000000005E-3</v>
      </c>
      <c r="U73" s="2">
        <v>-38.299999237060497</v>
      </c>
      <c r="V73" s="2">
        <f t="shared" si="9"/>
        <v>-3.0099999999999998E-2</v>
      </c>
      <c r="W73" s="2">
        <v>-0.19246999919414501</v>
      </c>
      <c r="X73" s="2">
        <f t="shared" si="10"/>
        <v>5.8000000000000005E-3</v>
      </c>
      <c r="Z73" s="2">
        <v>137.10000610351599</v>
      </c>
      <c r="AA73" s="2">
        <f t="shared" si="11"/>
        <v>0.11030000000000001</v>
      </c>
      <c r="AB73" s="2">
        <v>-0.13383999466896099</v>
      </c>
      <c r="AC73" s="2">
        <f t="shared" si="12"/>
        <v>5.8000000000000005E-3</v>
      </c>
    </row>
    <row r="74" spans="1:29" x14ac:dyDescent="0.25">
      <c r="A74" s="2">
        <v>-18.860000610351602</v>
      </c>
      <c r="B74" s="2">
        <f t="shared" si="1"/>
        <v>-1.46E-2</v>
      </c>
      <c r="C74" s="2">
        <v>-0.40685999393463101</v>
      </c>
      <c r="D74" s="2">
        <f t="shared" si="2"/>
        <v>5.8000000000000005E-3</v>
      </c>
      <c r="F74" s="2">
        <v>-1.9800000190734901</v>
      </c>
      <c r="G74" s="2">
        <f t="shared" si="3"/>
        <v>-1.1000000000000001E-3</v>
      </c>
      <c r="H74" s="2">
        <v>-0.35220998525619501</v>
      </c>
      <c r="I74" s="2">
        <f t="shared" si="4"/>
        <v>5.8000000000000005E-3</v>
      </c>
      <c r="K74" s="2">
        <v>-43.090000152587898</v>
      </c>
      <c r="L74" s="2">
        <f t="shared" si="5"/>
        <v>-3.39E-2</v>
      </c>
      <c r="M74" s="2">
        <v>-0.30213999748230003</v>
      </c>
      <c r="N74" s="2">
        <f t="shared" si="6"/>
        <v>5.8000000000000005E-3</v>
      </c>
      <c r="P74" s="2">
        <v>58.299999237060497</v>
      </c>
      <c r="Q74" s="2">
        <f t="shared" si="7"/>
        <v>4.7300000000000002E-2</v>
      </c>
      <c r="R74" s="2">
        <v>-0.24856999516487099</v>
      </c>
      <c r="S74" s="2">
        <f t="shared" si="8"/>
        <v>5.8000000000000005E-3</v>
      </c>
      <c r="U74" s="2">
        <v>-31.409999847412099</v>
      </c>
      <c r="V74" s="2">
        <f t="shared" si="9"/>
        <v>-2.46E-2</v>
      </c>
      <c r="W74" s="2">
        <v>-0.19246999919414501</v>
      </c>
      <c r="X74" s="2">
        <f t="shared" si="10"/>
        <v>5.8000000000000005E-3</v>
      </c>
      <c r="Z74" s="2">
        <v>138.30000305175801</v>
      </c>
      <c r="AA74" s="2">
        <f t="shared" si="11"/>
        <v>0.1113</v>
      </c>
      <c r="AB74" s="2">
        <v>-0.1338299959898</v>
      </c>
      <c r="AC74" s="2">
        <f t="shared" si="12"/>
        <v>5.8000000000000005E-3</v>
      </c>
    </row>
    <row r="75" spans="1:29" x14ac:dyDescent="0.25">
      <c r="A75" s="2">
        <v>-15.2700004577637</v>
      </c>
      <c r="B75" s="2">
        <f t="shared" si="1"/>
        <v>-1.1699999999999999E-2</v>
      </c>
      <c r="C75" s="2">
        <v>-0.40683001279830899</v>
      </c>
      <c r="D75" s="2">
        <f t="shared" si="2"/>
        <v>5.8000000000000005E-3</v>
      </c>
      <c r="F75" s="2">
        <v>-0.20999999344348899</v>
      </c>
      <c r="G75" s="2">
        <f t="shared" si="3"/>
        <v>5.0000000000000001E-4</v>
      </c>
      <c r="H75" s="2">
        <v>-0.35220000147819502</v>
      </c>
      <c r="I75" s="2">
        <f t="shared" si="4"/>
        <v>5.8000000000000005E-3</v>
      </c>
      <c r="K75" s="2">
        <v>-42.639999389648402</v>
      </c>
      <c r="L75" s="2">
        <f t="shared" si="5"/>
        <v>-3.3600000000000005E-2</v>
      </c>
      <c r="M75" s="2">
        <v>-0.30215001106262201</v>
      </c>
      <c r="N75" s="2">
        <f t="shared" si="6"/>
        <v>5.8000000000000005E-3</v>
      </c>
      <c r="P75" s="2">
        <v>62.900001525878899</v>
      </c>
      <c r="Q75" s="2">
        <f t="shared" si="7"/>
        <v>5.0900000000000001E-2</v>
      </c>
      <c r="R75" s="2">
        <v>-0.24854999780654899</v>
      </c>
      <c r="S75" s="2">
        <f t="shared" si="8"/>
        <v>5.8000000000000005E-3</v>
      </c>
      <c r="U75" s="2">
        <v>-27.950000762939499</v>
      </c>
      <c r="V75" s="2">
        <f t="shared" si="9"/>
        <v>-2.18E-2</v>
      </c>
      <c r="W75" s="2">
        <v>-0.19246999919414501</v>
      </c>
      <c r="X75" s="2">
        <f t="shared" si="10"/>
        <v>5.8000000000000005E-3</v>
      </c>
      <c r="Z75" s="2">
        <v>140.10000610351599</v>
      </c>
      <c r="AA75" s="2">
        <f t="shared" si="11"/>
        <v>0.11270000000000001</v>
      </c>
      <c r="AB75" s="2">
        <v>-0.13381999731063801</v>
      </c>
      <c r="AC75" s="2">
        <f t="shared" si="12"/>
        <v>5.8000000000000005E-3</v>
      </c>
    </row>
    <row r="76" spans="1:29" x14ac:dyDescent="0.25">
      <c r="A76" s="2">
        <v>-13.5100002288818</v>
      </c>
      <c r="B76" s="2">
        <f t="shared" si="1"/>
        <v>-1.03E-2</v>
      </c>
      <c r="C76" s="2">
        <v>-0.40683001279830899</v>
      </c>
      <c r="D76" s="2">
        <f t="shared" si="2"/>
        <v>5.8000000000000005E-3</v>
      </c>
      <c r="F76" s="2">
        <v>1.8999999761581401</v>
      </c>
      <c r="G76" s="2">
        <f t="shared" si="3"/>
        <v>2.0999999999999999E-3</v>
      </c>
      <c r="H76" s="2">
        <v>-0.35218998789787298</v>
      </c>
      <c r="I76" s="2">
        <f t="shared" si="4"/>
        <v>5.8000000000000005E-3</v>
      </c>
      <c r="K76" s="2">
        <v>-41.630001068115199</v>
      </c>
      <c r="L76" s="2">
        <f t="shared" si="5"/>
        <v>-3.2800000000000003E-2</v>
      </c>
      <c r="M76" s="2">
        <v>-0.30213999748230003</v>
      </c>
      <c r="N76" s="2">
        <f t="shared" si="6"/>
        <v>5.8000000000000005E-3</v>
      </c>
      <c r="P76" s="2">
        <v>77.099998474121094</v>
      </c>
      <c r="Q76" s="2">
        <f t="shared" si="7"/>
        <v>6.2300000000000001E-2</v>
      </c>
      <c r="R76" s="2">
        <v>-0.24850000441074399</v>
      </c>
      <c r="S76" s="2">
        <f t="shared" si="8"/>
        <v>5.8000000000000005E-3</v>
      </c>
      <c r="U76" s="2">
        <v>-24.950000762939499</v>
      </c>
      <c r="V76" s="2">
        <f t="shared" si="9"/>
        <v>-1.9400000000000001E-2</v>
      </c>
      <c r="W76" s="2">
        <v>-0.19246000051498399</v>
      </c>
      <c r="X76" s="2">
        <f t="shared" si="10"/>
        <v>5.8000000000000005E-3</v>
      </c>
      <c r="Z76" s="2">
        <v>143.10000610351599</v>
      </c>
      <c r="AA76" s="2">
        <f t="shared" si="11"/>
        <v>0.11510000000000001</v>
      </c>
      <c r="AB76" s="2">
        <v>-0.133809998631477</v>
      </c>
      <c r="AC76" s="2">
        <f t="shared" si="12"/>
        <v>5.8000000000000005E-3</v>
      </c>
    </row>
    <row r="77" spans="1:29" x14ac:dyDescent="0.25">
      <c r="A77" s="2">
        <v>-11.75</v>
      </c>
      <c r="B77" s="2">
        <f t="shared" si="1"/>
        <v>-8.8999999999999999E-3</v>
      </c>
      <c r="C77" s="2">
        <v>-0.40681999921798701</v>
      </c>
      <c r="D77" s="2">
        <f t="shared" si="2"/>
        <v>5.8000000000000005E-3</v>
      </c>
      <c r="F77" s="2">
        <v>10.430000305175801</v>
      </c>
      <c r="G77" s="2">
        <f t="shared" si="3"/>
        <v>8.9999999999999993E-3</v>
      </c>
      <c r="H77" s="2">
        <v>-0.352169990539551</v>
      </c>
      <c r="I77" s="2">
        <f t="shared" si="4"/>
        <v>5.8000000000000005E-3</v>
      </c>
      <c r="K77" s="2">
        <v>-39.630001068115199</v>
      </c>
      <c r="L77" s="2">
        <f t="shared" si="5"/>
        <v>-3.1199999999999999E-2</v>
      </c>
      <c r="M77" s="2">
        <v>-0.30215001106262201</v>
      </c>
      <c r="N77" s="2">
        <f t="shared" si="6"/>
        <v>5.8000000000000005E-3</v>
      </c>
      <c r="P77" s="2">
        <v>80.199996948242202</v>
      </c>
      <c r="Q77" s="2">
        <f t="shared" si="7"/>
        <v>6.4799999999999996E-2</v>
      </c>
      <c r="R77" s="2">
        <v>-0.24848000705242201</v>
      </c>
      <c r="S77" s="2">
        <f t="shared" si="8"/>
        <v>5.8000000000000005E-3</v>
      </c>
      <c r="U77" s="2">
        <v>-24</v>
      </c>
      <c r="V77" s="2">
        <f t="shared" si="9"/>
        <v>-1.8699999999999998E-2</v>
      </c>
      <c r="W77" s="2">
        <v>-0.19246000051498399</v>
      </c>
      <c r="X77" s="2">
        <f t="shared" si="10"/>
        <v>5.8000000000000005E-3</v>
      </c>
      <c r="Z77" s="2">
        <v>144.30000305175801</v>
      </c>
      <c r="AA77" s="2">
        <f t="shared" si="11"/>
        <v>0.11610000000000001</v>
      </c>
      <c r="AB77" s="2">
        <v>-0.133809998631477</v>
      </c>
      <c r="AC77" s="2">
        <f t="shared" si="12"/>
        <v>5.8000000000000005E-3</v>
      </c>
    </row>
    <row r="78" spans="1:29" x14ac:dyDescent="0.25">
      <c r="A78" s="2">
        <v>-9.9600000381469709</v>
      </c>
      <c r="B78" s="2">
        <f t="shared" si="1"/>
        <v>-7.4000000000000003E-3</v>
      </c>
      <c r="C78" s="2">
        <v>-0.40680998563766502</v>
      </c>
      <c r="D78" s="2">
        <f t="shared" si="2"/>
        <v>5.8000000000000005E-3</v>
      </c>
      <c r="F78" s="2">
        <v>10.5200004577637</v>
      </c>
      <c r="G78" s="2">
        <f t="shared" si="3"/>
        <v>8.9999999999999993E-3</v>
      </c>
      <c r="H78" s="2">
        <v>-0.352169990539551</v>
      </c>
      <c r="I78" s="2">
        <f t="shared" si="4"/>
        <v>5.8000000000000005E-3</v>
      </c>
      <c r="K78" s="2">
        <v>-38.099998474121101</v>
      </c>
      <c r="L78" s="2">
        <f t="shared" si="5"/>
        <v>-0.03</v>
      </c>
      <c r="M78" s="2">
        <v>-0.30215001106262201</v>
      </c>
      <c r="N78" s="2">
        <f t="shared" si="6"/>
        <v>5.8000000000000005E-3</v>
      </c>
      <c r="P78" s="2">
        <v>81.800003051757798</v>
      </c>
      <c r="Q78" s="2">
        <f t="shared" si="7"/>
        <v>6.6100000000000006E-2</v>
      </c>
      <c r="R78" s="2">
        <v>-0.24845999479293801</v>
      </c>
      <c r="S78" s="2">
        <f t="shared" si="8"/>
        <v>5.8000000000000005E-3</v>
      </c>
      <c r="U78" s="2">
        <v>-20.9799995422363</v>
      </c>
      <c r="V78" s="2">
        <f t="shared" si="9"/>
        <v>-1.6299999999999999E-2</v>
      </c>
      <c r="W78" s="2">
        <v>-0.19246000051498399</v>
      </c>
      <c r="X78" s="2">
        <f t="shared" si="10"/>
        <v>5.8000000000000005E-3</v>
      </c>
      <c r="Z78" s="2">
        <v>149.19999694824199</v>
      </c>
      <c r="AA78" s="2">
        <f t="shared" si="11"/>
        <v>0.12000000000000001</v>
      </c>
      <c r="AB78" s="2">
        <v>-0.13379000127315499</v>
      </c>
      <c r="AC78" s="2">
        <f t="shared" si="12"/>
        <v>5.8000000000000005E-3</v>
      </c>
    </row>
    <row r="79" spans="1:29" x14ac:dyDescent="0.25">
      <c r="A79" s="2">
        <v>-9.4200000762939506</v>
      </c>
      <c r="B79" s="2">
        <f t="shared" si="1"/>
        <v>-7.0000000000000001E-3</v>
      </c>
      <c r="C79" s="2">
        <v>-0.40680000185966497</v>
      </c>
      <c r="D79" s="2">
        <f t="shared" si="2"/>
        <v>5.8000000000000005E-3</v>
      </c>
      <c r="F79" s="2">
        <v>13.3800001144409</v>
      </c>
      <c r="G79" s="2">
        <f t="shared" si="3"/>
        <v>1.1299999999999999E-2</v>
      </c>
      <c r="H79" s="2">
        <v>-0.35216000676155101</v>
      </c>
      <c r="I79" s="2">
        <f t="shared" si="4"/>
        <v>5.8000000000000005E-3</v>
      </c>
      <c r="K79" s="2">
        <v>-37.330001831054702</v>
      </c>
      <c r="L79" s="2">
        <f t="shared" si="5"/>
        <v>-2.93E-2</v>
      </c>
      <c r="M79" s="2">
        <v>-0.30215001106262201</v>
      </c>
      <c r="N79" s="2">
        <f t="shared" si="6"/>
        <v>5.8000000000000005E-3</v>
      </c>
      <c r="P79" s="2">
        <v>87</v>
      </c>
      <c r="Q79" s="2">
        <f t="shared" si="7"/>
        <v>7.0199999999999999E-2</v>
      </c>
      <c r="R79" s="2">
        <v>-0.24844999611377699</v>
      </c>
      <c r="S79" s="2">
        <f t="shared" si="8"/>
        <v>5.8000000000000005E-3</v>
      </c>
      <c r="U79" s="2">
        <v>-15.7399997711182</v>
      </c>
      <c r="V79" s="2">
        <f t="shared" si="9"/>
        <v>-1.21E-2</v>
      </c>
      <c r="W79" s="2">
        <v>-0.192450001835823</v>
      </c>
      <c r="X79" s="2">
        <f t="shared" si="10"/>
        <v>5.8000000000000005E-3</v>
      </c>
      <c r="Z79" s="2">
        <v>150.5</v>
      </c>
      <c r="AA79" s="2">
        <f t="shared" si="11"/>
        <v>0.121</v>
      </c>
      <c r="AB79" s="2">
        <v>-0.133780002593994</v>
      </c>
      <c r="AC79" s="2">
        <f t="shared" si="12"/>
        <v>5.8000000000000005E-3</v>
      </c>
    </row>
    <row r="80" spans="1:29" x14ac:dyDescent="0.25">
      <c r="A80" s="2">
        <v>-4.6799998283386204</v>
      </c>
      <c r="B80" s="2">
        <f t="shared" si="1"/>
        <v>-3.1999999999999997E-3</v>
      </c>
      <c r="C80" s="2">
        <v>-0.40680000185966497</v>
      </c>
      <c r="D80" s="2">
        <f t="shared" si="2"/>
        <v>5.8000000000000005E-3</v>
      </c>
      <c r="F80" s="2">
        <v>13.939999580383301</v>
      </c>
      <c r="G80" s="2">
        <f t="shared" si="3"/>
        <v>1.18E-2</v>
      </c>
      <c r="H80" s="2">
        <v>-0.35214999318122903</v>
      </c>
      <c r="I80" s="2">
        <f t="shared" si="4"/>
        <v>5.8000000000000005E-3</v>
      </c>
      <c r="K80" s="2">
        <v>-36.319999694824197</v>
      </c>
      <c r="L80" s="2">
        <f t="shared" si="5"/>
        <v>-2.8500000000000001E-2</v>
      </c>
      <c r="M80" s="2">
        <v>-0.30213999748230003</v>
      </c>
      <c r="N80" s="2">
        <f t="shared" si="6"/>
        <v>5.8000000000000005E-3</v>
      </c>
      <c r="P80" s="2">
        <v>92.199996948242202</v>
      </c>
      <c r="Q80" s="2">
        <f t="shared" si="7"/>
        <v>7.4400000000000008E-2</v>
      </c>
      <c r="R80" s="2">
        <v>-0.24842999875545499</v>
      </c>
      <c r="S80" s="2">
        <f t="shared" si="8"/>
        <v>5.8000000000000005E-3</v>
      </c>
      <c r="U80" s="2">
        <v>-14</v>
      </c>
      <c r="V80" s="2">
        <f t="shared" si="9"/>
        <v>-1.0699999999999999E-2</v>
      </c>
      <c r="W80" s="2">
        <v>-0.192450001835823</v>
      </c>
      <c r="X80" s="2">
        <f t="shared" si="10"/>
        <v>5.8000000000000005E-3</v>
      </c>
      <c r="Z80" s="2">
        <v>151.89999389648401</v>
      </c>
      <c r="AA80" s="2">
        <f t="shared" si="11"/>
        <v>0.1221</v>
      </c>
      <c r="AB80" s="2">
        <v>-0.133780002593994</v>
      </c>
      <c r="AC80" s="2">
        <f t="shared" si="12"/>
        <v>5.8000000000000005E-3</v>
      </c>
    </row>
    <row r="81" spans="1:29" x14ac:dyDescent="0.25">
      <c r="A81" s="2">
        <v>-1.5099999904632599</v>
      </c>
      <c r="B81" s="2">
        <f t="shared" si="1"/>
        <v>-6.9999999999999999E-4</v>
      </c>
      <c r="C81" s="2">
        <v>-0.406780004501343</v>
      </c>
      <c r="D81" s="2">
        <f t="shared" si="2"/>
        <v>5.8000000000000005E-3</v>
      </c>
      <c r="F81" s="2">
        <v>17.540000915527301</v>
      </c>
      <c r="G81" s="2">
        <f t="shared" si="3"/>
        <v>1.47E-2</v>
      </c>
      <c r="H81" s="2">
        <v>-0.35214000940322898</v>
      </c>
      <c r="I81" s="2">
        <f t="shared" si="4"/>
        <v>5.8000000000000005E-3</v>
      </c>
      <c r="K81" s="2">
        <v>-36.319999694824197</v>
      </c>
      <c r="L81" s="2">
        <f t="shared" si="5"/>
        <v>-2.8500000000000001E-2</v>
      </c>
      <c r="M81" s="2">
        <v>-0.30215001106262201</v>
      </c>
      <c r="N81" s="2">
        <f t="shared" si="6"/>
        <v>5.8000000000000005E-3</v>
      </c>
      <c r="P81" s="2">
        <v>94.400001525878906</v>
      </c>
      <c r="Q81" s="2">
        <f t="shared" si="7"/>
        <v>7.6100000000000001E-2</v>
      </c>
      <c r="R81" s="2">
        <v>-0.248400002717972</v>
      </c>
      <c r="S81" s="2">
        <f t="shared" si="8"/>
        <v>5.8000000000000005E-3</v>
      </c>
      <c r="U81" s="2">
        <v>-13.9899997711182</v>
      </c>
      <c r="V81" s="2">
        <f t="shared" si="9"/>
        <v>-1.0699999999999999E-2</v>
      </c>
      <c r="W81" s="2">
        <v>-0.192450001835823</v>
      </c>
      <c r="X81" s="2">
        <f t="shared" si="10"/>
        <v>5.8000000000000005E-3</v>
      </c>
      <c r="Z81" s="2">
        <v>154.60000610351599</v>
      </c>
      <c r="AA81" s="2">
        <f t="shared" si="11"/>
        <v>0.12430000000000001</v>
      </c>
      <c r="AB81" s="2">
        <v>-0.13377000391483301</v>
      </c>
      <c r="AC81" s="2">
        <f t="shared" si="12"/>
        <v>5.8000000000000005E-3</v>
      </c>
    </row>
    <row r="82" spans="1:29" x14ac:dyDescent="0.25">
      <c r="A82" s="2">
        <v>-0.15000000596046401</v>
      </c>
      <c r="B82" s="2">
        <f t="shared" si="1"/>
        <v>5.0000000000000001E-4</v>
      </c>
      <c r="C82" s="2">
        <v>-0.40676999092102101</v>
      </c>
      <c r="D82" s="2">
        <f t="shared" si="2"/>
        <v>5.8000000000000005E-3</v>
      </c>
      <c r="F82" s="2">
        <v>19.25</v>
      </c>
      <c r="G82" s="2">
        <f t="shared" si="3"/>
        <v>1.6E-2</v>
      </c>
      <c r="H82" s="2">
        <v>-0.35214000940322898</v>
      </c>
      <c r="I82" s="2">
        <f t="shared" si="4"/>
        <v>5.8000000000000005E-3</v>
      </c>
      <c r="K82" s="2">
        <v>-34.849998474121101</v>
      </c>
      <c r="L82" s="2">
        <f t="shared" si="5"/>
        <v>-2.7400000000000001E-2</v>
      </c>
      <c r="M82" s="2">
        <v>-0.30215001106262201</v>
      </c>
      <c r="N82" s="2">
        <f t="shared" si="6"/>
        <v>5.8000000000000005E-3</v>
      </c>
      <c r="P82" s="2">
        <v>97.699996948242202</v>
      </c>
      <c r="Q82" s="2">
        <f t="shared" si="7"/>
        <v>7.8800000000000009E-2</v>
      </c>
      <c r="R82" s="2">
        <v>-0.24839000403881101</v>
      </c>
      <c r="S82" s="2">
        <f t="shared" si="8"/>
        <v>5.8000000000000005E-3</v>
      </c>
      <c r="U82" s="2">
        <v>-12.25</v>
      </c>
      <c r="V82" s="2">
        <f t="shared" si="9"/>
        <v>-9.2999999999999992E-3</v>
      </c>
      <c r="W82" s="2">
        <v>-0.192450001835823</v>
      </c>
      <c r="X82" s="2">
        <f t="shared" si="10"/>
        <v>5.8000000000000005E-3</v>
      </c>
      <c r="Z82" s="2">
        <v>165.30000305175801</v>
      </c>
      <c r="AA82" s="2">
        <f t="shared" si="11"/>
        <v>0.13289999999999999</v>
      </c>
      <c r="AB82" s="2">
        <v>-0.133729994297028</v>
      </c>
      <c r="AC82" s="2">
        <f t="shared" si="12"/>
        <v>5.8000000000000005E-3</v>
      </c>
    </row>
    <row r="83" spans="1:29" x14ac:dyDescent="0.25">
      <c r="A83" s="2">
        <v>2.4800000190734899</v>
      </c>
      <c r="B83" s="2">
        <f t="shared" si="1"/>
        <v>2.5999999999999999E-3</v>
      </c>
      <c r="C83" s="2">
        <v>-0.40674999356269798</v>
      </c>
      <c r="D83" s="2">
        <f t="shared" si="2"/>
        <v>5.8000000000000005E-3</v>
      </c>
      <c r="F83" s="2">
        <v>20.120000839233398</v>
      </c>
      <c r="G83" s="2">
        <f t="shared" si="3"/>
        <v>1.67E-2</v>
      </c>
      <c r="H83" s="2">
        <v>-0.35214000940322898</v>
      </c>
      <c r="I83" s="2">
        <f t="shared" si="4"/>
        <v>5.8000000000000005E-3</v>
      </c>
      <c r="K83" s="2">
        <v>-34.490001678466797</v>
      </c>
      <c r="L83" s="2">
        <f t="shared" si="5"/>
        <v>-2.7099999999999999E-2</v>
      </c>
      <c r="M83" s="2">
        <v>-0.30215001106262201</v>
      </c>
      <c r="N83" s="2">
        <f t="shared" si="6"/>
        <v>5.8000000000000005E-3</v>
      </c>
      <c r="P83" s="2">
        <v>100.5</v>
      </c>
      <c r="Q83" s="2">
        <f t="shared" si="7"/>
        <v>8.1000000000000003E-2</v>
      </c>
      <c r="R83" s="2">
        <v>-0.24838000535964999</v>
      </c>
      <c r="S83" s="2">
        <f t="shared" si="8"/>
        <v>5.8000000000000005E-3</v>
      </c>
      <c r="U83" s="2">
        <v>-3.4700000286102299</v>
      </c>
      <c r="V83" s="2">
        <f t="shared" si="9"/>
        <v>-2.1999999999999997E-3</v>
      </c>
      <c r="W83" s="2">
        <v>-0.19246000051498399</v>
      </c>
      <c r="X83" s="2">
        <f t="shared" si="10"/>
        <v>5.8000000000000005E-3</v>
      </c>
      <c r="Z83" s="2">
        <v>165.80000305175801</v>
      </c>
      <c r="AA83" s="2">
        <f t="shared" si="11"/>
        <v>0.1333</v>
      </c>
      <c r="AB83" s="2">
        <v>-0.133709996938705</v>
      </c>
      <c r="AC83" s="2">
        <f t="shared" si="12"/>
        <v>5.8000000000000005E-3</v>
      </c>
    </row>
    <row r="84" spans="1:29" x14ac:dyDescent="0.25">
      <c r="A84" s="2">
        <v>2.4700000286102299</v>
      </c>
      <c r="B84" s="2">
        <f t="shared" si="1"/>
        <v>2.5999999999999999E-3</v>
      </c>
      <c r="C84" s="2">
        <v>-0.40674000978469799</v>
      </c>
      <c r="D84" s="2">
        <f t="shared" si="2"/>
        <v>5.8000000000000005E-3</v>
      </c>
      <c r="F84" s="2">
        <v>22.7600002288818</v>
      </c>
      <c r="G84" s="2">
        <f t="shared" si="3"/>
        <v>1.8800000000000001E-2</v>
      </c>
      <c r="H84" s="2">
        <v>-0.35212999582290599</v>
      </c>
      <c r="I84" s="2">
        <f t="shared" si="4"/>
        <v>5.8000000000000005E-3</v>
      </c>
      <c r="K84" s="2">
        <v>-32.790000915527301</v>
      </c>
      <c r="L84" s="2">
        <f t="shared" si="5"/>
        <v>-2.5700000000000001E-2</v>
      </c>
      <c r="M84" s="2">
        <v>-0.30215001106262201</v>
      </c>
      <c r="N84" s="2">
        <f t="shared" si="6"/>
        <v>5.8000000000000005E-3</v>
      </c>
      <c r="P84" s="2">
        <v>111.300003051758</v>
      </c>
      <c r="Q84" s="2">
        <f t="shared" si="7"/>
        <v>8.9700000000000002E-2</v>
      </c>
      <c r="R84" s="2">
        <v>-0.248349994421005</v>
      </c>
      <c r="S84" s="2">
        <f t="shared" si="8"/>
        <v>5.8000000000000005E-3</v>
      </c>
      <c r="U84" s="2">
        <v>-0.85000002384185802</v>
      </c>
      <c r="V84" s="2">
        <f t="shared" si="9"/>
        <v>-2.0000000000000001E-4</v>
      </c>
      <c r="W84" s="2">
        <v>-0.192450001835823</v>
      </c>
      <c r="X84" s="2">
        <f t="shared" si="10"/>
        <v>5.8000000000000005E-3</v>
      </c>
      <c r="Z84" s="2">
        <v>167.60000610351599</v>
      </c>
      <c r="AA84" s="2">
        <f t="shared" si="11"/>
        <v>0.13469999999999999</v>
      </c>
      <c r="AB84" s="2">
        <v>-0.13369999825954401</v>
      </c>
      <c r="AC84" s="2">
        <f t="shared" si="12"/>
        <v>5.8000000000000005E-3</v>
      </c>
    </row>
    <row r="85" spans="1:29" x14ac:dyDescent="0.25">
      <c r="A85" s="2">
        <v>2.5899999141693102</v>
      </c>
      <c r="B85" s="2">
        <f t="shared" si="1"/>
        <v>2.6999999999999997E-3</v>
      </c>
      <c r="C85" s="2">
        <v>-0.406729996204376</v>
      </c>
      <c r="D85" s="2">
        <f t="shared" si="2"/>
        <v>5.8000000000000005E-3</v>
      </c>
      <c r="F85" s="2">
        <v>22.780000686645501</v>
      </c>
      <c r="G85" s="2">
        <f t="shared" si="3"/>
        <v>1.89E-2</v>
      </c>
      <c r="H85" s="2">
        <v>-0.35212999582290599</v>
      </c>
      <c r="I85" s="2">
        <f t="shared" si="4"/>
        <v>5.8000000000000005E-3</v>
      </c>
      <c r="K85" s="2">
        <v>-31.0200004577637</v>
      </c>
      <c r="L85" s="2">
        <f t="shared" si="5"/>
        <v>-2.4299999999999999E-2</v>
      </c>
      <c r="M85" s="2">
        <v>-0.30215001106262201</v>
      </c>
      <c r="N85" s="2">
        <f t="shared" si="6"/>
        <v>5.8000000000000005E-3</v>
      </c>
      <c r="P85" s="2">
        <v>118.5</v>
      </c>
      <c r="Q85" s="2">
        <f t="shared" si="7"/>
        <v>9.5399999999999999E-2</v>
      </c>
      <c r="R85" s="2">
        <v>-0.24830999970436099</v>
      </c>
      <c r="S85" s="2">
        <f t="shared" si="8"/>
        <v>5.8000000000000005E-3</v>
      </c>
      <c r="U85" s="2">
        <v>3.0899999141693102</v>
      </c>
      <c r="V85" s="2">
        <f t="shared" si="9"/>
        <v>3.0999999999999999E-3</v>
      </c>
      <c r="W85" s="2">
        <v>-0.192450001835823</v>
      </c>
      <c r="X85" s="2">
        <f t="shared" si="10"/>
        <v>5.8000000000000005E-3</v>
      </c>
      <c r="Z85" s="2">
        <v>169.10000610351599</v>
      </c>
      <c r="AA85" s="2">
        <f t="shared" si="11"/>
        <v>0.13589999999999999</v>
      </c>
      <c r="AB85" s="2">
        <v>-0.13369999825954401</v>
      </c>
      <c r="AC85" s="2">
        <f t="shared" si="12"/>
        <v>5.8000000000000005E-3</v>
      </c>
    </row>
    <row r="86" spans="1:29" x14ac:dyDescent="0.25">
      <c r="A86" s="2">
        <v>4.25</v>
      </c>
      <c r="B86" s="2">
        <f t="shared" si="1"/>
        <v>4.0000000000000001E-3</v>
      </c>
      <c r="C86" s="2">
        <v>-0.40672001242637601</v>
      </c>
      <c r="D86" s="2">
        <f t="shared" si="2"/>
        <v>5.8000000000000005E-3</v>
      </c>
      <c r="F86" s="2">
        <v>24.530000686645501</v>
      </c>
      <c r="G86" s="2">
        <f t="shared" si="3"/>
        <v>2.0299999999999999E-2</v>
      </c>
      <c r="H86" s="2">
        <v>-0.352120012044907</v>
      </c>
      <c r="I86" s="2">
        <f t="shared" si="4"/>
        <v>5.8000000000000005E-3</v>
      </c>
      <c r="K86" s="2">
        <v>-30.319999694824201</v>
      </c>
      <c r="L86" s="2">
        <f t="shared" si="5"/>
        <v>-2.3699999999999999E-2</v>
      </c>
      <c r="M86" s="2">
        <v>-0.30215001106262201</v>
      </c>
      <c r="N86" s="2">
        <f t="shared" si="6"/>
        <v>5.8000000000000005E-3</v>
      </c>
      <c r="P86" s="2">
        <v>127.800003051758</v>
      </c>
      <c r="Q86" s="2">
        <f t="shared" si="7"/>
        <v>0.10290000000000001</v>
      </c>
      <c r="R86" s="2">
        <v>-0.24819999933242801</v>
      </c>
      <c r="S86" s="2">
        <f t="shared" si="8"/>
        <v>5.8000000000000005E-3</v>
      </c>
      <c r="U86" s="2">
        <v>5.3400001525878897</v>
      </c>
      <c r="V86" s="2">
        <f t="shared" si="9"/>
        <v>4.8999999999999998E-3</v>
      </c>
      <c r="W86" s="2">
        <v>-0.19244000315666199</v>
      </c>
      <c r="X86" s="2">
        <f t="shared" si="10"/>
        <v>5.8000000000000005E-3</v>
      </c>
      <c r="Z86" s="2">
        <v>170.69999694824199</v>
      </c>
      <c r="AA86" s="2">
        <f t="shared" si="11"/>
        <v>0.13719999999999999</v>
      </c>
      <c r="AB86" s="2">
        <v>-0.133689999580383</v>
      </c>
      <c r="AC86" s="2">
        <f t="shared" si="12"/>
        <v>5.8000000000000005E-3</v>
      </c>
    </row>
    <row r="87" spans="1:29" x14ac:dyDescent="0.25">
      <c r="A87" s="2">
        <v>6.5900001525878897</v>
      </c>
      <c r="B87" s="2">
        <f t="shared" si="1"/>
        <v>5.8999999999999999E-3</v>
      </c>
      <c r="C87" s="2">
        <v>-0.40670999884605402</v>
      </c>
      <c r="D87" s="2">
        <f t="shared" si="2"/>
        <v>5.8000000000000005E-3</v>
      </c>
      <c r="F87" s="2">
        <v>24.559999465942401</v>
      </c>
      <c r="G87" s="2">
        <f t="shared" si="3"/>
        <v>2.0299999999999999E-2</v>
      </c>
      <c r="H87" s="2">
        <v>-0.352120012044907</v>
      </c>
      <c r="I87" s="2">
        <f t="shared" si="4"/>
        <v>5.8000000000000005E-3</v>
      </c>
      <c r="K87" s="2">
        <v>-28.879999160766602</v>
      </c>
      <c r="L87" s="2">
        <f t="shared" si="5"/>
        <v>-2.2599999999999999E-2</v>
      </c>
      <c r="M87" s="2">
        <v>-0.30215001106262201</v>
      </c>
      <c r="N87" s="2">
        <f t="shared" si="6"/>
        <v>5.8000000000000005E-3</v>
      </c>
      <c r="P87" s="2">
        <v>133</v>
      </c>
      <c r="Q87" s="2">
        <f t="shared" si="7"/>
        <v>0.107</v>
      </c>
      <c r="R87" s="2">
        <v>-0.24817000329494501</v>
      </c>
      <c r="S87" s="2">
        <f t="shared" si="8"/>
        <v>5.8000000000000005E-3</v>
      </c>
      <c r="U87" s="2">
        <v>11.2299995422363</v>
      </c>
      <c r="V87" s="2">
        <f t="shared" si="9"/>
        <v>9.5999999999999992E-3</v>
      </c>
      <c r="W87" s="2">
        <v>-0.19244000315666199</v>
      </c>
      <c r="X87" s="2">
        <f t="shared" si="10"/>
        <v>5.8000000000000005E-3</v>
      </c>
      <c r="Z87" s="2">
        <v>173.69999694824199</v>
      </c>
      <c r="AA87" s="2">
        <f t="shared" si="11"/>
        <v>0.1396</v>
      </c>
      <c r="AB87" s="2">
        <v>-0.133689999580383</v>
      </c>
      <c r="AC87" s="2">
        <f t="shared" si="12"/>
        <v>5.8000000000000005E-3</v>
      </c>
    </row>
    <row r="88" spans="1:29" x14ac:dyDescent="0.25">
      <c r="A88" s="2">
        <v>7.7699999809265101</v>
      </c>
      <c r="B88" s="2">
        <f t="shared" si="1"/>
        <v>6.8000000000000005E-3</v>
      </c>
      <c r="C88" s="2">
        <v>-0.40669998526573198</v>
      </c>
      <c r="D88" s="2">
        <f t="shared" si="2"/>
        <v>5.8000000000000005E-3</v>
      </c>
      <c r="F88" s="2">
        <v>24.569999694824201</v>
      </c>
      <c r="G88" s="2">
        <f t="shared" si="3"/>
        <v>2.0299999999999999E-2</v>
      </c>
      <c r="H88" s="2">
        <v>-0.352120012044907</v>
      </c>
      <c r="I88" s="2">
        <f t="shared" si="4"/>
        <v>5.8000000000000005E-3</v>
      </c>
      <c r="K88" s="2">
        <v>-26.579999923706101</v>
      </c>
      <c r="L88" s="2">
        <f t="shared" si="5"/>
        <v>-2.07E-2</v>
      </c>
      <c r="M88" s="2">
        <v>-0.302159994840622</v>
      </c>
      <c r="N88" s="2">
        <f t="shared" si="6"/>
        <v>5.8000000000000005E-3</v>
      </c>
      <c r="P88" s="2">
        <v>138</v>
      </c>
      <c r="Q88" s="2">
        <f t="shared" si="7"/>
        <v>0.111</v>
      </c>
      <c r="R88" s="2">
        <v>-0.24811999499797799</v>
      </c>
      <c r="S88" s="2">
        <f t="shared" si="8"/>
        <v>5.8000000000000005E-3</v>
      </c>
      <c r="U88" s="2">
        <v>15.7700004577637</v>
      </c>
      <c r="V88" s="2">
        <f t="shared" si="9"/>
        <v>1.32E-2</v>
      </c>
      <c r="W88" s="2">
        <v>-0.19244000315666199</v>
      </c>
      <c r="X88" s="2">
        <f t="shared" si="10"/>
        <v>5.8000000000000005E-3</v>
      </c>
      <c r="Z88" s="2">
        <v>175.5</v>
      </c>
      <c r="AA88" s="2">
        <f t="shared" si="11"/>
        <v>0.14099999999999999</v>
      </c>
      <c r="AB88" s="2">
        <v>-0.13367000222206099</v>
      </c>
      <c r="AC88" s="2">
        <f t="shared" si="12"/>
        <v>5.8000000000000005E-3</v>
      </c>
    </row>
    <row r="89" spans="1:29" x14ac:dyDescent="0.25">
      <c r="A89" s="2">
        <v>11.210000038146999</v>
      </c>
      <c r="B89" s="2">
        <f t="shared" si="1"/>
        <v>9.5999999999999992E-3</v>
      </c>
      <c r="C89" s="2">
        <v>-0.40669000148773199</v>
      </c>
      <c r="D89" s="2">
        <f t="shared" si="2"/>
        <v>5.8000000000000005E-3</v>
      </c>
      <c r="F89" s="2">
        <v>24.680000305175799</v>
      </c>
      <c r="G89" s="2">
        <f t="shared" si="3"/>
        <v>2.0399999999999998E-2</v>
      </c>
      <c r="H89" s="2">
        <v>-0.352120012044907</v>
      </c>
      <c r="I89" s="2">
        <f t="shared" si="4"/>
        <v>5.8000000000000005E-3</v>
      </c>
      <c r="K89" s="2">
        <v>-23.940000534057599</v>
      </c>
      <c r="L89" s="2">
        <f t="shared" si="5"/>
        <v>-1.8599999999999998E-2</v>
      </c>
      <c r="M89" s="2">
        <v>-0.30215001106262201</v>
      </c>
      <c r="N89" s="2">
        <f t="shared" si="6"/>
        <v>5.8000000000000005E-3</v>
      </c>
      <c r="P89" s="2">
        <v>140.10000610351599</v>
      </c>
      <c r="Q89" s="2">
        <f t="shared" si="7"/>
        <v>0.11270000000000001</v>
      </c>
      <c r="R89" s="2">
        <v>-0.24808000028133401</v>
      </c>
      <c r="S89" s="2">
        <f t="shared" si="8"/>
        <v>5.8000000000000005E-3</v>
      </c>
      <c r="U89" s="2">
        <v>17.069999694824201</v>
      </c>
      <c r="V89" s="2">
        <f t="shared" si="9"/>
        <v>1.43E-2</v>
      </c>
      <c r="W89" s="2">
        <v>-0.19244000315666199</v>
      </c>
      <c r="X89" s="2">
        <f t="shared" si="10"/>
        <v>5.8000000000000005E-3</v>
      </c>
      <c r="Z89" s="2">
        <v>179.30000305175801</v>
      </c>
      <c r="AA89" s="2">
        <f t="shared" si="11"/>
        <v>0.14409999999999998</v>
      </c>
      <c r="AB89" s="2">
        <v>-0.133640006184578</v>
      </c>
      <c r="AC89" s="2">
        <f t="shared" si="12"/>
        <v>5.8000000000000005E-3</v>
      </c>
    </row>
    <row r="90" spans="1:29" x14ac:dyDescent="0.25">
      <c r="A90" s="2">
        <v>11.3699998855591</v>
      </c>
      <c r="B90" s="2">
        <f t="shared" si="1"/>
        <v>9.6999999999999986E-3</v>
      </c>
      <c r="C90" s="2">
        <v>-0.40667998790741</v>
      </c>
      <c r="D90" s="2">
        <f t="shared" si="2"/>
        <v>5.8000000000000005E-3</v>
      </c>
      <c r="F90" s="2">
        <v>26.319999694824201</v>
      </c>
      <c r="G90" s="2">
        <f t="shared" si="3"/>
        <v>2.1700000000000001E-2</v>
      </c>
      <c r="H90" s="2">
        <v>-0.35210999846458402</v>
      </c>
      <c r="I90" s="2">
        <f t="shared" si="4"/>
        <v>5.8000000000000005E-3</v>
      </c>
      <c r="K90" s="2">
        <v>-20.110000610351602</v>
      </c>
      <c r="L90" s="2">
        <f t="shared" si="5"/>
        <v>-1.5599999999999999E-2</v>
      </c>
      <c r="M90" s="2">
        <v>-0.30215001106262201</v>
      </c>
      <c r="N90" s="2">
        <f t="shared" si="6"/>
        <v>5.8000000000000005E-3</v>
      </c>
      <c r="P90" s="2">
        <v>143</v>
      </c>
      <c r="Q90" s="2">
        <f t="shared" si="7"/>
        <v>0.115</v>
      </c>
      <c r="R90" s="2">
        <v>-0.24804000556469</v>
      </c>
      <c r="S90" s="2">
        <f t="shared" si="8"/>
        <v>5.8000000000000005E-3</v>
      </c>
      <c r="U90" s="2">
        <v>19.5200004577637</v>
      </c>
      <c r="V90" s="2">
        <f t="shared" si="9"/>
        <v>1.6199999999999999E-2</v>
      </c>
      <c r="W90" s="2">
        <v>-0.192450001835823</v>
      </c>
      <c r="X90" s="2">
        <f t="shared" si="10"/>
        <v>5.8000000000000005E-3</v>
      </c>
      <c r="Z90" s="2">
        <v>183.19999694824199</v>
      </c>
      <c r="AA90" s="2">
        <f t="shared" si="11"/>
        <v>0.1472</v>
      </c>
      <c r="AB90" s="2">
        <v>-0.133609995245934</v>
      </c>
      <c r="AC90" s="2">
        <f t="shared" si="12"/>
        <v>5.8000000000000005E-3</v>
      </c>
    </row>
    <row r="91" spans="1:29" x14ac:dyDescent="0.25">
      <c r="A91" s="2">
        <v>13.1300001144409</v>
      </c>
      <c r="B91" s="2">
        <f t="shared" si="1"/>
        <v>1.1099999999999999E-2</v>
      </c>
      <c r="C91" s="2">
        <v>-0.40667000412941001</v>
      </c>
      <c r="D91" s="2">
        <f t="shared" si="2"/>
        <v>5.8000000000000005E-3</v>
      </c>
      <c r="F91" s="2">
        <v>26.309999465942401</v>
      </c>
      <c r="G91" s="2">
        <f t="shared" si="3"/>
        <v>2.1700000000000001E-2</v>
      </c>
      <c r="H91" s="2">
        <v>-0.35210999846458402</v>
      </c>
      <c r="I91" s="2">
        <f t="shared" si="4"/>
        <v>5.8000000000000005E-3</v>
      </c>
      <c r="K91" s="2">
        <v>-17.309999465942401</v>
      </c>
      <c r="L91" s="2">
        <f t="shared" si="5"/>
        <v>-1.3299999999999999E-2</v>
      </c>
      <c r="M91" s="2">
        <v>-0.30213999748230003</v>
      </c>
      <c r="N91" s="2">
        <f t="shared" si="6"/>
        <v>5.8000000000000005E-3</v>
      </c>
      <c r="P91" s="2">
        <v>144.60000610351599</v>
      </c>
      <c r="Q91" s="2">
        <f t="shared" si="7"/>
        <v>0.1163</v>
      </c>
      <c r="R91" s="2">
        <v>-0.24800999462604501</v>
      </c>
      <c r="S91" s="2">
        <f t="shared" si="8"/>
        <v>5.8000000000000005E-3</v>
      </c>
      <c r="U91" s="2">
        <v>21.0100002288818</v>
      </c>
      <c r="V91" s="2">
        <f t="shared" si="9"/>
        <v>1.7399999999999999E-2</v>
      </c>
      <c r="W91" s="2">
        <v>-0.19244000315666199</v>
      </c>
      <c r="X91" s="2">
        <f t="shared" si="10"/>
        <v>5.8000000000000005E-3</v>
      </c>
      <c r="Z91" s="2">
        <v>184.89999389648401</v>
      </c>
      <c r="AA91" s="2">
        <f t="shared" si="11"/>
        <v>0.14849999999999999</v>
      </c>
      <c r="AB91" s="2">
        <v>-0.13357999920845001</v>
      </c>
      <c r="AC91" s="2">
        <f t="shared" si="12"/>
        <v>5.8000000000000005E-3</v>
      </c>
    </row>
    <row r="92" spans="1:29" x14ac:dyDescent="0.25">
      <c r="A92" s="2">
        <v>14.0100002288818</v>
      </c>
      <c r="B92" s="2">
        <f t="shared" si="1"/>
        <v>1.18E-2</v>
      </c>
      <c r="C92" s="2">
        <v>-0.406630009412766</v>
      </c>
      <c r="D92" s="2">
        <f t="shared" si="2"/>
        <v>5.8000000000000005E-3</v>
      </c>
      <c r="F92" s="2">
        <v>30.950000762939499</v>
      </c>
      <c r="G92" s="2">
        <f t="shared" si="3"/>
        <v>2.5399999999999999E-2</v>
      </c>
      <c r="H92" s="2">
        <v>-0.35210001468658397</v>
      </c>
      <c r="I92" s="2">
        <f t="shared" si="4"/>
        <v>5.8000000000000005E-3</v>
      </c>
      <c r="K92" s="2">
        <v>-13.8800001144409</v>
      </c>
      <c r="L92" s="2">
        <f t="shared" si="5"/>
        <v>-1.06E-2</v>
      </c>
      <c r="M92" s="2">
        <v>-0.30213001370429998</v>
      </c>
      <c r="N92" s="2">
        <f t="shared" si="6"/>
        <v>5.8000000000000005E-3</v>
      </c>
      <c r="P92" s="2">
        <v>146.19999694824199</v>
      </c>
      <c r="Q92" s="2">
        <f t="shared" si="7"/>
        <v>0.1176</v>
      </c>
      <c r="R92" s="2">
        <v>-0.24797999858856201</v>
      </c>
      <c r="S92" s="2">
        <f t="shared" si="8"/>
        <v>5.8000000000000005E-3</v>
      </c>
      <c r="U92" s="2">
        <v>22.790000915527301</v>
      </c>
      <c r="V92" s="2">
        <f t="shared" si="9"/>
        <v>1.89E-2</v>
      </c>
      <c r="W92" s="2">
        <v>-0.19244000315666199</v>
      </c>
      <c r="X92" s="2">
        <f t="shared" si="10"/>
        <v>5.8000000000000005E-3</v>
      </c>
      <c r="Z92" s="2">
        <v>185.69999694824199</v>
      </c>
      <c r="AA92" s="2">
        <f t="shared" si="11"/>
        <v>0.1492</v>
      </c>
      <c r="AB92" s="2">
        <v>-0.133570000529289</v>
      </c>
      <c r="AC92" s="2">
        <f t="shared" si="12"/>
        <v>5.8000000000000005E-3</v>
      </c>
    </row>
    <row r="93" spans="1:29" x14ac:dyDescent="0.25">
      <c r="A93" s="2">
        <v>21.590000152587901</v>
      </c>
      <c r="B93" s="2">
        <f t="shared" si="1"/>
        <v>1.7899999999999999E-2</v>
      </c>
      <c r="C93" s="2">
        <v>-0.40661999583244302</v>
      </c>
      <c r="D93" s="2">
        <f t="shared" si="2"/>
        <v>5.8000000000000005E-3</v>
      </c>
      <c r="F93" s="2">
        <v>31.629999160766602</v>
      </c>
      <c r="G93" s="2">
        <f t="shared" si="3"/>
        <v>2.5899999999999999E-2</v>
      </c>
      <c r="H93" s="2">
        <v>-0.35210001468658397</v>
      </c>
      <c r="I93" s="2">
        <f t="shared" si="4"/>
        <v>5.8000000000000005E-3</v>
      </c>
      <c r="K93" s="2">
        <v>-11.6300001144409</v>
      </c>
      <c r="L93" s="2">
        <f t="shared" si="5"/>
        <v>-8.7999999999999988E-3</v>
      </c>
      <c r="M93" s="2">
        <v>-0.30212000012397799</v>
      </c>
      <c r="N93" s="2">
        <f t="shared" si="6"/>
        <v>5.8000000000000005E-3</v>
      </c>
      <c r="P93" s="2">
        <v>147.80000305175801</v>
      </c>
      <c r="Q93" s="2">
        <f t="shared" si="7"/>
        <v>0.11890000000000001</v>
      </c>
      <c r="R93" s="2">
        <v>-0.24796000123024001</v>
      </c>
      <c r="S93" s="2">
        <f t="shared" si="8"/>
        <v>5.8000000000000005E-3</v>
      </c>
      <c r="U93" s="2">
        <v>25.899999618530298</v>
      </c>
      <c r="V93" s="2">
        <f t="shared" si="9"/>
        <v>2.1299999999999999E-2</v>
      </c>
      <c r="W93" s="2">
        <v>-0.192430004477501</v>
      </c>
      <c r="X93" s="2">
        <f t="shared" si="10"/>
        <v>5.8000000000000005E-3</v>
      </c>
      <c r="Z93" s="2">
        <v>189.30000305175801</v>
      </c>
      <c r="AA93" s="2">
        <f t="shared" si="11"/>
        <v>0.15209999999999999</v>
      </c>
      <c r="AB93" s="2">
        <v>-0.13355000317096699</v>
      </c>
      <c r="AC93" s="2">
        <f t="shared" si="12"/>
        <v>5.8000000000000005E-3</v>
      </c>
    </row>
    <row r="94" spans="1:29" x14ac:dyDescent="0.25">
      <c r="A94" s="2">
        <v>23.7600002288818</v>
      </c>
      <c r="B94" s="2">
        <f t="shared" si="1"/>
        <v>1.9599999999999999E-2</v>
      </c>
      <c r="C94" s="2">
        <v>-0.40661001205444303</v>
      </c>
      <c r="D94" s="2">
        <f t="shared" si="2"/>
        <v>5.8000000000000005E-3</v>
      </c>
      <c r="F94" s="2">
        <v>33.5200004577637</v>
      </c>
      <c r="G94" s="2">
        <f t="shared" si="3"/>
        <v>2.7400000000000001E-2</v>
      </c>
      <c r="H94" s="2">
        <v>-0.35209000110626198</v>
      </c>
      <c r="I94" s="2">
        <f t="shared" si="4"/>
        <v>5.8000000000000005E-3</v>
      </c>
      <c r="K94" s="2">
        <v>-2.9400000572204599</v>
      </c>
      <c r="L94" s="2">
        <f t="shared" si="5"/>
        <v>-1.8E-3</v>
      </c>
      <c r="M94" s="2">
        <v>-0.30210000276565602</v>
      </c>
      <c r="N94" s="2">
        <f t="shared" si="6"/>
        <v>5.8000000000000005E-3</v>
      </c>
      <c r="P94" s="2">
        <v>150</v>
      </c>
      <c r="Q94" s="2">
        <f t="shared" si="7"/>
        <v>0.1206</v>
      </c>
      <c r="R94" s="2">
        <v>-0.24793000519275701</v>
      </c>
      <c r="S94" s="2">
        <f t="shared" si="8"/>
        <v>5.8000000000000005E-3</v>
      </c>
      <c r="U94" s="2">
        <v>29.909999847412099</v>
      </c>
      <c r="V94" s="2">
        <f t="shared" si="9"/>
        <v>2.46E-2</v>
      </c>
      <c r="W94" s="2">
        <v>-0.192430004477501</v>
      </c>
      <c r="X94" s="2">
        <f t="shared" si="10"/>
        <v>5.8000000000000005E-3</v>
      </c>
      <c r="Z94" s="2">
        <v>191.10000610351599</v>
      </c>
      <c r="AA94" s="2">
        <f t="shared" si="11"/>
        <v>0.1535</v>
      </c>
      <c r="AB94" s="2">
        <v>-0.133520007133484</v>
      </c>
      <c r="AC94" s="2">
        <f t="shared" si="12"/>
        <v>5.8000000000000005E-3</v>
      </c>
    </row>
    <row r="95" spans="1:29" x14ac:dyDescent="0.25">
      <c r="A95" s="2">
        <v>25.5100002288818</v>
      </c>
      <c r="B95" s="2">
        <f t="shared" si="1"/>
        <v>2.0999999999999998E-2</v>
      </c>
      <c r="C95" s="2">
        <v>-0.40659001469612099</v>
      </c>
      <c r="D95" s="2">
        <f t="shared" si="2"/>
        <v>5.8000000000000005E-3</v>
      </c>
      <c r="F95" s="2">
        <v>33.450000762939503</v>
      </c>
      <c r="G95" s="2">
        <f t="shared" si="3"/>
        <v>2.7400000000000001E-2</v>
      </c>
      <c r="H95" s="2">
        <v>-0.35207998752594</v>
      </c>
      <c r="I95" s="2">
        <f t="shared" si="4"/>
        <v>5.8000000000000005E-3</v>
      </c>
      <c r="K95" s="2">
        <v>-0.479999989271164</v>
      </c>
      <c r="L95" s="2">
        <f t="shared" si="5"/>
        <v>2.0000000000000001E-4</v>
      </c>
      <c r="M95" s="2">
        <v>-0.30210000276565602</v>
      </c>
      <c r="N95" s="2">
        <f t="shared" si="6"/>
        <v>5.8000000000000005E-3</v>
      </c>
      <c r="P95" s="2">
        <v>151.80000305175801</v>
      </c>
      <c r="Q95" s="2">
        <f t="shared" si="7"/>
        <v>0.1221</v>
      </c>
      <c r="R95" s="2">
        <v>-0.24790999293327301</v>
      </c>
      <c r="S95" s="2">
        <f t="shared" si="8"/>
        <v>5.8000000000000005E-3</v>
      </c>
      <c r="U95" s="2">
        <v>34.540000915527301</v>
      </c>
      <c r="V95" s="2">
        <f t="shared" si="9"/>
        <v>2.8299999999999999E-2</v>
      </c>
      <c r="W95" s="2">
        <v>-0.192430004477501</v>
      </c>
      <c r="X95" s="2">
        <f t="shared" si="10"/>
        <v>5.8000000000000005E-3</v>
      </c>
      <c r="Z95" s="2">
        <v>193.69999694824199</v>
      </c>
      <c r="AA95" s="2">
        <f t="shared" si="11"/>
        <v>0.15559999999999999</v>
      </c>
      <c r="AB95" s="2">
        <v>-0.13348999619483901</v>
      </c>
      <c r="AC95" s="2">
        <f t="shared" si="12"/>
        <v>5.8000000000000005E-3</v>
      </c>
    </row>
    <row r="96" spans="1:29" x14ac:dyDescent="0.25">
      <c r="A96" s="2">
        <v>27.469999313354499</v>
      </c>
      <c r="B96" s="2">
        <f t="shared" si="1"/>
        <v>2.2599999999999999E-2</v>
      </c>
      <c r="C96" s="2">
        <v>-0.40656998753547702</v>
      </c>
      <c r="D96" s="2">
        <f t="shared" si="2"/>
        <v>5.8000000000000005E-3</v>
      </c>
      <c r="F96" s="2">
        <v>36.950000762939503</v>
      </c>
      <c r="G96" s="2">
        <f t="shared" si="3"/>
        <v>3.0199999999999998E-2</v>
      </c>
      <c r="H96" s="2">
        <v>-0.35207000374794001</v>
      </c>
      <c r="I96" s="2">
        <f t="shared" si="4"/>
        <v>5.8000000000000005E-3</v>
      </c>
      <c r="K96" s="2">
        <v>0.61000001430511497</v>
      </c>
      <c r="L96" s="2">
        <f t="shared" si="5"/>
        <v>1.1000000000000001E-3</v>
      </c>
      <c r="M96" s="2">
        <v>-0.30208998918533297</v>
      </c>
      <c r="N96" s="2">
        <f t="shared" si="6"/>
        <v>5.8000000000000005E-3</v>
      </c>
      <c r="P96" s="2">
        <v>155.39999389648401</v>
      </c>
      <c r="Q96" s="2">
        <f t="shared" si="7"/>
        <v>0.1249</v>
      </c>
      <c r="R96" s="2">
        <v>-0.24788999557495101</v>
      </c>
      <c r="S96" s="2">
        <f t="shared" si="8"/>
        <v>5.8000000000000005E-3</v>
      </c>
      <c r="U96" s="2">
        <v>44.75</v>
      </c>
      <c r="V96" s="2">
        <f t="shared" si="9"/>
        <v>3.6400000000000002E-2</v>
      </c>
      <c r="W96" s="2">
        <v>-0.19242000579834001</v>
      </c>
      <c r="X96" s="2">
        <f t="shared" si="10"/>
        <v>5.8000000000000005E-3</v>
      </c>
      <c r="Z96" s="2">
        <v>198.30000305175801</v>
      </c>
      <c r="AA96" s="2">
        <f t="shared" si="11"/>
        <v>0.1593</v>
      </c>
      <c r="AB96" s="2">
        <v>-0.13346000015735601</v>
      </c>
      <c r="AC96" s="2">
        <f t="shared" si="12"/>
        <v>5.8000000000000005E-3</v>
      </c>
    </row>
    <row r="97" spans="1:29" x14ac:dyDescent="0.25">
      <c r="A97" s="2">
        <v>30.350000381469702</v>
      </c>
      <c r="B97" s="2">
        <f t="shared" si="1"/>
        <v>2.4899999999999999E-2</v>
      </c>
      <c r="C97" s="2">
        <v>-0.40654999017715499</v>
      </c>
      <c r="D97" s="2">
        <f t="shared" si="2"/>
        <v>5.8000000000000005E-3</v>
      </c>
      <c r="F97" s="2">
        <v>42.610000610351598</v>
      </c>
      <c r="G97" s="2">
        <f t="shared" si="3"/>
        <v>3.4700000000000002E-2</v>
      </c>
      <c r="H97" s="2">
        <v>-0.35205999016761802</v>
      </c>
      <c r="I97" s="2">
        <f t="shared" si="4"/>
        <v>5.8000000000000005E-3</v>
      </c>
      <c r="K97" s="2">
        <v>0.72000002861022905</v>
      </c>
      <c r="L97" s="2">
        <f t="shared" si="5"/>
        <v>1.2000000000000001E-3</v>
      </c>
      <c r="M97" s="2">
        <v>-0.30210000276565602</v>
      </c>
      <c r="N97" s="2">
        <f t="shared" si="6"/>
        <v>5.8000000000000005E-3</v>
      </c>
      <c r="P97" s="2">
        <v>160.5</v>
      </c>
      <c r="Q97" s="2">
        <f t="shared" si="7"/>
        <v>0.12899999999999998</v>
      </c>
      <c r="R97" s="2">
        <v>-0.24775999784469599</v>
      </c>
      <c r="S97" s="2">
        <f t="shared" si="8"/>
        <v>5.8000000000000005E-3</v>
      </c>
      <c r="U97" s="2">
        <v>62.200000762939503</v>
      </c>
      <c r="V97" s="2">
        <f t="shared" si="9"/>
        <v>5.04E-2</v>
      </c>
      <c r="W97" s="2">
        <v>-0.19236999750137301</v>
      </c>
      <c r="X97" s="2">
        <f t="shared" si="10"/>
        <v>5.8000000000000005E-3</v>
      </c>
      <c r="Z97" s="2">
        <v>203.19999694824199</v>
      </c>
      <c r="AA97" s="2">
        <f t="shared" si="11"/>
        <v>0.16319999999999998</v>
      </c>
      <c r="AB97" s="2">
        <v>-0.133420005440712</v>
      </c>
      <c r="AC97" s="2">
        <f t="shared" si="12"/>
        <v>5.8000000000000005E-3</v>
      </c>
    </row>
    <row r="98" spans="1:29" x14ac:dyDescent="0.25">
      <c r="A98" s="2">
        <v>30.930000305175799</v>
      </c>
      <c r="B98" s="2">
        <f t="shared" si="1"/>
        <v>2.5399999999999999E-2</v>
      </c>
      <c r="C98" s="2">
        <v>-0.406540006399155</v>
      </c>
      <c r="D98" s="2">
        <f t="shared" si="2"/>
        <v>5.8000000000000005E-3</v>
      </c>
      <c r="F98" s="2">
        <v>44.599998474121101</v>
      </c>
      <c r="G98" s="2">
        <f t="shared" si="3"/>
        <v>3.6300000000000006E-2</v>
      </c>
      <c r="H98" s="2">
        <v>-0.35205999016761802</v>
      </c>
      <c r="I98" s="2">
        <f t="shared" si="4"/>
        <v>5.8000000000000005E-3</v>
      </c>
      <c r="K98" s="2">
        <v>4.1900000572204599</v>
      </c>
      <c r="L98" s="2">
        <f t="shared" si="5"/>
        <v>4.0000000000000001E-3</v>
      </c>
      <c r="M98" s="2">
        <v>-0.30208998918533297</v>
      </c>
      <c r="N98" s="2">
        <f t="shared" si="6"/>
        <v>5.8000000000000005E-3</v>
      </c>
      <c r="P98" s="2">
        <v>163.5</v>
      </c>
      <c r="Q98" s="2">
        <f t="shared" si="7"/>
        <v>0.13139999999999999</v>
      </c>
      <c r="R98" s="2">
        <v>-0.24772000312805201</v>
      </c>
      <c r="S98" s="2">
        <f t="shared" si="8"/>
        <v>5.8000000000000005E-3</v>
      </c>
      <c r="U98" s="2">
        <v>63</v>
      </c>
      <c r="V98" s="2">
        <f t="shared" si="9"/>
        <v>5.1000000000000004E-2</v>
      </c>
      <c r="W98" s="2">
        <v>-0.19236999750137301</v>
      </c>
      <c r="X98" s="2">
        <f t="shared" si="10"/>
        <v>5.8000000000000005E-3</v>
      </c>
      <c r="Z98" s="2">
        <v>207.30000305175801</v>
      </c>
      <c r="AA98" s="2">
        <f t="shared" si="11"/>
        <v>0.16649999999999998</v>
      </c>
      <c r="AB98" s="2">
        <v>-0.13335999846458399</v>
      </c>
      <c r="AC98" s="2">
        <f t="shared" si="12"/>
        <v>5.8000000000000005E-3</v>
      </c>
    </row>
    <row r="99" spans="1:29" x14ac:dyDescent="0.25">
      <c r="A99" s="2">
        <v>31.829999923706101</v>
      </c>
      <c r="B99" s="2">
        <f t="shared" ref="B99:B162" si="13">ROUNDUP((0.08%*A99+0.001/(SQRT(3))),4)</f>
        <v>2.6099999999999998E-2</v>
      </c>
      <c r="C99" s="2">
        <v>-0.40652000904083302</v>
      </c>
      <c r="D99" s="2">
        <f t="shared" ref="D99:D162" si="14">ROUNDUP((0.015%*C99+0.01/(SQRT(3))),4)</f>
        <v>5.8000000000000005E-3</v>
      </c>
      <c r="F99" s="2">
        <v>47.380001068115199</v>
      </c>
      <c r="G99" s="2">
        <f t="shared" ref="G99:G162" si="15">ROUNDUP((0.08%*F99+0.001/(SQRT(3))),4)</f>
        <v>3.85E-2</v>
      </c>
      <c r="H99" s="2">
        <v>-0.35203999280929599</v>
      </c>
      <c r="I99" s="2">
        <f t="shared" ref="I99:I162" si="16">ROUNDUP((0.015%*H99+0.01/(SQRT(3))),4)</f>
        <v>5.8000000000000005E-3</v>
      </c>
      <c r="K99" s="2">
        <v>4.3200001716613796</v>
      </c>
      <c r="L99" s="2">
        <f t="shared" ref="L99:L162" si="17">ROUNDUP((0.08%*K99+0.001/(SQRT(3))),4)</f>
        <v>4.1000000000000003E-3</v>
      </c>
      <c r="M99" s="2">
        <v>-0.30208998918533297</v>
      </c>
      <c r="N99" s="2">
        <f t="shared" ref="N99:N162" si="18">ROUNDUP((0.015%*M99+0.01/(SQRT(3))),4)</f>
        <v>5.8000000000000005E-3</v>
      </c>
      <c r="P99" s="2">
        <v>167.5</v>
      </c>
      <c r="Q99" s="2">
        <f t="shared" ref="Q99:Q162" si="19">ROUNDUP((0.08%*P99+0.001/(SQRT(3))),4)</f>
        <v>0.1346</v>
      </c>
      <c r="R99" s="2">
        <v>-0.24769000709056899</v>
      </c>
      <c r="S99" s="2">
        <f t="shared" ref="S99:S162" si="20">ROUNDUP((0.015%*R99+0.01/(SQRT(3))),4)</f>
        <v>5.8000000000000005E-3</v>
      </c>
      <c r="U99" s="2">
        <v>64.699996948242202</v>
      </c>
      <c r="V99" s="2">
        <f t="shared" ref="V99:V162" si="21">ROUNDUP((0.08%*U99+0.001/(SQRT(3))),4)</f>
        <v>5.2400000000000002E-2</v>
      </c>
      <c r="W99" s="2">
        <v>-0.19236999750137301</v>
      </c>
      <c r="X99" s="2">
        <f t="shared" ref="X99:X162" si="22">ROUNDUP((0.015%*W99+0.01/(SQRT(3))),4)</f>
        <v>5.8000000000000005E-3</v>
      </c>
      <c r="Z99" s="2">
        <v>217.69999694824199</v>
      </c>
      <c r="AA99" s="2">
        <f t="shared" ref="AA99:AA162" si="23">ROUNDUP((0.08%*Z99+0.001/(SQRT(3))),4)</f>
        <v>0.17479999999999998</v>
      </c>
      <c r="AB99" s="2">
        <v>-0.13312999904155701</v>
      </c>
      <c r="AC99" s="2">
        <f t="shared" ref="AC99:AC162" si="24">ROUNDUP((0.015%*AB99+0.01/(SQRT(3))),4)</f>
        <v>5.8000000000000005E-3</v>
      </c>
    </row>
    <row r="100" spans="1:29" x14ac:dyDescent="0.25">
      <c r="A100" s="2">
        <v>34.450000762939503</v>
      </c>
      <c r="B100" s="2">
        <f t="shared" si="13"/>
        <v>2.8199999999999999E-2</v>
      </c>
      <c r="C100" s="2">
        <v>-0.40650999546050998</v>
      </c>
      <c r="D100" s="2">
        <f t="shared" si="14"/>
        <v>5.8000000000000005E-3</v>
      </c>
      <c r="F100" s="2">
        <v>51.060001373291001</v>
      </c>
      <c r="G100" s="2">
        <f t="shared" si="15"/>
        <v>4.1500000000000002E-2</v>
      </c>
      <c r="H100" s="2">
        <v>-0.35201999545097401</v>
      </c>
      <c r="I100" s="2">
        <f t="shared" si="16"/>
        <v>5.8000000000000005E-3</v>
      </c>
      <c r="K100" s="2">
        <v>5.9899997711181596</v>
      </c>
      <c r="L100" s="2">
        <f t="shared" si="17"/>
        <v>5.4000000000000003E-3</v>
      </c>
      <c r="M100" s="2">
        <v>-0.30208998918533297</v>
      </c>
      <c r="N100" s="2">
        <f t="shared" si="18"/>
        <v>5.8000000000000005E-3</v>
      </c>
      <c r="P100" s="2">
        <v>169.30000305175801</v>
      </c>
      <c r="Q100" s="2">
        <f t="shared" si="19"/>
        <v>0.1361</v>
      </c>
      <c r="R100" s="2">
        <v>-0.24763999879360199</v>
      </c>
      <c r="S100" s="2">
        <f t="shared" si="20"/>
        <v>5.8000000000000005E-3</v>
      </c>
      <c r="U100" s="2">
        <v>64.699996948242202</v>
      </c>
      <c r="V100" s="2">
        <f t="shared" si="21"/>
        <v>5.2400000000000002E-2</v>
      </c>
      <c r="W100" s="2">
        <v>-0.19236999750137301</v>
      </c>
      <c r="X100" s="2">
        <f t="shared" si="22"/>
        <v>5.8000000000000005E-3</v>
      </c>
      <c r="Z100" s="2">
        <v>218.10000610351599</v>
      </c>
      <c r="AA100" s="2">
        <f t="shared" si="23"/>
        <v>0.17509999999999998</v>
      </c>
      <c r="AB100" s="2">
        <v>-0.13307000696659099</v>
      </c>
      <c r="AC100" s="2">
        <f t="shared" si="24"/>
        <v>5.8000000000000005E-3</v>
      </c>
    </row>
    <row r="101" spans="1:29" x14ac:dyDescent="0.25">
      <c r="A101" s="2">
        <v>37.880001068115199</v>
      </c>
      <c r="B101" s="2">
        <f t="shared" si="13"/>
        <v>3.09E-2</v>
      </c>
      <c r="C101" s="2">
        <v>-0.406489998102188</v>
      </c>
      <c r="D101" s="2">
        <f t="shared" si="14"/>
        <v>5.8000000000000005E-3</v>
      </c>
      <c r="F101" s="2">
        <v>54.599998474121101</v>
      </c>
      <c r="G101" s="2">
        <f t="shared" si="15"/>
        <v>4.4300000000000006E-2</v>
      </c>
      <c r="H101" s="2">
        <v>-0.35199999809265098</v>
      </c>
      <c r="I101" s="2">
        <f t="shared" si="16"/>
        <v>5.8000000000000005E-3</v>
      </c>
      <c r="K101" s="2">
        <v>6.6799998283386204</v>
      </c>
      <c r="L101" s="2">
        <f t="shared" si="17"/>
        <v>6.0000000000000001E-3</v>
      </c>
      <c r="M101" s="2">
        <v>-0.30208998918533297</v>
      </c>
      <c r="N101" s="2">
        <f t="shared" si="18"/>
        <v>5.8000000000000005E-3</v>
      </c>
      <c r="P101" s="2">
        <v>174.5</v>
      </c>
      <c r="Q101" s="2">
        <f t="shared" si="19"/>
        <v>0.14019999999999999</v>
      </c>
      <c r="R101" s="2">
        <v>-0.24747000634670299</v>
      </c>
      <c r="S101" s="2">
        <f t="shared" si="20"/>
        <v>5.8000000000000005E-3</v>
      </c>
      <c r="U101" s="2">
        <v>68.099998474121094</v>
      </c>
      <c r="V101" s="2">
        <f t="shared" si="21"/>
        <v>5.5100000000000003E-2</v>
      </c>
      <c r="W101" s="2">
        <v>-0.192359998822212</v>
      </c>
      <c r="X101" s="2">
        <f t="shared" si="22"/>
        <v>5.8000000000000005E-3</v>
      </c>
      <c r="Z101" s="2">
        <v>219.39999389648401</v>
      </c>
      <c r="AA101" s="2">
        <f t="shared" si="23"/>
        <v>0.17609999999999998</v>
      </c>
      <c r="AB101" s="2">
        <v>-0.13302999734878501</v>
      </c>
      <c r="AC101" s="2">
        <f t="shared" si="24"/>
        <v>5.8000000000000005E-3</v>
      </c>
    </row>
    <row r="102" spans="1:29" x14ac:dyDescent="0.25">
      <c r="A102" s="2">
        <v>40.560001373291001</v>
      </c>
      <c r="B102" s="2">
        <f t="shared" si="13"/>
        <v>3.3100000000000004E-2</v>
      </c>
      <c r="C102" s="2">
        <v>-0.40648001432418801</v>
      </c>
      <c r="D102" s="2">
        <f t="shared" si="14"/>
        <v>5.8000000000000005E-3</v>
      </c>
      <c r="F102" s="2">
        <v>55.200000762939503</v>
      </c>
      <c r="G102" s="2">
        <f t="shared" si="15"/>
        <v>4.48E-2</v>
      </c>
      <c r="H102" s="2">
        <v>-0.351980000734329</v>
      </c>
      <c r="I102" s="2">
        <f t="shared" si="16"/>
        <v>5.8000000000000005E-3</v>
      </c>
      <c r="K102" s="2">
        <v>7.7199997901916504</v>
      </c>
      <c r="L102" s="2">
        <f t="shared" si="17"/>
        <v>6.8000000000000005E-3</v>
      </c>
      <c r="M102" s="2">
        <v>-0.30208000540733299</v>
      </c>
      <c r="N102" s="2">
        <f t="shared" si="18"/>
        <v>5.8000000000000005E-3</v>
      </c>
      <c r="P102" s="2">
        <v>176.19999694824199</v>
      </c>
      <c r="Q102" s="2">
        <f t="shared" si="19"/>
        <v>0.14159999999999998</v>
      </c>
      <c r="R102" s="2">
        <v>-0.247439995408058</v>
      </c>
      <c r="S102" s="2">
        <f t="shared" si="20"/>
        <v>5.8000000000000005E-3</v>
      </c>
      <c r="U102" s="2">
        <v>68.199996948242202</v>
      </c>
      <c r="V102" s="2">
        <f t="shared" si="21"/>
        <v>5.5200000000000006E-2</v>
      </c>
      <c r="W102" s="2">
        <v>-0.192359998822212</v>
      </c>
      <c r="X102" s="2">
        <f t="shared" si="22"/>
        <v>5.8000000000000005E-3</v>
      </c>
      <c r="Z102" s="2">
        <v>220.89999389648401</v>
      </c>
      <c r="AA102" s="2">
        <f t="shared" si="23"/>
        <v>0.17729999999999999</v>
      </c>
      <c r="AB102" s="2">
        <v>-0.132990002632141</v>
      </c>
      <c r="AC102" s="2">
        <f t="shared" si="24"/>
        <v>5.8000000000000005E-3</v>
      </c>
    </row>
    <row r="103" spans="1:29" x14ac:dyDescent="0.25">
      <c r="A103" s="2">
        <v>45.599998474121101</v>
      </c>
      <c r="B103" s="2">
        <f t="shared" si="13"/>
        <v>3.7100000000000001E-2</v>
      </c>
      <c r="C103" s="2">
        <v>-0.40645000338554399</v>
      </c>
      <c r="D103" s="2">
        <f t="shared" si="14"/>
        <v>5.8000000000000005E-3</v>
      </c>
      <c r="F103" s="2">
        <v>58.099998474121101</v>
      </c>
      <c r="G103" s="2">
        <f t="shared" si="15"/>
        <v>4.7100000000000003E-2</v>
      </c>
      <c r="H103" s="2">
        <v>-0.35196000337600702</v>
      </c>
      <c r="I103" s="2">
        <f t="shared" si="16"/>
        <v>5.8000000000000005E-3</v>
      </c>
      <c r="K103" s="2">
        <v>8.4399995803833008</v>
      </c>
      <c r="L103" s="2">
        <f t="shared" si="17"/>
        <v>7.4000000000000003E-3</v>
      </c>
      <c r="M103" s="2">
        <v>-0.30208000540733299</v>
      </c>
      <c r="N103" s="2">
        <f t="shared" si="18"/>
        <v>5.8000000000000005E-3</v>
      </c>
      <c r="P103" s="2">
        <v>179</v>
      </c>
      <c r="Q103" s="2">
        <f t="shared" si="19"/>
        <v>0.14379999999999998</v>
      </c>
      <c r="R103" s="2">
        <v>-0.247419998049736</v>
      </c>
      <c r="S103" s="2">
        <f t="shared" si="20"/>
        <v>5.8000000000000005E-3</v>
      </c>
      <c r="U103" s="2">
        <v>70.699996948242202</v>
      </c>
      <c r="V103" s="2">
        <f t="shared" si="21"/>
        <v>5.7200000000000001E-2</v>
      </c>
      <c r="W103" s="2">
        <v>-0.19235000014305101</v>
      </c>
      <c r="X103" s="2">
        <f t="shared" si="22"/>
        <v>5.8000000000000005E-3</v>
      </c>
      <c r="Z103" s="2">
        <v>228.39999389648401</v>
      </c>
      <c r="AA103" s="2">
        <f t="shared" si="23"/>
        <v>0.18329999999999999</v>
      </c>
      <c r="AB103" s="2">
        <v>-0.13271999359130901</v>
      </c>
      <c r="AC103" s="2">
        <f t="shared" si="24"/>
        <v>5.8000000000000005E-3</v>
      </c>
    </row>
    <row r="104" spans="1:29" x14ac:dyDescent="0.25">
      <c r="A104" s="2">
        <v>48.549999237060497</v>
      </c>
      <c r="B104" s="2">
        <f t="shared" si="13"/>
        <v>3.95E-2</v>
      </c>
      <c r="C104" s="2">
        <v>-0.40641999244689903</v>
      </c>
      <c r="D104" s="2">
        <f t="shared" si="14"/>
        <v>5.8000000000000005E-3</v>
      </c>
      <c r="F104" s="2">
        <v>59.400001525878899</v>
      </c>
      <c r="G104" s="2">
        <f t="shared" si="15"/>
        <v>4.8100000000000004E-2</v>
      </c>
      <c r="H104" s="2">
        <v>-0.35194998979568498</v>
      </c>
      <c r="I104" s="2">
        <f t="shared" si="16"/>
        <v>5.8000000000000005E-3</v>
      </c>
      <c r="K104" s="2">
        <v>9.4899997711181605</v>
      </c>
      <c r="L104" s="2">
        <f t="shared" si="17"/>
        <v>8.199999999999999E-3</v>
      </c>
      <c r="M104" s="2">
        <v>-0.302069991827011</v>
      </c>
      <c r="N104" s="2">
        <f t="shared" si="18"/>
        <v>5.8000000000000005E-3</v>
      </c>
      <c r="P104" s="2">
        <v>181.5</v>
      </c>
      <c r="Q104" s="2">
        <f t="shared" si="19"/>
        <v>0.14579999999999999</v>
      </c>
      <c r="R104" s="2">
        <v>-0.24738000333309201</v>
      </c>
      <c r="S104" s="2">
        <f t="shared" si="20"/>
        <v>5.8000000000000005E-3</v>
      </c>
      <c r="U104" s="2">
        <v>74.300003051757798</v>
      </c>
      <c r="V104" s="2">
        <f t="shared" si="21"/>
        <v>6.0100000000000001E-2</v>
      </c>
      <c r="W104" s="2">
        <v>-0.19235000014305101</v>
      </c>
      <c r="X104" s="2">
        <f t="shared" si="22"/>
        <v>5.8000000000000005E-3</v>
      </c>
      <c r="Z104" s="2">
        <v>230.30000305175801</v>
      </c>
      <c r="AA104" s="2">
        <f t="shared" si="23"/>
        <v>0.18489999999999998</v>
      </c>
      <c r="AB104" s="2">
        <v>-0.13269999623298601</v>
      </c>
      <c r="AC104" s="2">
        <f t="shared" si="24"/>
        <v>5.8000000000000005E-3</v>
      </c>
    </row>
    <row r="105" spans="1:29" x14ac:dyDescent="0.25">
      <c r="A105" s="2">
        <v>45.419998168945298</v>
      </c>
      <c r="B105" s="2">
        <f t="shared" si="13"/>
        <v>3.7000000000000005E-2</v>
      </c>
      <c r="C105" s="2">
        <v>-0.40637999773025502</v>
      </c>
      <c r="D105" s="2">
        <f t="shared" si="14"/>
        <v>5.8000000000000005E-3</v>
      </c>
      <c r="F105" s="2">
        <v>61.599998474121101</v>
      </c>
      <c r="G105" s="2">
        <f t="shared" si="15"/>
        <v>4.99E-2</v>
      </c>
      <c r="H105" s="2">
        <v>-0.35194000601768499</v>
      </c>
      <c r="I105" s="2">
        <f t="shared" si="16"/>
        <v>5.8000000000000005E-3</v>
      </c>
      <c r="K105" s="2">
        <v>9.5</v>
      </c>
      <c r="L105" s="2">
        <f t="shared" si="17"/>
        <v>8.199999999999999E-3</v>
      </c>
      <c r="M105" s="2">
        <v>-0.30208000540733299</v>
      </c>
      <c r="N105" s="2">
        <f t="shared" si="18"/>
        <v>5.8000000000000005E-3</v>
      </c>
      <c r="P105" s="2">
        <v>183.69999694824199</v>
      </c>
      <c r="Q105" s="2">
        <f t="shared" si="19"/>
        <v>0.14759999999999998</v>
      </c>
      <c r="R105" s="2">
        <v>-0.247319996356964</v>
      </c>
      <c r="S105" s="2">
        <f t="shared" si="20"/>
        <v>5.8000000000000005E-3</v>
      </c>
      <c r="U105" s="2">
        <v>77.699996948242202</v>
      </c>
      <c r="V105" s="2">
        <f t="shared" si="21"/>
        <v>6.2800000000000009E-2</v>
      </c>
      <c r="W105" s="2">
        <v>-0.19235000014305101</v>
      </c>
      <c r="X105" s="2">
        <f t="shared" si="22"/>
        <v>5.8000000000000005E-3</v>
      </c>
      <c r="Z105" s="2">
        <v>233.60000610351599</v>
      </c>
      <c r="AA105" s="2">
        <f t="shared" si="23"/>
        <v>0.1875</v>
      </c>
      <c r="AB105" s="2">
        <v>-0.132660001516342</v>
      </c>
      <c r="AC105" s="2">
        <f t="shared" si="24"/>
        <v>5.8000000000000005E-3</v>
      </c>
    </row>
    <row r="106" spans="1:29" x14ac:dyDescent="0.25">
      <c r="A106" s="2">
        <v>63.5</v>
      </c>
      <c r="B106" s="2">
        <f t="shared" si="13"/>
        <v>5.1400000000000001E-2</v>
      </c>
      <c r="C106" s="2">
        <v>-0.40626999735832198</v>
      </c>
      <c r="D106" s="2">
        <f t="shared" si="14"/>
        <v>5.8000000000000005E-3</v>
      </c>
      <c r="F106" s="2">
        <v>63.400001525878899</v>
      </c>
      <c r="G106" s="2">
        <f t="shared" si="15"/>
        <v>5.1300000000000005E-2</v>
      </c>
      <c r="H106" s="2">
        <v>-0.351929992437363</v>
      </c>
      <c r="I106" s="2">
        <f t="shared" si="16"/>
        <v>5.8000000000000005E-3</v>
      </c>
      <c r="K106" s="2">
        <v>9.5500001907348597</v>
      </c>
      <c r="L106" s="2">
        <f t="shared" si="17"/>
        <v>8.3000000000000001E-3</v>
      </c>
      <c r="M106" s="2">
        <v>-0.302069991827011</v>
      </c>
      <c r="N106" s="2">
        <f t="shared" si="18"/>
        <v>5.8000000000000005E-3</v>
      </c>
      <c r="P106" s="2">
        <v>187.39999389648401</v>
      </c>
      <c r="Q106" s="2">
        <f t="shared" si="19"/>
        <v>0.15049999999999999</v>
      </c>
      <c r="R106" s="2">
        <v>-0.24721999466419201</v>
      </c>
      <c r="S106" s="2">
        <f t="shared" si="20"/>
        <v>5.8000000000000005E-3</v>
      </c>
      <c r="U106" s="2">
        <v>80.300003051757798</v>
      </c>
      <c r="V106" s="2">
        <f t="shared" si="21"/>
        <v>6.4899999999999999E-2</v>
      </c>
      <c r="W106" s="2">
        <v>-0.192330002784729</v>
      </c>
      <c r="X106" s="2">
        <f t="shared" si="22"/>
        <v>5.8000000000000005E-3</v>
      </c>
      <c r="Z106" s="2">
        <v>236.30000305175801</v>
      </c>
      <c r="AA106" s="2">
        <f t="shared" si="23"/>
        <v>0.18969999999999998</v>
      </c>
      <c r="AB106" s="2">
        <v>-0.13257999718189201</v>
      </c>
      <c r="AC106" s="2">
        <f t="shared" si="24"/>
        <v>5.8000000000000005E-3</v>
      </c>
    </row>
    <row r="107" spans="1:29" x14ac:dyDescent="0.25">
      <c r="A107" s="2">
        <v>66.300003051757798</v>
      </c>
      <c r="B107" s="2">
        <f t="shared" si="13"/>
        <v>5.3700000000000005E-2</v>
      </c>
      <c r="C107" s="2">
        <v>-0.40625</v>
      </c>
      <c r="D107" s="2">
        <f t="shared" si="14"/>
        <v>5.8000000000000005E-3</v>
      </c>
      <c r="F107" s="2">
        <v>67.099998474121094</v>
      </c>
      <c r="G107" s="2">
        <f t="shared" si="15"/>
        <v>5.4300000000000001E-2</v>
      </c>
      <c r="H107" s="2">
        <v>-0.35190001130104098</v>
      </c>
      <c r="I107" s="2">
        <f t="shared" si="16"/>
        <v>5.8000000000000005E-3</v>
      </c>
      <c r="K107" s="2">
        <v>10.4099998474121</v>
      </c>
      <c r="L107" s="2">
        <f t="shared" si="17"/>
        <v>8.9999999999999993E-3</v>
      </c>
      <c r="M107" s="2">
        <v>-0.30208000540733299</v>
      </c>
      <c r="N107" s="2">
        <f t="shared" si="18"/>
        <v>5.8000000000000005E-3</v>
      </c>
      <c r="P107" s="2">
        <v>189.89999389648401</v>
      </c>
      <c r="Q107" s="2">
        <f t="shared" si="19"/>
        <v>0.1525</v>
      </c>
      <c r="R107" s="2">
        <v>-0.247130006551743</v>
      </c>
      <c r="S107" s="2">
        <f t="shared" si="20"/>
        <v>5.8000000000000005E-3</v>
      </c>
      <c r="U107" s="2">
        <v>82.099998474121094</v>
      </c>
      <c r="V107" s="2">
        <f t="shared" si="21"/>
        <v>6.6299999999999998E-2</v>
      </c>
      <c r="W107" s="2">
        <v>-0.192330002784729</v>
      </c>
      <c r="X107" s="2">
        <f t="shared" si="22"/>
        <v>5.8000000000000005E-3</v>
      </c>
      <c r="Z107" s="2">
        <v>242.19999694824199</v>
      </c>
      <c r="AA107" s="2">
        <f t="shared" si="23"/>
        <v>0.19439999999999999</v>
      </c>
      <c r="AB107" s="2">
        <v>-0.13229000568389901</v>
      </c>
      <c r="AC107" s="2">
        <f t="shared" si="24"/>
        <v>5.8000000000000005E-3</v>
      </c>
    </row>
    <row r="108" spans="1:29" x14ac:dyDescent="0.25">
      <c r="A108" s="2">
        <v>68.099998474121094</v>
      </c>
      <c r="B108" s="2">
        <f t="shared" si="13"/>
        <v>5.5100000000000003E-2</v>
      </c>
      <c r="C108" s="2">
        <v>-0.40617999434471103</v>
      </c>
      <c r="D108" s="2">
        <f t="shared" si="14"/>
        <v>5.8000000000000005E-3</v>
      </c>
      <c r="F108" s="2">
        <v>67.699996948242202</v>
      </c>
      <c r="G108" s="2">
        <f t="shared" si="15"/>
        <v>5.4800000000000001E-2</v>
      </c>
      <c r="H108" s="2">
        <v>-0.351889997720718</v>
      </c>
      <c r="I108" s="2">
        <f t="shared" si="16"/>
        <v>5.8000000000000005E-3</v>
      </c>
      <c r="K108" s="2">
        <v>11.2700004577637</v>
      </c>
      <c r="L108" s="2">
        <f t="shared" si="17"/>
        <v>9.5999999999999992E-3</v>
      </c>
      <c r="M108" s="2">
        <v>-0.30208000540733299</v>
      </c>
      <c r="N108" s="2">
        <f t="shared" si="18"/>
        <v>5.8000000000000005E-3</v>
      </c>
      <c r="P108" s="2">
        <v>190.30000305175801</v>
      </c>
      <c r="Q108" s="2">
        <f t="shared" si="19"/>
        <v>0.15289999999999998</v>
      </c>
      <c r="R108" s="2">
        <v>-0.247060000896454</v>
      </c>
      <c r="S108" s="2">
        <f t="shared" si="20"/>
        <v>5.8000000000000005E-3</v>
      </c>
      <c r="U108" s="2">
        <v>83.800003051757798</v>
      </c>
      <c r="V108" s="2">
        <f t="shared" si="21"/>
        <v>6.7699999999999996E-2</v>
      </c>
      <c r="W108" s="2">
        <v>-0.19232000410556799</v>
      </c>
      <c r="X108" s="2">
        <f t="shared" si="22"/>
        <v>5.8000000000000005E-3</v>
      </c>
      <c r="Z108" s="2">
        <v>243.69999694824199</v>
      </c>
      <c r="AA108" s="2">
        <f t="shared" si="23"/>
        <v>0.1956</v>
      </c>
      <c r="AB108" s="2">
        <v>-0.13221000134944899</v>
      </c>
      <c r="AC108" s="2">
        <f t="shared" si="24"/>
        <v>5.8000000000000005E-3</v>
      </c>
    </row>
    <row r="109" spans="1:29" x14ac:dyDescent="0.25">
      <c r="A109" s="2">
        <v>68.099998474121094</v>
      </c>
      <c r="B109" s="2">
        <f t="shared" si="13"/>
        <v>5.5100000000000003E-2</v>
      </c>
      <c r="C109" s="2">
        <v>-0.40619000792503401</v>
      </c>
      <c r="D109" s="2">
        <f t="shared" si="14"/>
        <v>5.8000000000000005E-3</v>
      </c>
      <c r="F109" s="2">
        <v>68</v>
      </c>
      <c r="G109" s="2">
        <f t="shared" si="15"/>
        <v>5.5E-2</v>
      </c>
      <c r="H109" s="2">
        <v>-0.35188001394271901</v>
      </c>
      <c r="I109" s="2">
        <f t="shared" si="16"/>
        <v>5.8000000000000005E-3</v>
      </c>
      <c r="K109" s="2">
        <v>12.420000076293899</v>
      </c>
      <c r="L109" s="2">
        <f t="shared" si="17"/>
        <v>1.06E-2</v>
      </c>
      <c r="M109" s="2">
        <v>-0.30208000540733299</v>
      </c>
      <c r="N109" s="2">
        <f t="shared" si="18"/>
        <v>5.8000000000000005E-3</v>
      </c>
      <c r="P109" s="2">
        <v>190.30000305175801</v>
      </c>
      <c r="Q109" s="2">
        <f t="shared" si="19"/>
        <v>0.15289999999999998</v>
      </c>
      <c r="R109" s="2">
        <v>-0.24702000617980999</v>
      </c>
      <c r="S109" s="2">
        <f t="shared" si="20"/>
        <v>5.8000000000000005E-3</v>
      </c>
      <c r="U109" s="2">
        <v>85.599998474121094</v>
      </c>
      <c r="V109" s="2">
        <f t="shared" si="21"/>
        <v>6.9100000000000009E-2</v>
      </c>
      <c r="W109" s="2">
        <v>-0.19232000410556799</v>
      </c>
      <c r="X109" s="2">
        <f t="shared" si="22"/>
        <v>5.8000000000000005E-3</v>
      </c>
      <c r="Z109" s="2">
        <v>244.19999694824199</v>
      </c>
      <c r="AA109" s="2">
        <f t="shared" si="23"/>
        <v>0.19599999999999998</v>
      </c>
      <c r="AB109" s="2">
        <v>-0.13213999569415999</v>
      </c>
      <c r="AC109" s="2">
        <f t="shared" si="24"/>
        <v>5.8000000000000005E-3</v>
      </c>
    </row>
    <row r="110" spans="1:29" x14ac:dyDescent="0.25">
      <c r="A110" s="2">
        <v>68.099998474121094</v>
      </c>
      <c r="B110" s="2">
        <f t="shared" si="13"/>
        <v>5.5100000000000003E-2</v>
      </c>
      <c r="C110" s="2">
        <v>-0.40617999434471103</v>
      </c>
      <c r="D110" s="2">
        <f t="shared" si="14"/>
        <v>5.8000000000000005E-3</v>
      </c>
      <c r="F110" s="2">
        <v>68.699996948242202</v>
      </c>
      <c r="G110" s="2">
        <f t="shared" si="15"/>
        <v>5.5600000000000004E-2</v>
      </c>
      <c r="H110" s="2">
        <v>-0.35187000036239602</v>
      </c>
      <c r="I110" s="2">
        <f t="shared" si="16"/>
        <v>5.8000000000000005E-3</v>
      </c>
      <c r="K110" s="2">
        <v>13.1000003814697</v>
      </c>
      <c r="L110" s="2">
        <f t="shared" si="17"/>
        <v>1.1099999999999999E-2</v>
      </c>
      <c r="M110" s="2">
        <v>-0.302069991827011</v>
      </c>
      <c r="N110" s="2">
        <f t="shared" si="18"/>
        <v>5.8000000000000005E-3</v>
      </c>
      <c r="P110" s="2">
        <v>190.39999389648401</v>
      </c>
      <c r="Q110" s="2">
        <f t="shared" si="19"/>
        <v>0.15289999999999998</v>
      </c>
      <c r="R110" s="2">
        <v>-0.247009992599487</v>
      </c>
      <c r="S110" s="2">
        <f t="shared" si="20"/>
        <v>5.8000000000000005E-3</v>
      </c>
      <c r="U110" s="2">
        <v>87.300003051757798</v>
      </c>
      <c r="V110" s="2">
        <f t="shared" si="21"/>
        <v>7.0500000000000007E-2</v>
      </c>
      <c r="W110" s="2">
        <v>-0.192310005426407</v>
      </c>
      <c r="X110" s="2">
        <f t="shared" si="22"/>
        <v>5.8000000000000005E-3</v>
      </c>
      <c r="Z110" s="2">
        <v>245.30000305175801</v>
      </c>
      <c r="AA110" s="2">
        <f t="shared" si="23"/>
        <v>0.19689999999999999</v>
      </c>
      <c r="AB110" s="2">
        <v>-0.13209000229835499</v>
      </c>
      <c r="AC110" s="2">
        <f t="shared" si="24"/>
        <v>5.8000000000000005E-3</v>
      </c>
    </row>
    <row r="111" spans="1:29" x14ac:dyDescent="0.25">
      <c r="A111" s="2">
        <v>70.599998474121094</v>
      </c>
      <c r="B111" s="2">
        <f t="shared" si="13"/>
        <v>5.7100000000000005E-2</v>
      </c>
      <c r="C111" s="2">
        <v>-0.40615999698638899</v>
      </c>
      <c r="D111" s="2">
        <f t="shared" si="14"/>
        <v>5.8000000000000005E-3</v>
      </c>
      <c r="F111" s="2">
        <v>72.199996948242202</v>
      </c>
      <c r="G111" s="2">
        <f t="shared" si="15"/>
        <v>5.8400000000000001E-2</v>
      </c>
      <c r="H111" s="2">
        <v>-0.35187000036239602</v>
      </c>
      <c r="I111" s="2">
        <f t="shared" si="16"/>
        <v>5.8000000000000005E-3</v>
      </c>
      <c r="K111" s="2">
        <v>13.1000003814697</v>
      </c>
      <c r="L111" s="2">
        <f t="shared" si="17"/>
        <v>1.1099999999999999E-2</v>
      </c>
      <c r="M111" s="2">
        <v>-0.302069991827011</v>
      </c>
      <c r="N111" s="2">
        <f t="shared" si="18"/>
        <v>5.8000000000000005E-3</v>
      </c>
      <c r="P111" s="2">
        <v>191.69999694824199</v>
      </c>
      <c r="Q111" s="2">
        <f t="shared" si="19"/>
        <v>0.154</v>
      </c>
      <c r="R111" s="2">
        <v>-0.247009992599487</v>
      </c>
      <c r="S111" s="2">
        <f t="shared" si="20"/>
        <v>5.8000000000000005E-3</v>
      </c>
      <c r="U111" s="2">
        <v>96</v>
      </c>
      <c r="V111" s="2">
        <f t="shared" si="21"/>
        <v>7.7399999999999997E-2</v>
      </c>
      <c r="W111" s="2">
        <v>-0.19230000674724601</v>
      </c>
      <c r="X111" s="2">
        <f t="shared" si="22"/>
        <v>5.8000000000000005E-3</v>
      </c>
      <c r="Z111" s="2">
        <v>245.5</v>
      </c>
      <c r="AA111" s="2">
        <f t="shared" si="23"/>
        <v>0.19699999999999998</v>
      </c>
      <c r="AB111" s="2">
        <v>-0.132060006260872</v>
      </c>
      <c r="AC111" s="2">
        <f t="shared" si="24"/>
        <v>5.8000000000000005E-3</v>
      </c>
    </row>
    <row r="112" spans="1:29" x14ac:dyDescent="0.25">
      <c r="A112" s="2">
        <v>68.099998474121094</v>
      </c>
      <c r="B112" s="2">
        <f t="shared" si="13"/>
        <v>5.5100000000000003E-2</v>
      </c>
      <c r="C112" s="2">
        <v>-0.40612998604774497</v>
      </c>
      <c r="D112" s="2">
        <f t="shared" si="14"/>
        <v>5.8000000000000005E-3</v>
      </c>
      <c r="F112" s="2">
        <v>75.699996948242202</v>
      </c>
      <c r="G112" s="2">
        <f t="shared" si="15"/>
        <v>6.1200000000000004E-2</v>
      </c>
      <c r="H112" s="2">
        <v>-0.35185000300407399</v>
      </c>
      <c r="I112" s="2">
        <f t="shared" si="16"/>
        <v>5.8000000000000005E-3</v>
      </c>
      <c r="K112" s="2">
        <v>13.060000419616699</v>
      </c>
      <c r="L112" s="2">
        <f t="shared" si="17"/>
        <v>1.1099999999999999E-2</v>
      </c>
      <c r="M112" s="2">
        <v>-0.30206000804901101</v>
      </c>
      <c r="N112" s="2">
        <f t="shared" si="18"/>
        <v>5.8000000000000005E-3</v>
      </c>
      <c r="P112" s="2">
        <v>195.69999694824199</v>
      </c>
      <c r="Q112" s="2">
        <f t="shared" si="19"/>
        <v>0.15719999999999998</v>
      </c>
      <c r="R112" s="2">
        <v>-0.24686999619007099</v>
      </c>
      <c r="S112" s="2">
        <f t="shared" si="20"/>
        <v>5.8000000000000005E-3</v>
      </c>
      <c r="U112" s="2">
        <v>97.800003051757798</v>
      </c>
      <c r="V112" s="2">
        <f t="shared" si="21"/>
        <v>7.8899999999999998E-2</v>
      </c>
      <c r="W112" s="2">
        <v>-0.19230000674724601</v>
      </c>
      <c r="X112" s="2">
        <f t="shared" si="22"/>
        <v>5.8000000000000005E-3</v>
      </c>
      <c r="Z112" s="2">
        <v>245.5</v>
      </c>
      <c r="AA112" s="2">
        <f t="shared" si="23"/>
        <v>0.19699999999999998</v>
      </c>
      <c r="AB112" s="2">
        <v>-0.13201999664306599</v>
      </c>
      <c r="AC112" s="2">
        <f t="shared" si="24"/>
        <v>5.8000000000000005E-3</v>
      </c>
    </row>
    <row r="113" spans="1:29" x14ac:dyDescent="0.25">
      <c r="A113" s="2">
        <v>71.599998474121094</v>
      </c>
      <c r="B113" s="2">
        <f t="shared" si="13"/>
        <v>5.79E-2</v>
      </c>
      <c r="C113" s="2">
        <v>-0.406109988689423</v>
      </c>
      <c r="D113" s="2">
        <f t="shared" si="14"/>
        <v>5.8000000000000005E-3</v>
      </c>
      <c r="F113" s="2">
        <v>75.800003051757798</v>
      </c>
      <c r="G113" s="2">
        <f t="shared" si="15"/>
        <v>6.13E-2</v>
      </c>
      <c r="H113" s="2">
        <v>-0.35183000564575201</v>
      </c>
      <c r="I113" s="2">
        <f t="shared" si="16"/>
        <v>5.8000000000000005E-3</v>
      </c>
      <c r="K113" s="2">
        <v>13.050000190734901</v>
      </c>
      <c r="L113" s="2">
        <f t="shared" si="17"/>
        <v>1.1099999999999999E-2</v>
      </c>
      <c r="M113" s="2">
        <v>-0.302069991827011</v>
      </c>
      <c r="N113" s="2">
        <f t="shared" si="18"/>
        <v>5.8000000000000005E-3</v>
      </c>
      <c r="P113" s="2">
        <v>197.10000610351599</v>
      </c>
      <c r="Q113" s="2">
        <f t="shared" si="19"/>
        <v>0.1583</v>
      </c>
      <c r="R113" s="2">
        <v>-0.24683000147342701</v>
      </c>
      <c r="S113" s="2">
        <f t="shared" si="20"/>
        <v>5.8000000000000005E-3</v>
      </c>
      <c r="U113" s="2">
        <v>100.300003051758</v>
      </c>
      <c r="V113" s="2">
        <f t="shared" si="21"/>
        <v>8.09E-2</v>
      </c>
      <c r="W113" s="2">
        <v>-0.19228999316692399</v>
      </c>
      <c r="X113" s="2">
        <f t="shared" si="22"/>
        <v>5.8000000000000005E-3</v>
      </c>
      <c r="Z113" s="2">
        <v>245.5</v>
      </c>
      <c r="AA113" s="2">
        <f t="shared" si="23"/>
        <v>0.19699999999999998</v>
      </c>
      <c r="AB113" s="2">
        <v>-0.13199999928474401</v>
      </c>
      <c r="AC113" s="2">
        <f t="shared" si="24"/>
        <v>5.8000000000000005E-3</v>
      </c>
    </row>
    <row r="114" spans="1:29" x14ac:dyDescent="0.25">
      <c r="A114" s="2">
        <v>72.599998474121094</v>
      </c>
      <c r="B114" s="2">
        <f t="shared" si="13"/>
        <v>5.8700000000000002E-2</v>
      </c>
      <c r="C114" s="2">
        <v>-0.40608999133110002</v>
      </c>
      <c r="D114" s="2">
        <f t="shared" si="14"/>
        <v>5.8000000000000005E-3</v>
      </c>
      <c r="F114" s="2">
        <v>76.199996948242202</v>
      </c>
      <c r="G114" s="2">
        <f t="shared" si="15"/>
        <v>6.1600000000000002E-2</v>
      </c>
      <c r="H114" s="2">
        <v>-0.35181999206543002</v>
      </c>
      <c r="I114" s="2">
        <f t="shared" si="16"/>
        <v>5.8000000000000005E-3</v>
      </c>
      <c r="K114" s="2">
        <v>13.329999923706101</v>
      </c>
      <c r="L114" s="2">
        <f t="shared" si="17"/>
        <v>1.1299999999999999E-2</v>
      </c>
      <c r="M114" s="2">
        <v>-0.302069991827011</v>
      </c>
      <c r="N114" s="2">
        <f t="shared" si="18"/>
        <v>5.8000000000000005E-3</v>
      </c>
      <c r="P114" s="2">
        <v>198.89999389648401</v>
      </c>
      <c r="Q114" s="2">
        <f t="shared" si="19"/>
        <v>0.15969999999999998</v>
      </c>
      <c r="R114" s="2">
        <v>-0.24680000543594399</v>
      </c>
      <c r="S114" s="2">
        <f t="shared" si="20"/>
        <v>5.8000000000000005E-3</v>
      </c>
      <c r="U114" s="2">
        <v>103</v>
      </c>
      <c r="V114" s="2">
        <f t="shared" si="21"/>
        <v>8.3000000000000004E-2</v>
      </c>
      <c r="W114" s="2">
        <v>-0.19227999448776201</v>
      </c>
      <c r="X114" s="2">
        <f t="shared" si="22"/>
        <v>5.8000000000000005E-3</v>
      </c>
      <c r="Z114" s="2">
        <v>245.5</v>
      </c>
      <c r="AA114" s="2">
        <f t="shared" si="23"/>
        <v>0.19699999999999998</v>
      </c>
      <c r="AB114" s="2">
        <v>-0.132009997963905</v>
      </c>
      <c r="AC114" s="2">
        <f t="shared" si="24"/>
        <v>5.8000000000000005E-3</v>
      </c>
    </row>
    <row r="115" spans="1:29" x14ac:dyDescent="0.25">
      <c r="A115" s="2">
        <v>76.699996948242202</v>
      </c>
      <c r="B115" s="2">
        <f t="shared" si="13"/>
        <v>6.2E-2</v>
      </c>
      <c r="C115" s="2">
        <v>-0.406060010194778</v>
      </c>
      <c r="D115" s="2">
        <f t="shared" si="14"/>
        <v>5.8000000000000005E-3</v>
      </c>
      <c r="F115" s="2">
        <v>78.599998474121094</v>
      </c>
      <c r="G115" s="2">
        <f t="shared" si="15"/>
        <v>6.3500000000000001E-2</v>
      </c>
      <c r="H115" s="2">
        <v>-0.35181999206543002</v>
      </c>
      <c r="I115" s="2">
        <f t="shared" si="16"/>
        <v>5.8000000000000005E-3</v>
      </c>
      <c r="K115" s="2">
        <v>14.8500003814697</v>
      </c>
      <c r="L115" s="2">
        <f t="shared" si="17"/>
        <v>1.2499999999999999E-2</v>
      </c>
      <c r="M115" s="2">
        <v>-0.302069991827011</v>
      </c>
      <c r="N115" s="2">
        <f t="shared" si="18"/>
        <v>5.8000000000000005E-3</v>
      </c>
      <c r="P115" s="2">
        <v>199.10000610351599</v>
      </c>
      <c r="Q115" s="2">
        <f t="shared" si="19"/>
        <v>0.15989999999999999</v>
      </c>
      <c r="R115" s="2">
        <v>-0.246749997138977</v>
      </c>
      <c r="S115" s="2">
        <f t="shared" si="20"/>
        <v>5.8000000000000005E-3</v>
      </c>
      <c r="U115" s="2">
        <v>109.199996948242</v>
      </c>
      <c r="V115" s="2">
        <f t="shared" si="21"/>
        <v>8.8000000000000009E-2</v>
      </c>
      <c r="W115" s="2">
        <v>-0.19225999712944</v>
      </c>
      <c r="X115" s="2">
        <f t="shared" si="22"/>
        <v>5.8000000000000005E-3</v>
      </c>
      <c r="Z115" s="2">
        <v>245.5</v>
      </c>
      <c r="AA115" s="2">
        <f t="shared" si="23"/>
        <v>0.19699999999999998</v>
      </c>
      <c r="AB115" s="2">
        <v>-0.13201999664306599</v>
      </c>
      <c r="AC115" s="2">
        <f t="shared" si="24"/>
        <v>5.8000000000000005E-3</v>
      </c>
    </row>
    <row r="116" spans="1:29" x14ac:dyDescent="0.25">
      <c r="A116" s="2">
        <v>78.699996948242202</v>
      </c>
      <c r="B116" s="2">
        <f t="shared" si="13"/>
        <v>6.3600000000000004E-2</v>
      </c>
      <c r="C116" s="2">
        <v>-0.40601998567581199</v>
      </c>
      <c r="D116" s="2">
        <f t="shared" si="14"/>
        <v>5.8000000000000005E-3</v>
      </c>
      <c r="F116" s="2">
        <v>79.199996948242202</v>
      </c>
      <c r="G116" s="2">
        <f t="shared" si="15"/>
        <v>6.4000000000000001E-2</v>
      </c>
      <c r="H116" s="2">
        <v>-0.35179999470710799</v>
      </c>
      <c r="I116" s="2">
        <f t="shared" si="16"/>
        <v>5.8000000000000005E-3</v>
      </c>
      <c r="K116" s="2">
        <v>14.8599996566772</v>
      </c>
      <c r="L116" s="2">
        <f t="shared" si="17"/>
        <v>1.2499999999999999E-2</v>
      </c>
      <c r="M116" s="2">
        <v>-0.30208000540733299</v>
      </c>
      <c r="N116" s="2">
        <f t="shared" si="18"/>
        <v>5.8000000000000005E-3</v>
      </c>
      <c r="P116" s="2">
        <v>199.10000610351599</v>
      </c>
      <c r="Q116" s="2">
        <f t="shared" si="19"/>
        <v>0.15989999999999999</v>
      </c>
      <c r="R116" s="2">
        <v>-0.246720001101494</v>
      </c>
      <c r="S116" s="2">
        <f t="shared" si="20"/>
        <v>5.8000000000000005E-3</v>
      </c>
      <c r="U116" s="2">
        <v>110</v>
      </c>
      <c r="V116" s="2">
        <f t="shared" si="21"/>
        <v>8.8599999999999998E-2</v>
      </c>
      <c r="W116" s="2">
        <v>-0.19224999845027901</v>
      </c>
      <c r="X116" s="2">
        <f t="shared" si="22"/>
        <v>5.8000000000000005E-3</v>
      </c>
      <c r="Z116" s="2">
        <v>245.5</v>
      </c>
      <c r="AA116" s="2">
        <f t="shared" si="23"/>
        <v>0.19699999999999998</v>
      </c>
      <c r="AB116" s="2">
        <v>-0.13201999664306599</v>
      </c>
      <c r="AC116" s="2">
        <f t="shared" si="24"/>
        <v>5.8000000000000005E-3</v>
      </c>
    </row>
    <row r="117" spans="1:29" x14ac:dyDescent="0.25">
      <c r="A117" s="2">
        <v>81.300003051757798</v>
      </c>
      <c r="B117" s="2">
        <f t="shared" si="13"/>
        <v>6.5700000000000008E-2</v>
      </c>
      <c r="C117" s="2">
        <v>-0.40597999095916698</v>
      </c>
      <c r="D117" s="2">
        <f t="shared" si="14"/>
        <v>5.8000000000000005E-3</v>
      </c>
      <c r="F117" s="2">
        <v>80.5</v>
      </c>
      <c r="G117" s="2">
        <f t="shared" si="15"/>
        <v>6.5000000000000002E-2</v>
      </c>
      <c r="H117" s="2">
        <v>-0.351790010929108</v>
      </c>
      <c r="I117" s="2">
        <f t="shared" si="16"/>
        <v>5.8000000000000005E-3</v>
      </c>
      <c r="K117" s="2">
        <v>16.540000915527301</v>
      </c>
      <c r="L117" s="2">
        <f t="shared" si="17"/>
        <v>1.3899999999999999E-2</v>
      </c>
      <c r="M117" s="2">
        <v>-0.30208000540733299</v>
      </c>
      <c r="N117" s="2">
        <f t="shared" si="18"/>
        <v>5.8000000000000005E-3</v>
      </c>
      <c r="P117" s="2">
        <v>200.89999389648401</v>
      </c>
      <c r="Q117" s="2">
        <f t="shared" si="19"/>
        <v>0.1613</v>
      </c>
      <c r="R117" s="2">
        <v>-0.24668000638484999</v>
      </c>
      <c r="S117" s="2">
        <f t="shared" si="20"/>
        <v>5.8000000000000005E-3</v>
      </c>
      <c r="U117" s="2">
        <v>111.699996948242</v>
      </c>
      <c r="V117" s="2">
        <f t="shared" si="21"/>
        <v>0.09</v>
      </c>
      <c r="W117" s="2">
        <v>-0.192239999771118</v>
      </c>
      <c r="X117" s="2">
        <f t="shared" si="22"/>
        <v>5.8000000000000005E-3</v>
      </c>
      <c r="Z117" s="2">
        <v>245.5</v>
      </c>
      <c r="AA117" s="2">
        <f t="shared" si="23"/>
        <v>0.19699999999999998</v>
      </c>
      <c r="AB117" s="2">
        <v>-0.13202999532222701</v>
      </c>
      <c r="AC117" s="2">
        <f t="shared" si="24"/>
        <v>5.8000000000000005E-3</v>
      </c>
    </row>
    <row r="118" spans="1:29" x14ac:dyDescent="0.25">
      <c r="A118" s="2">
        <v>84.300003051757798</v>
      </c>
      <c r="B118" s="2">
        <f t="shared" si="13"/>
        <v>6.8100000000000008E-2</v>
      </c>
      <c r="C118" s="2">
        <v>-0.40595000982284501</v>
      </c>
      <c r="D118" s="2">
        <f t="shared" si="14"/>
        <v>5.8000000000000005E-3</v>
      </c>
      <c r="F118" s="2">
        <v>81</v>
      </c>
      <c r="G118" s="2">
        <f t="shared" si="15"/>
        <v>6.54E-2</v>
      </c>
      <c r="H118" s="2">
        <v>-0.351790010929108</v>
      </c>
      <c r="I118" s="2">
        <f t="shared" si="16"/>
        <v>5.8000000000000005E-3</v>
      </c>
      <c r="K118" s="2">
        <v>17.180000305175799</v>
      </c>
      <c r="L118" s="2">
        <f t="shared" si="17"/>
        <v>1.44E-2</v>
      </c>
      <c r="M118" s="2">
        <v>-0.302069991827011</v>
      </c>
      <c r="N118" s="2">
        <f t="shared" si="18"/>
        <v>5.8000000000000005E-3</v>
      </c>
      <c r="P118" s="2">
        <v>202.19999694824199</v>
      </c>
      <c r="Q118" s="2">
        <f t="shared" si="19"/>
        <v>0.16239999999999999</v>
      </c>
      <c r="R118" s="2">
        <v>-0.246649995446205</v>
      </c>
      <c r="S118" s="2">
        <f t="shared" si="20"/>
        <v>5.8000000000000005E-3</v>
      </c>
      <c r="U118" s="2">
        <v>113.5</v>
      </c>
      <c r="V118" s="2">
        <f t="shared" si="21"/>
        <v>9.1400000000000009E-2</v>
      </c>
      <c r="W118" s="2">
        <v>-0.192239999771118</v>
      </c>
      <c r="X118" s="2">
        <f t="shared" si="22"/>
        <v>5.8000000000000005E-3</v>
      </c>
      <c r="Z118" s="2">
        <v>247.19999694824199</v>
      </c>
      <c r="AA118" s="2">
        <f t="shared" si="23"/>
        <v>0.19839999999999999</v>
      </c>
      <c r="AB118" s="2">
        <v>-0.131940007209778</v>
      </c>
      <c r="AC118" s="2">
        <f t="shared" si="24"/>
        <v>5.8000000000000005E-3</v>
      </c>
    </row>
    <row r="119" spans="1:29" x14ac:dyDescent="0.25">
      <c r="A119" s="2">
        <v>86.199996948242202</v>
      </c>
      <c r="B119" s="2">
        <f t="shared" si="13"/>
        <v>6.9600000000000009E-2</v>
      </c>
      <c r="C119" s="2">
        <v>-0.40590000152587902</v>
      </c>
      <c r="D119" s="2">
        <f t="shared" si="14"/>
        <v>5.8000000000000005E-3</v>
      </c>
      <c r="F119" s="2">
        <v>81</v>
      </c>
      <c r="G119" s="2">
        <f t="shared" si="15"/>
        <v>6.54E-2</v>
      </c>
      <c r="H119" s="2">
        <v>-0.351790010929108</v>
      </c>
      <c r="I119" s="2">
        <f t="shared" si="16"/>
        <v>5.8000000000000005E-3</v>
      </c>
      <c r="K119" s="2">
        <v>17.75</v>
      </c>
      <c r="L119" s="2">
        <f t="shared" si="17"/>
        <v>1.4799999999999999E-2</v>
      </c>
      <c r="M119" s="2">
        <v>-0.30206000804901101</v>
      </c>
      <c r="N119" s="2">
        <f t="shared" si="18"/>
        <v>5.8000000000000005E-3</v>
      </c>
      <c r="P119" s="2">
        <v>206.19999694824199</v>
      </c>
      <c r="Q119" s="2">
        <f t="shared" si="19"/>
        <v>0.1656</v>
      </c>
      <c r="R119" s="2">
        <v>-0.24641999602317799</v>
      </c>
      <c r="S119" s="2">
        <f t="shared" si="20"/>
        <v>5.8000000000000005E-3</v>
      </c>
      <c r="U119" s="2">
        <v>117.300003051758</v>
      </c>
      <c r="V119" s="2">
        <f t="shared" si="21"/>
        <v>9.4500000000000001E-2</v>
      </c>
      <c r="W119" s="2">
        <v>-0.19223000109195701</v>
      </c>
      <c r="X119" s="2">
        <f t="shared" si="22"/>
        <v>5.8000000000000005E-3</v>
      </c>
      <c r="Z119" s="2">
        <v>247.19999694824199</v>
      </c>
      <c r="AA119" s="2">
        <f t="shared" si="23"/>
        <v>0.19839999999999999</v>
      </c>
      <c r="AB119" s="2">
        <v>-0.131919994950294</v>
      </c>
      <c r="AC119" s="2">
        <f t="shared" si="24"/>
        <v>5.8000000000000005E-3</v>
      </c>
    </row>
    <row r="120" spans="1:29" x14ac:dyDescent="0.25">
      <c r="A120" s="2">
        <v>88.800003051757798</v>
      </c>
      <c r="B120" s="2">
        <f t="shared" si="13"/>
        <v>7.17E-2</v>
      </c>
      <c r="C120" s="2">
        <v>-0.40586000680923501</v>
      </c>
      <c r="D120" s="2">
        <f t="shared" si="14"/>
        <v>5.8000000000000005E-3</v>
      </c>
      <c r="F120" s="2">
        <v>81</v>
      </c>
      <c r="G120" s="2">
        <f t="shared" si="15"/>
        <v>6.54E-2</v>
      </c>
      <c r="H120" s="2">
        <v>-0.351790010929108</v>
      </c>
      <c r="I120" s="2">
        <f t="shared" si="16"/>
        <v>5.8000000000000005E-3</v>
      </c>
      <c r="K120" s="2">
        <v>18.350000381469702</v>
      </c>
      <c r="L120" s="2">
        <f t="shared" si="17"/>
        <v>1.5299999999999999E-2</v>
      </c>
      <c r="M120" s="2">
        <v>-0.30206000804901101</v>
      </c>
      <c r="N120" s="2">
        <f t="shared" si="18"/>
        <v>5.8000000000000005E-3</v>
      </c>
      <c r="P120" s="2">
        <v>210.30000305175801</v>
      </c>
      <c r="Q120" s="2">
        <f t="shared" si="19"/>
        <v>0.16889999999999999</v>
      </c>
      <c r="R120" s="2">
        <v>-0.24635000526905099</v>
      </c>
      <c r="S120" s="2">
        <f t="shared" si="20"/>
        <v>5.8000000000000005E-3</v>
      </c>
      <c r="U120" s="2">
        <v>120</v>
      </c>
      <c r="V120" s="2">
        <f t="shared" si="21"/>
        <v>9.6600000000000005E-2</v>
      </c>
      <c r="W120" s="2">
        <v>-0.19223000109195701</v>
      </c>
      <c r="X120" s="2">
        <f t="shared" si="22"/>
        <v>5.8000000000000005E-3</v>
      </c>
      <c r="Z120" s="2">
        <v>249.10000610351599</v>
      </c>
      <c r="AA120" s="2">
        <f t="shared" si="23"/>
        <v>0.19989999999999999</v>
      </c>
      <c r="AB120" s="2">
        <v>-0.13189999759197199</v>
      </c>
      <c r="AC120" s="2">
        <f t="shared" si="24"/>
        <v>5.8000000000000005E-3</v>
      </c>
    </row>
    <row r="121" spans="1:29" x14ac:dyDescent="0.25">
      <c r="A121" s="2">
        <v>91</v>
      </c>
      <c r="B121" s="2">
        <f t="shared" si="13"/>
        <v>7.3400000000000007E-2</v>
      </c>
      <c r="C121" s="2">
        <v>-0.40580999851226801</v>
      </c>
      <c r="D121" s="2">
        <f t="shared" si="14"/>
        <v>5.8000000000000005E-3</v>
      </c>
      <c r="F121" s="2">
        <v>81</v>
      </c>
      <c r="G121" s="2">
        <f t="shared" si="15"/>
        <v>6.54E-2</v>
      </c>
      <c r="H121" s="2">
        <v>-0.35177999734878501</v>
      </c>
      <c r="I121" s="2">
        <f t="shared" si="16"/>
        <v>5.8000000000000005E-3</v>
      </c>
      <c r="K121" s="2">
        <v>18.319999694824201</v>
      </c>
      <c r="L121" s="2">
        <f t="shared" si="17"/>
        <v>1.5299999999999999E-2</v>
      </c>
      <c r="M121" s="2">
        <v>-0.30206000804901101</v>
      </c>
      <c r="N121" s="2">
        <f t="shared" si="18"/>
        <v>5.8000000000000005E-3</v>
      </c>
      <c r="P121" s="2">
        <v>214.10000610351599</v>
      </c>
      <c r="Q121" s="2">
        <f t="shared" si="19"/>
        <v>0.1719</v>
      </c>
      <c r="R121" s="2">
        <v>-0.24605999886989599</v>
      </c>
      <c r="S121" s="2">
        <f t="shared" si="20"/>
        <v>5.8000000000000005E-3</v>
      </c>
      <c r="U121" s="2">
        <v>120.59999847412099</v>
      </c>
      <c r="V121" s="2">
        <f t="shared" si="21"/>
        <v>9.7100000000000006E-2</v>
      </c>
      <c r="W121" s="2">
        <v>-0.19222000241279599</v>
      </c>
      <c r="X121" s="2">
        <f t="shared" si="22"/>
        <v>5.8000000000000005E-3</v>
      </c>
      <c r="Z121" s="2">
        <v>250.80000305175801</v>
      </c>
      <c r="AA121" s="2">
        <f t="shared" si="23"/>
        <v>0.20129999999999998</v>
      </c>
      <c r="AB121" s="2">
        <v>-0.131699994206429</v>
      </c>
      <c r="AC121" s="2">
        <f t="shared" si="24"/>
        <v>5.8000000000000005E-3</v>
      </c>
    </row>
    <row r="122" spans="1:29" x14ac:dyDescent="0.25">
      <c r="A122" s="2">
        <v>92.800003051757798</v>
      </c>
      <c r="B122" s="2">
        <f t="shared" si="13"/>
        <v>7.4900000000000008E-2</v>
      </c>
      <c r="C122" s="2">
        <v>-0.40577998757362399</v>
      </c>
      <c r="D122" s="2">
        <f t="shared" si="14"/>
        <v>5.8000000000000005E-3</v>
      </c>
      <c r="F122" s="2">
        <v>81</v>
      </c>
      <c r="G122" s="2">
        <f t="shared" si="15"/>
        <v>6.54E-2</v>
      </c>
      <c r="H122" s="2">
        <v>-0.351790010929108</v>
      </c>
      <c r="I122" s="2">
        <f t="shared" si="16"/>
        <v>5.8000000000000005E-3</v>
      </c>
      <c r="K122" s="2">
        <v>18.850000381469702</v>
      </c>
      <c r="L122" s="2">
        <f t="shared" si="17"/>
        <v>1.5699999999999999E-2</v>
      </c>
      <c r="M122" s="2">
        <v>-0.302069991827011</v>
      </c>
      <c r="N122" s="2">
        <f t="shared" si="18"/>
        <v>5.8000000000000005E-3</v>
      </c>
      <c r="P122" s="2">
        <v>218.30000305175801</v>
      </c>
      <c r="Q122" s="2">
        <f t="shared" si="19"/>
        <v>0.17529999999999998</v>
      </c>
      <c r="R122" s="2">
        <v>-0.245790004730225</v>
      </c>
      <c r="S122" s="2">
        <f t="shared" si="20"/>
        <v>5.8000000000000005E-3</v>
      </c>
      <c r="U122" s="2">
        <v>123.699996948242</v>
      </c>
      <c r="V122" s="2">
        <f t="shared" si="21"/>
        <v>9.9600000000000008E-2</v>
      </c>
      <c r="W122" s="2">
        <v>-0.192210003733635</v>
      </c>
      <c r="X122" s="2">
        <f t="shared" si="22"/>
        <v>5.8000000000000005E-3</v>
      </c>
      <c r="Z122" s="2">
        <v>252.89999389648401</v>
      </c>
      <c r="AA122" s="2">
        <f t="shared" si="23"/>
        <v>0.2029</v>
      </c>
      <c r="AB122" s="2">
        <v>-0.13168999552726701</v>
      </c>
      <c r="AC122" s="2">
        <f t="shared" si="24"/>
        <v>5.8000000000000005E-3</v>
      </c>
    </row>
    <row r="123" spans="1:29" x14ac:dyDescent="0.25">
      <c r="A123" s="2">
        <v>92.800003051757798</v>
      </c>
      <c r="B123" s="2">
        <f t="shared" si="13"/>
        <v>7.4900000000000008E-2</v>
      </c>
      <c r="C123" s="2">
        <v>-0.40575999021530201</v>
      </c>
      <c r="D123" s="2">
        <f t="shared" si="14"/>
        <v>5.8000000000000005E-3</v>
      </c>
      <c r="F123" s="2">
        <v>81.800003051757798</v>
      </c>
      <c r="G123" s="2">
        <f t="shared" si="15"/>
        <v>6.6100000000000006E-2</v>
      </c>
      <c r="H123" s="2">
        <v>-0.35177999734878501</v>
      </c>
      <c r="I123" s="2">
        <f t="shared" si="16"/>
        <v>5.8000000000000005E-3</v>
      </c>
      <c r="K123" s="2">
        <v>25.450000762939499</v>
      </c>
      <c r="L123" s="2">
        <f t="shared" si="17"/>
        <v>2.0999999999999998E-2</v>
      </c>
      <c r="M123" s="2">
        <v>-0.302069991827011</v>
      </c>
      <c r="N123" s="2">
        <f t="shared" si="18"/>
        <v>5.8000000000000005E-3</v>
      </c>
      <c r="P123" s="2">
        <v>221.80000305175801</v>
      </c>
      <c r="Q123" s="2">
        <f t="shared" si="19"/>
        <v>0.17809999999999998</v>
      </c>
      <c r="R123" s="2">
        <v>-0.24556000530719799</v>
      </c>
      <c r="S123" s="2">
        <f t="shared" si="20"/>
        <v>5.8000000000000005E-3</v>
      </c>
      <c r="U123" s="2">
        <v>124</v>
      </c>
      <c r="V123" s="2">
        <f t="shared" si="21"/>
        <v>9.98E-2</v>
      </c>
      <c r="W123" s="2">
        <v>-0.19220000505447399</v>
      </c>
      <c r="X123" s="2">
        <f t="shared" si="22"/>
        <v>5.8000000000000005E-3</v>
      </c>
      <c r="Z123" s="2">
        <v>260.89999389648398</v>
      </c>
      <c r="AA123" s="2">
        <f t="shared" si="23"/>
        <v>0.20929999999999999</v>
      </c>
      <c r="AB123" s="2">
        <v>-0.13113999366760301</v>
      </c>
      <c r="AC123" s="2">
        <f t="shared" si="24"/>
        <v>5.8000000000000005E-3</v>
      </c>
    </row>
    <row r="124" spans="1:29" x14ac:dyDescent="0.25">
      <c r="A124" s="2">
        <v>94.599998474121094</v>
      </c>
      <c r="B124" s="2">
        <f t="shared" si="13"/>
        <v>7.6300000000000007E-2</v>
      </c>
      <c r="C124" s="2">
        <v>-0.40573999285697898</v>
      </c>
      <c r="D124" s="2">
        <f t="shared" si="14"/>
        <v>5.8000000000000005E-3</v>
      </c>
      <c r="F124" s="2">
        <v>83.400001525878906</v>
      </c>
      <c r="G124" s="2">
        <f t="shared" si="15"/>
        <v>6.7299999999999999E-2</v>
      </c>
      <c r="H124" s="2">
        <v>-0.35177999734878501</v>
      </c>
      <c r="I124" s="2">
        <f t="shared" si="16"/>
        <v>5.8000000000000005E-3</v>
      </c>
      <c r="K124" s="2">
        <v>33.659999847412102</v>
      </c>
      <c r="L124" s="2">
        <f t="shared" si="17"/>
        <v>2.76E-2</v>
      </c>
      <c r="M124" s="2">
        <v>-0.302069991827011</v>
      </c>
      <c r="N124" s="2">
        <f t="shared" si="18"/>
        <v>5.8000000000000005E-3</v>
      </c>
      <c r="P124" s="2">
        <v>225.39999389648401</v>
      </c>
      <c r="Q124" s="2">
        <f t="shared" si="19"/>
        <v>0.18089999999999998</v>
      </c>
      <c r="R124" s="2">
        <v>-0.24532000720500899</v>
      </c>
      <c r="S124" s="2">
        <f t="shared" si="20"/>
        <v>5.8000000000000005E-3</v>
      </c>
      <c r="U124" s="2">
        <v>124.800003051758</v>
      </c>
      <c r="V124" s="2">
        <f t="shared" si="21"/>
        <v>0.10050000000000001</v>
      </c>
      <c r="W124" s="2">
        <v>-0.192190006375313</v>
      </c>
      <c r="X124" s="2">
        <f t="shared" si="22"/>
        <v>5.8000000000000005E-3</v>
      </c>
      <c r="Z124" s="2">
        <v>263.89999389648398</v>
      </c>
      <c r="AA124" s="2">
        <f t="shared" si="23"/>
        <v>0.2117</v>
      </c>
      <c r="AB124" s="2">
        <v>-0.13082000613212599</v>
      </c>
      <c r="AC124" s="2">
        <f t="shared" si="24"/>
        <v>5.8000000000000005E-3</v>
      </c>
    </row>
    <row r="125" spans="1:29" x14ac:dyDescent="0.25">
      <c r="A125" s="2">
        <v>99.900001525878906</v>
      </c>
      <c r="B125" s="2">
        <f t="shared" si="13"/>
        <v>8.0500000000000002E-2</v>
      </c>
      <c r="C125" s="2">
        <v>-0.40566000342369102</v>
      </c>
      <c r="D125" s="2">
        <f t="shared" si="14"/>
        <v>5.8000000000000005E-3</v>
      </c>
      <c r="F125" s="2">
        <v>83.400001525878906</v>
      </c>
      <c r="G125" s="2">
        <f t="shared" si="15"/>
        <v>6.7299999999999999E-2</v>
      </c>
      <c r="H125" s="2">
        <v>-0.35177001357078602</v>
      </c>
      <c r="I125" s="2">
        <f t="shared" si="16"/>
        <v>5.8000000000000005E-3</v>
      </c>
      <c r="K125" s="2">
        <v>37.689998626708999</v>
      </c>
      <c r="L125" s="2">
        <f t="shared" si="17"/>
        <v>3.0800000000000001E-2</v>
      </c>
      <c r="M125" s="2">
        <v>-0.30204999446868902</v>
      </c>
      <c r="N125" s="2">
        <f t="shared" si="18"/>
        <v>5.8000000000000005E-3</v>
      </c>
      <c r="P125" s="2">
        <v>229.30000305175801</v>
      </c>
      <c r="Q125" s="2">
        <f t="shared" si="19"/>
        <v>0.18409999999999999</v>
      </c>
      <c r="R125" s="2">
        <v>-0.24505999684333801</v>
      </c>
      <c r="S125" s="2">
        <f t="shared" si="20"/>
        <v>5.8000000000000005E-3</v>
      </c>
      <c r="U125" s="2">
        <v>129.10000610351599</v>
      </c>
      <c r="V125" s="2">
        <f t="shared" si="21"/>
        <v>0.10390000000000001</v>
      </c>
      <c r="W125" s="2">
        <v>-0.19217999279499101</v>
      </c>
      <c r="X125" s="2">
        <f t="shared" si="22"/>
        <v>5.8000000000000005E-3</v>
      </c>
      <c r="Z125" s="2">
        <v>267.5</v>
      </c>
      <c r="AA125" s="2">
        <f t="shared" si="23"/>
        <v>0.21459999999999999</v>
      </c>
      <c r="AB125" s="2">
        <v>-0.13059000670909901</v>
      </c>
      <c r="AC125" s="2">
        <f t="shared" si="24"/>
        <v>5.8000000000000005E-3</v>
      </c>
    </row>
    <row r="126" spans="1:29" x14ac:dyDescent="0.25">
      <c r="A126" s="2">
        <v>101.59999847412099</v>
      </c>
      <c r="B126" s="2">
        <f t="shared" si="13"/>
        <v>8.1900000000000001E-2</v>
      </c>
      <c r="C126" s="2">
        <v>-0.40562000870704701</v>
      </c>
      <c r="D126" s="2">
        <f t="shared" si="14"/>
        <v>5.8000000000000005E-3</v>
      </c>
      <c r="F126" s="2">
        <v>83.5</v>
      </c>
      <c r="G126" s="2">
        <f t="shared" si="15"/>
        <v>6.7400000000000002E-2</v>
      </c>
      <c r="H126" s="2">
        <v>-0.35177001357078602</v>
      </c>
      <c r="I126" s="2">
        <f t="shared" si="16"/>
        <v>5.8000000000000005E-3</v>
      </c>
      <c r="K126" s="2">
        <v>41.2299995422363</v>
      </c>
      <c r="L126" s="2">
        <f t="shared" si="17"/>
        <v>3.3600000000000005E-2</v>
      </c>
      <c r="M126" s="2">
        <v>-0.30200999975204501</v>
      </c>
      <c r="N126" s="2">
        <f t="shared" si="18"/>
        <v>5.8000000000000005E-3</v>
      </c>
      <c r="P126" s="2">
        <v>231.69999694824199</v>
      </c>
      <c r="Q126" s="2">
        <f t="shared" si="19"/>
        <v>0.186</v>
      </c>
      <c r="R126" s="2">
        <v>-0.24503000080585499</v>
      </c>
      <c r="S126" s="2">
        <f t="shared" si="20"/>
        <v>5.8000000000000005E-3</v>
      </c>
      <c r="U126" s="2">
        <v>132.10000610351599</v>
      </c>
      <c r="V126" s="2">
        <f t="shared" si="21"/>
        <v>0.10630000000000001</v>
      </c>
      <c r="W126" s="2">
        <v>-0.19217999279499101</v>
      </c>
      <c r="X126" s="2">
        <f t="shared" si="22"/>
        <v>5.8000000000000005E-3</v>
      </c>
      <c r="Z126" s="2">
        <v>270.70001220703102</v>
      </c>
      <c r="AA126" s="2">
        <f t="shared" si="23"/>
        <v>0.21719999999999998</v>
      </c>
      <c r="AB126" s="2">
        <v>-0.130309998989105</v>
      </c>
      <c r="AC126" s="2">
        <f t="shared" si="24"/>
        <v>5.8000000000000005E-3</v>
      </c>
    </row>
    <row r="127" spans="1:29" x14ac:dyDescent="0.25">
      <c r="A127" s="2">
        <v>105.09999847412099</v>
      </c>
      <c r="B127" s="2">
        <f t="shared" si="13"/>
        <v>8.4699999999999998E-2</v>
      </c>
      <c r="C127" s="2">
        <v>-0.40555998682975802</v>
      </c>
      <c r="D127" s="2">
        <f t="shared" si="14"/>
        <v>5.8000000000000005E-3</v>
      </c>
      <c r="F127" s="2">
        <v>84.699996948242202</v>
      </c>
      <c r="G127" s="2">
        <f t="shared" si="15"/>
        <v>6.8400000000000002E-2</v>
      </c>
      <c r="H127" s="2">
        <v>-0.35175999999046298</v>
      </c>
      <c r="I127" s="2">
        <f t="shared" si="16"/>
        <v>5.8000000000000005E-3</v>
      </c>
      <c r="K127" s="2">
        <v>41.790000915527301</v>
      </c>
      <c r="L127" s="2">
        <f t="shared" si="17"/>
        <v>3.4100000000000005E-2</v>
      </c>
      <c r="M127" s="2">
        <v>-0.30199000239372298</v>
      </c>
      <c r="N127" s="2">
        <f t="shared" si="18"/>
        <v>5.8000000000000005E-3</v>
      </c>
      <c r="P127" s="2">
        <v>235.5</v>
      </c>
      <c r="Q127" s="2">
        <f t="shared" si="19"/>
        <v>0.189</v>
      </c>
      <c r="R127" s="2">
        <v>-0.24460999667644501</v>
      </c>
      <c r="S127" s="2">
        <f t="shared" si="20"/>
        <v>5.8000000000000005E-3</v>
      </c>
      <c r="U127" s="2">
        <v>136.30000305175801</v>
      </c>
      <c r="V127" s="2">
        <f t="shared" si="21"/>
        <v>0.10970000000000001</v>
      </c>
      <c r="W127" s="2">
        <v>-0.19215999543666801</v>
      </c>
      <c r="X127" s="2">
        <f t="shared" si="22"/>
        <v>5.8000000000000005E-3</v>
      </c>
      <c r="Z127" s="2">
        <v>273.20001220703102</v>
      </c>
      <c r="AA127" s="2">
        <f t="shared" si="23"/>
        <v>0.21919999999999998</v>
      </c>
      <c r="AB127" s="2">
        <v>-0.13006000220775599</v>
      </c>
      <c r="AC127" s="2">
        <f t="shared" si="24"/>
        <v>5.8000000000000005E-3</v>
      </c>
    </row>
    <row r="128" spans="1:29" x14ac:dyDescent="0.25">
      <c r="A128" s="2">
        <v>107.699996948242</v>
      </c>
      <c r="B128" s="2">
        <f t="shared" si="13"/>
        <v>8.6800000000000002E-2</v>
      </c>
      <c r="C128" s="2">
        <v>-0.40551000833511402</v>
      </c>
      <c r="D128" s="2">
        <f t="shared" si="14"/>
        <v>5.8000000000000005E-3</v>
      </c>
      <c r="F128" s="2">
        <v>86.300003051757798</v>
      </c>
      <c r="G128" s="2">
        <f t="shared" si="15"/>
        <v>6.9699999999999998E-2</v>
      </c>
      <c r="H128" s="2">
        <v>-0.35172998905181901</v>
      </c>
      <c r="I128" s="2">
        <f t="shared" si="16"/>
        <v>5.8000000000000005E-3</v>
      </c>
      <c r="K128" s="2">
        <v>42.990001678466797</v>
      </c>
      <c r="L128" s="2">
        <f t="shared" si="17"/>
        <v>3.5000000000000003E-2</v>
      </c>
      <c r="M128" s="2">
        <v>-0.30197998881339999</v>
      </c>
      <c r="N128" s="2">
        <f t="shared" si="18"/>
        <v>5.8000000000000005E-3</v>
      </c>
      <c r="P128" s="2">
        <v>237.39999389648401</v>
      </c>
      <c r="Q128" s="2">
        <f t="shared" si="19"/>
        <v>0.1905</v>
      </c>
      <c r="R128" s="2">
        <v>-0.244589999318123</v>
      </c>
      <c r="S128" s="2">
        <f t="shared" si="20"/>
        <v>5.8000000000000005E-3</v>
      </c>
      <c r="U128" s="2">
        <v>140.60000610351599</v>
      </c>
      <c r="V128" s="2">
        <f t="shared" si="21"/>
        <v>0.11310000000000001</v>
      </c>
      <c r="W128" s="2">
        <v>-0.192139998078346</v>
      </c>
      <c r="X128" s="2">
        <f t="shared" si="22"/>
        <v>5.8000000000000005E-3</v>
      </c>
      <c r="Z128" s="2">
        <v>276.5</v>
      </c>
      <c r="AA128" s="2">
        <f t="shared" si="23"/>
        <v>0.2218</v>
      </c>
      <c r="AB128" s="2">
        <v>-0.129830002784729</v>
      </c>
      <c r="AC128" s="2">
        <f t="shared" si="24"/>
        <v>5.8000000000000005E-3</v>
      </c>
    </row>
    <row r="129" spans="1:29" x14ac:dyDescent="0.25">
      <c r="A129" s="2">
        <v>113.90000152587901</v>
      </c>
      <c r="B129" s="2">
        <f t="shared" si="13"/>
        <v>9.1700000000000004E-2</v>
      </c>
      <c r="C129" s="2">
        <v>-0.40525999665260298</v>
      </c>
      <c r="D129" s="2">
        <f t="shared" si="14"/>
        <v>5.8000000000000005E-3</v>
      </c>
      <c r="F129" s="2">
        <v>86.300003051757798</v>
      </c>
      <c r="G129" s="2">
        <f t="shared" si="15"/>
        <v>6.9699999999999998E-2</v>
      </c>
      <c r="H129" s="2">
        <v>-0.351740002632141</v>
      </c>
      <c r="I129" s="2">
        <f t="shared" si="16"/>
        <v>5.8000000000000005E-3</v>
      </c>
      <c r="K129" s="2">
        <v>44.720001220703097</v>
      </c>
      <c r="L129" s="2">
        <f t="shared" si="17"/>
        <v>3.6400000000000002E-2</v>
      </c>
      <c r="M129" s="2">
        <v>-0.30197998881339999</v>
      </c>
      <c r="N129" s="2">
        <f t="shared" si="18"/>
        <v>5.8000000000000005E-3</v>
      </c>
      <c r="P129" s="2">
        <v>240.10000610351599</v>
      </c>
      <c r="Q129" s="2">
        <f t="shared" si="19"/>
        <v>0.19269999999999998</v>
      </c>
      <c r="R129" s="2">
        <v>-0.24434000253677399</v>
      </c>
      <c r="S129" s="2">
        <f t="shared" si="20"/>
        <v>5.8000000000000005E-3</v>
      </c>
      <c r="U129" s="2">
        <v>141.60000610351599</v>
      </c>
      <c r="V129" s="2">
        <f t="shared" si="21"/>
        <v>0.1139</v>
      </c>
      <c r="W129" s="2">
        <v>-0.192120000720024</v>
      </c>
      <c r="X129" s="2">
        <f t="shared" si="22"/>
        <v>5.8000000000000005E-3</v>
      </c>
      <c r="Z129" s="2">
        <v>277.5</v>
      </c>
      <c r="AA129" s="2">
        <f t="shared" si="23"/>
        <v>0.22259999999999999</v>
      </c>
      <c r="AB129" s="2">
        <v>-0.12961000204086301</v>
      </c>
      <c r="AC129" s="2">
        <f t="shared" si="24"/>
        <v>5.8000000000000005E-3</v>
      </c>
    </row>
    <row r="130" spans="1:29" x14ac:dyDescent="0.25">
      <c r="A130" s="2">
        <v>114</v>
      </c>
      <c r="B130" s="2">
        <f t="shared" si="13"/>
        <v>9.1800000000000007E-2</v>
      </c>
      <c r="C130" s="2">
        <v>-0.40525999665260298</v>
      </c>
      <c r="D130" s="2">
        <f t="shared" si="14"/>
        <v>5.8000000000000005E-3</v>
      </c>
      <c r="F130" s="2">
        <v>86.300003051757798</v>
      </c>
      <c r="G130" s="2">
        <f t="shared" si="15"/>
        <v>6.9699999999999998E-2</v>
      </c>
      <c r="H130" s="2">
        <v>-0.351740002632141</v>
      </c>
      <c r="I130" s="2">
        <f t="shared" si="16"/>
        <v>5.8000000000000005E-3</v>
      </c>
      <c r="K130" s="2">
        <v>46.490001678466797</v>
      </c>
      <c r="L130" s="2">
        <f t="shared" si="17"/>
        <v>3.78E-2</v>
      </c>
      <c r="M130" s="2">
        <v>-0.30197998881339999</v>
      </c>
      <c r="N130" s="2">
        <f t="shared" si="18"/>
        <v>5.8000000000000005E-3</v>
      </c>
      <c r="P130" s="2">
        <v>240.69999694824199</v>
      </c>
      <c r="Q130" s="2">
        <f t="shared" si="19"/>
        <v>0.19319999999999998</v>
      </c>
      <c r="R130" s="2">
        <v>-0.244279995560646</v>
      </c>
      <c r="S130" s="2">
        <f t="shared" si="20"/>
        <v>5.8000000000000005E-3</v>
      </c>
      <c r="U130" s="2">
        <v>144.80000305175801</v>
      </c>
      <c r="V130" s="2">
        <f t="shared" si="21"/>
        <v>0.11650000000000001</v>
      </c>
      <c r="W130" s="2">
        <v>-0.192090004682541</v>
      </c>
      <c r="X130" s="2">
        <f t="shared" si="22"/>
        <v>5.8000000000000005E-3</v>
      </c>
      <c r="Z130" s="2">
        <v>282.5</v>
      </c>
      <c r="AA130" s="2">
        <f t="shared" si="23"/>
        <v>0.2266</v>
      </c>
      <c r="AB130" s="2">
        <v>-0.129020005464554</v>
      </c>
      <c r="AC130" s="2">
        <f t="shared" si="24"/>
        <v>5.8000000000000005E-3</v>
      </c>
    </row>
    <row r="131" spans="1:29" x14ac:dyDescent="0.25">
      <c r="A131" s="2">
        <v>115.699996948242</v>
      </c>
      <c r="B131" s="2">
        <f t="shared" si="13"/>
        <v>9.3200000000000005E-2</v>
      </c>
      <c r="C131" s="2">
        <v>-0.40525999665260298</v>
      </c>
      <c r="D131" s="2">
        <f t="shared" si="14"/>
        <v>5.8000000000000005E-3</v>
      </c>
      <c r="F131" s="2">
        <v>86.300003051757798</v>
      </c>
      <c r="G131" s="2">
        <f t="shared" si="15"/>
        <v>6.9699999999999998E-2</v>
      </c>
      <c r="H131" s="2">
        <v>-0.351740002632141</v>
      </c>
      <c r="I131" s="2">
        <f t="shared" si="16"/>
        <v>5.8000000000000005E-3</v>
      </c>
      <c r="K131" s="2">
        <v>47.349998474121101</v>
      </c>
      <c r="L131" s="2">
        <f t="shared" si="17"/>
        <v>3.85E-2</v>
      </c>
      <c r="M131" s="2">
        <v>-0.30197998881339999</v>
      </c>
      <c r="N131" s="2">
        <f t="shared" si="18"/>
        <v>5.8000000000000005E-3</v>
      </c>
      <c r="P131" s="2">
        <v>240.69999694824199</v>
      </c>
      <c r="Q131" s="2">
        <f t="shared" si="19"/>
        <v>0.19319999999999998</v>
      </c>
      <c r="R131" s="2">
        <v>-0.244230002164841</v>
      </c>
      <c r="S131" s="2">
        <f t="shared" si="20"/>
        <v>5.8000000000000005E-3</v>
      </c>
      <c r="U131" s="2">
        <v>148.19999694824199</v>
      </c>
      <c r="V131" s="2">
        <f t="shared" si="21"/>
        <v>0.1192</v>
      </c>
      <c r="W131" s="2">
        <v>-0.19208000600337999</v>
      </c>
      <c r="X131" s="2">
        <f t="shared" si="22"/>
        <v>5.8000000000000005E-3</v>
      </c>
      <c r="Z131" s="2">
        <v>288.10000610351602</v>
      </c>
      <c r="AA131" s="2">
        <f t="shared" si="23"/>
        <v>0.2311</v>
      </c>
      <c r="AB131" s="2">
        <v>-0.12809999287128401</v>
      </c>
      <c r="AC131" s="2">
        <f t="shared" si="24"/>
        <v>5.8000000000000005E-3</v>
      </c>
    </row>
    <row r="132" spans="1:29" x14ac:dyDescent="0.25">
      <c r="A132" s="2">
        <v>117.40000152587901</v>
      </c>
      <c r="B132" s="2">
        <f t="shared" si="13"/>
        <v>9.4500000000000001E-2</v>
      </c>
      <c r="C132" s="2">
        <v>-0.40523999929428101</v>
      </c>
      <c r="D132" s="2">
        <f t="shared" si="14"/>
        <v>5.8000000000000005E-3</v>
      </c>
      <c r="F132" s="2">
        <v>86.300003051757798</v>
      </c>
      <c r="G132" s="2">
        <f t="shared" si="15"/>
        <v>6.9699999999999998E-2</v>
      </c>
      <c r="H132" s="2">
        <v>-0.351740002632141</v>
      </c>
      <c r="I132" s="2">
        <f t="shared" si="16"/>
        <v>5.8000000000000005E-3</v>
      </c>
      <c r="K132" s="2">
        <v>53.5</v>
      </c>
      <c r="L132" s="2">
        <f t="shared" si="17"/>
        <v>4.3400000000000001E-2</v>
      </c>
      <c r="M132" s="2">
        <v>-0.30193999409675598</v>
      </c>
      <c r="N132" s="2">
        <f t="shared" si="18"/>
        <v>5.8000000000000005E-3</v>
      </c>
      <c r="P132" s="2">
        <v>242.5</v>
      </c>
      <c r="Q132" s="2">
        <f t="shared" si="19"/>
        <v>0.1946</v>
      </c>
      <c r="R132" s="2">
        <v>-0.24414999783039101</v>
      </c>
      <c r="S132" s="2">
        <f t="shared" si="20"/>
        <v>5.8000000000000005E-3</v>
      </c>
      <c r="U132" s="2">
        <v>153.80000305175801</v>
      </c>
      <c r="V132" s="2">
        <f t="shared" si="21"/>
        <v>0.1237</v>
      </c>
      <c r="W132" s="2">
        <v>-0.19200000166893</v>
      </c>
      <c r="X132" s="2">
        <f t="shared" si="22"/>
        <v>5.8000000000000005E-3</v>
      </c>
      <c r="Z132" s="2">
        <v>294.29998779296898</v>
      </c>
      <c r="AA132" s="2">
        <f t="shared" si="23"/>
        <v>0.23609999999999998</v>
      </c>
      <c r="AB132" s="2">
        <v>-0.12722000479698201</v>
      </c>
      <c r="AC132" s="2">
        <f t="shared" si="24"/>
        <v>5.8000000000000005E-3</v>
      </c>
    </row>
    <row r="133" spans="1:29" x14ac:dyDescent="0.25">
      <c r="A133" s="2">
        <v>117.5</v>
      </c>
      <c r="B133" s="2">
        <f t="shared" si="13"/>
        <v>9.4600000000000004E-2</v>
      </c>
      <c r="C133" s="2">
        <v>-0.40520998835563699</v>
      </c>
      <c r="D133" s="2">
        <f t="shared" si="14"/>
        <v>5.8000000000000005E-3</v>
      </c>
      <c r="F133" s="2">
        <v>88</v>
      </c>
      <c r="G133" s="2">
        <f t="shared" si="15"/>
        <v>7.1000000000000008E-2</v>
      </c>
      <c r="H133" s="2">
        <v>-0.35172998905181901</v>
      </c>
      <c r="I133" s="2">
        <f t="shared" si="16"/>
        <v>5.8000000000000005E-3</v>
      </c>
      <c r="K133" s="2">
        <v>48.299999237060497</v>
      </c>
      <c r="L133" s="2">
        <f t="shared" si="17"/>
        <v>3.9300000000000002E-2</v>
      </c>
      <c r="M133" s="2">
        <v>-0.30193999409675598</v>
      </c>
      <c r="N133" s="2">
        <f t="shared" si="18"/>
        <v>5.8000000000000005E-3</v>
      </c>
      <c r="P133" s="2">
        <v>245.10000610351599</v>
      </c>
      <c r="Q133" s="2">
        <f t="shared" si="19"/>
        <v>0.19669999999999999</v>
      </c>
      <c r="R133" s="2">
        <v>-0.24390999972820299</v>
      </c>
      <c r="S133" s="2">
        <f t="shared" si="20"/>
        <v>5.8000000000000005E-3</v>
      </c>
      <c r="U133" s="2">
        <v>155.10000610351599</v>
      </c>
      <c r="V133" s="2">
        <f t="shared" si="21"/>
        <v>0.12470000000000001</v>
      </c>
      <c r="W133" s="2">
        <v>-0.19199000298976901</v>
      </c>
      <c r="X133" s="2">
        <f t="shared" si="22"/>
        <v>5.8000000000000005E-3</v>
      </c>
      <c r="Z133" s="2">
        <v>300.29998779296898</v>
      </c>
      <c r="AA133" s="2">
        <f t="shared" si="23"/>
        <v>0.24089999999999998</v>
      </c>
      <c r="AB133" s="2">
        <v>-0.12644000351428999</v>
      </c>
      <c r="AC133" s="2">
        <f t="shared" si="24"/>
        <v>5.8000000000000005E-3</v>
      </c>
    </row>
    <row r="134" spans="1:29" x14ac:dyDescent="0.25">
      <c r="A134" s="2">
        <v>119.199996948242</v>
      </c>
      <c r="B134" s="2">
        <f t="shared" si="13"/>
        <v>9.6000000000000002E-2</v>
      </c>
      <c r="C134" s="2">
        <v>-0.40518000721931502</v>
      </c>
      <c r="D134" s="2">
        <f t="shared" si="14"/>
        <v>5.8000000000000005E-3</v>
      </c>
      <c r="F134" s="2">
        <v>88.099998474121094</v>
      </c>
      <c r="G134" s="2">
        <f t="shared" si="15"/>
        <v>7.1099999999999997E-2</v>
      </c>
      <c r="H134" s="2">
        <v>-0.35172998905181901</v>
      </c>
      <c r="I134" s="2">
        <f t="shared" si="16"/>
        <v>5.8000000000000005E-3</v>
      </c>
      <c r="K134" s="2">
        <v>48.299999237060497</v>
      </c>
      <c r="L134" s="2">
        <f t="shared" si="17"/>
        <v>3.9300000000000002E-2</v>
      </c>
      <c r="M134" s="2">
        <v>-0.30195000767707803</v>
      </c>
      <c r="N134" s="2">
        <f t="shared" si="18"/>
        <v>5.8000000000000005E-3</v>
      </c>
      <c r="P134" s="2">
        <v>245.89999389648401</v>
      </c>
      <c r="Q134" s="2">
        <f t="shared" si="19"/>
        <v>0.19729999999999998</v>
      </c>
      <c r="R134" s="2">
        <v>-0.24369999766349801</v>
      </c>
      <c r="S134" s="2">
        <f t="shared" si="20"/>
        <v>5.8000000000000005E-3</v>
      </c>
      <c r="U134" s="2">
        <v>157</v>
      </c>
      <c r="V134" s="2">
        <f t="shared" si="21"/>
        <v>0.12619999999999998</v>
      </c>
      <c r="W134" s="2">
        <v>-0.19198000431060799</v>
      </c>
      <c r="X134" s="2">
        <f t="shared" si="22"/>
        <v>5.8000000000000005E-3</v>
      </c>
      <c r="Z134" s="2">
        <v>301.89999389648398</v>
      </c>
      <c r="AA134" s="2">
        <f t="shared" si="23"/>
        <v>0.24209999999999998</v>
      </c>
      <c r="AB134" s="2">
        <v>-0.12612999975681299</v>
      </c>
      <c r="AC134" s="2">
        <f t="shared" si="24"/>
        <v>5.8000000000000005E-3</v>
      </c>
    </row>
    <row r="135" spans="1:29" x14ac:dyDescent="0.25">
      <c r="A135" s="2">
        <v>122.800003051758</v>
      </c>
      <c r="B135" s="2">
        <f t="shared" si="13"/>
        <v>9.8900000000000002E-2</v>
      </c>
      <c r="C135" s="2">
        <v>-0.40514001250267001</v>
      </c>
      <c r="D135" s="2">
        <f t="shared" si="14"/>
        <v>5.8000000000000005E-3</v>
      </c>
      <c r="F135" s="2">
        <v>88</v>
      </c>
      <c r="G135" s="2">
        <f t="shared" si="15"/>
        <v>7.1000000000000008E-2</v>
      </c>
      <c r="H135" s="2">
        <v>-0.35172000527381903</v>
      </c>
      <c r="I135" s="2">
        <f t="shared" si="16"/>
        <v>5.8000000000000005E-3</v>
      </c>
      <c r="K135" s="2">
        <v>50.400001525878899</v>
      </c>
      <c r="L135" s="2">
        <f t="shared" si="17"/>
        <v>4.0900000000000006E-2</v>
      </c>
      <c r="M135" s="2">
        <v>-0.30195999145507801</v>
      </c>
      <c r="N135" s="2">
        <f t="shared" si="18"/>
        <v>5.8000000000000005E-3</v>
      </c>
      <c r="P135" s="2">
        <v>247.30000305175801</v>
      </c>
      <c r="Q135" s="2">
        <f t="shared" si="19"/>
        <v>0.19849999999999998</v>
      </c>
      <c r="R135" s="2">
        <v>-0.24365000426769301</v>
      </c>
      <c r="S135" s="2">
        <f t="shared" si="20"/>
        <v>5.8000000000000005E-3</v>
      </c>
      <c r="U135" s="2">
        <v>162.39999389648401</v>
      </c>
      <c r="V135" s="2">
        <f t="shared" si="21"/>
        <v>0.13049999999999998</v>
      </c>
      <c r="W135" s="2">
        <v>-0.19196000695228599</v>
      </c>
      <c r="X135" s="2">
        <f t="shared" si="22"/>
        <v>5.8000000000000005E-3</v>
      </c>
      <c r="Z135" s="2">
        <v>316.60000610351602</v>
      </c>
      <c r="AA135" s="2">
        <f t="shared" si="23"/>
        <v>0.25390000000000001</v>
      </c>
      <c r="AB135" s="2">
        <v>-0.122429996728897</v>
      </c>
      <c r="AC135" s="2">
        <f t="shared" si="24"/>
        <v>5.8000000000000005E-3</v>
      </c>
    </row>
    <row r="136" spans="1:29" x14ac:dyDescent="0.25">
      <c r="A136" s="2">
        <v>122.800003051758</v>
      </c>
      <c r="B136" s="2">
        <f t="shared" si="13"/>
        <v>9.8900000000000002E-2</v>
      </c>
      <c r="C136" s="2">
        <v>-0.40509000420570401</v>
      </c>
      <c r="D136" s="2">
        <f t="shared" si="14"/>
        <v>5.8000000000000005E-3</v>
      </c>
      <c r="F136" s="2">
        <v>88</v>
      </c>
      <c r="G136" s="2">
        <f t="shared" si="15"/>
        <v>7.1000000000000008E-2</v>
      </c>
      <c r="H136" s="2">
        <v>-0.35170999169349698</v>
      </c>
      <c r="I136" s="2">
        <f t="shared" si="16"/>
        <v>5.8000000000000005E-3</v>
      </c>
      <c r="K136" s="2">
        <v>55.200000762939503</v>
      </c>
      <c r="L136" s="2">
        <f t="shared" si="17"/>
        <v>4.48E-2</v>
      </c>
      <c r="M136" s="2">
        <v>-0.30195999145507801</v>
      </c>
      <c r="N136" s="2">
        <f t="shared" si="18"/>
        <v>5.8000000000000005E-3</v>
      </c>
      <c r="P136" s="2">
        <v>247.80000305175801</v>
      </c>
      <c r="Q136" s="2">
        <f t="shared" si="19"/>
        <v>0.19889999999999999</v>
      </c>
      <c r="R136" s="2">
        <v>-0.243589997291565</v>
      </c>
      <c r="S136" s="2">
        <f t="shared" si="20"/>
        <v>5.8000000000000005E-3</v>
      </c>
      <c r="U136" s="2">
        <v>170.10000610351599</v>
      </c>
      <c r="V136" s="2">
        <f t="shared" si="21"/>
        <v>0.13669999999999999</v>
      </c>
      <c r="W136" s="2">
        <v>-0.19186000525951399</v>
      </c>
      <c r="X136" s="2">
        <f t="shared" si="22"/>
        <v>5.8000000000000005E-3</v>
      </c>
      <c r="Z136" s="2">
        <v>321.89999389648398</v>
      </c>
      <c r="AA136" s="2">
        <f t="shared" si="23"/>
        <v>0.2581</v>
      </c>
      <c r="AB136" s="2">
        <v>-0.120909996330738</v>
      </c>
      <c r="AC136" s="2">
        <f t="shared" si="24"/>
        <v>5.8000000000000005E-3</v>
      </c>
    </row>
    <row r="137" spans="1:29" x14ac:dyDescent="0.25">
      <c r="A137" s="2">
        <v>123</v>
      </c>
      <c r="B137" s="2">
        <f t="shared" si="13"/>
        <v>9.9000000000000005E-2</v>
      </c>
      <c r="C137" s="2">
        <v>-0.40505999326705899</v>
      </c>
      <c r="D137" s="2">
        <f t="shared" si="14"/>
        <v>5.8000000000000005E-3</v>
      </c>
      <c r="F137" s="2">
        <v>88</v>
      </c>
      <c r="G137" s="2">
        <f t="shared" si="15"/>
        <v>7.1000000000000008E-2</v>
      </c>
      <c r="H137" s="2">
        <v>-0.35170999169349698</v>
      </c>
      <c r="I137" s="2">
        <f t="shared" si="16"/>
        <v>5.8000000000000005E-3</v>
      </c>
      <c r="K137" s="2">
        <v>55.299999237060497</v>
      </c>
      <c r="L137" s="2">
        <f t="shared" si="17"/>
        <v>4.4900000000000002E-2</v>
      </c>
      <c r="M137" s="2">
        <v>-0.30195000767707803</v>
      </c>
      <c r="N137" s="2">
        <f t="shared" si="18"/>
        <v>5.8000000000000005E-3</v>
      </c>
      <c r="P137" s="2">
        <v>250.39999389648401</v>
      </c>
      <c r="Q137" s="2">
        <f t="shared" si="19"/>
        <v>0.2009</v>
      </c>
      <c r="R137" s="2">
        <v>-0.24307000637054399</v>
      </c>
      <c r="S137" s="2">
        <f t="shared" si="20"/>
        <v>5.8000000000000005E-3</v>
      </c>
      <c r="U137" s="2">
        <v>172.69999694824199</v>
      </c>
      <c r="V137" s="2">
        <f t="shared" si="21"/>
        <v>0.13879999999999998</v>
      </c>
      <c r="W137" s="2">
        <v>-0.19181999564170801</v>
      </c>
      <c r="X137" s="2">
        <f t="shared" si="22"/>
        <v>5.8000000000000005E-3</v>
      </c>
      <c r="Z137" s="2">
        <v>329.89999389648398</v>
      </c>
      <c r="AA137" s="2">
        <f t="shared" si="23"/>
        <v>0.26450000000000001</v>
      </c>
      <c r="AB137" s="2">
        <v>-0.118979997932911</v>
      </c>
      <c r="AC137" s="2">
        <f t="shared" si="24"/>
        <v>5.8000000000000005E-3</v>
      </c>
    </row>
    <row r="138" spans="1:29" x14ac:dyDescent="0.25">
      <c r="A138" s="2">
        <v>125.09999847412099</v>
      </c>
      <c r="B138" s="2">
        <f t="shared" si="13"/>
        <v>0.1007</v>
      </c>
      <c r="C138" s="2">
        <v>-0.40503999590873702</v>
      </c>
      <c r="D138" s="2">
        <f t="shared" si="14"/>
        <v>5.8000000000000005E-3</v>
      </c>
      <c r="F138" s="2">
        <v>88</v>
      </c>
      <c r="G138" s="2">
        <f t="shared" si="15"/>
        <v>7.1000000000000008E-2</v>
      </c>
      <c r="H138" s="2">
        <v>-0.35170999169349698</v>
      </c>
      <c r="I138" s="2">
        <f t="shared" si="16"/>
        <v>5.8000000000000005E-3</v>
      </c>
      <c r="K138" s="2">
        <v>55.299999237060497</v>
      </c>
      <c r="L138" s="2">
        <f t="shared" si="17"/>
        <v>4.4900000000000002E-2</v>
      </c>
      <c r="M138" s="2">
        <v>-0.30193999409675598</v>
      </c>
      <c r="N138" s="2">
        <f t="shared" si="18"/>
        <v>5.8000000000000005E-3</v>
      </c>
      <c r="P138" s="2">
        <v>260.10000610351602</v>
      </c>
      <c r="Q138" s="2">
        <f t="shared" si="19"/>
        <v>0.2087</v>
      </c>
      <c r="R138" s="2">
        <v>-0.242149993777275</v>
      </c>
      <c r="S138" s="2">
        <f t="shared" si="20"/>
        <v>5.8000000000000005E-3</v>
      </c>
      <c r="U138" s="2">
        <v>172.69999694824199</v>
      </c>
      <c r="V138" s="2">
        <f t="shared" si="21"/>
        <v>0.13879999999999998</v>
      </c>
      <c r="W138" s="2">
        <v>-0.19178999960422499</v>
      </c>
      <c r="X138" s="2">
        <f t="shared" si="22"/>
        <v>5.8000000000000005E-3</v>
      </c>
      <c r="Z138" s="2">
        <v>331.39999389648398</v>
      </c>
      <c r="AA138" s="2">
        <f t="shared" si="23"/>
        <v>0.26569999999999999</v>
      </c>
      <c r="AB138" s="2">
        <v>-0.118479996919632</v>
      </c>
      <c r="AC138" s="2">
        <f t="shared" si="24"/>
        <v>5.8000000000000005E-3</v>
      </c>
    </row>
    <row r="139" spans="1:29" x14ac:dyDescent="0.25">
      <c r="A139" s="2">
        <v>130.10000610351599</v>
      </c>
      <c r="B139" s="2">
        <f t="shared" si="13"/>
        <v>0.1047</v>
      </c>
      <c r="C139" s="2">
        <v>-0.40498000383377097</v>
      </c>
      <c r="D139" s="2">
        <f t="shared" si="14"/>
        <v>5.8000000000000005E-3</v>
      </c>
      <c r="F139" s="2">
        <v>88.099998474121094</v>
      </c>
      <c r="G139" s="2">
        <f t="shared" si="15"/>
        <v>7.1099999999999997E-2</v>
      </c>
      <c r="H139" s="2">
        <v>-0.35172000527381903</v>
      </c>
      <c r="I139" s="2">
        <f t="shared" si="16"/>
        <v>5.8000000000000005E-3</v>
      </c>
      <c r="K139" s="2">
        <v>55.900001525878899</v>
      </c>
      <c r="L139" s="2">
        <f t="shared" si="17"/>
        <v>4.53E-2</v>
      </c>
      <c r="M139" s="2">
        <v>-0.30193999409675598</v>
      </c>
      <c r="N139" s="2">
        <f t="shared" si="18"/>
        <v>5.8000000000000005E-3</v>
      </c>
      <c r="P139" s="2">
        <v>265.20001220703102</v>
      </c>
      <c r="Q139" s="2">
        <f t="shared" si="19"/>
        <v>0.21279999999999999</v>
      </c>
      <c r="R139" s="2">
        <v>-0.24161000549793199</v>
      </c>
      <c r="S139" s="2">
        <f t="shared" si="20"/>
        <v>5.8000000000000005E-3</v>
      </c>
      <c r="U139" s="2">
        <v>173.30000305175801</v>
      </c>
      <c r="V139" s="2">
        <f t="shared" si="21"/>
        <v>0.13929999999999998</v>
      </c>
      <c r="W139" s="2">
        <v>-0.19177000224590299</v>
      </c>
      <c r="X139" s="2">
        <f t="shared" si="22"/>
        <v>5.8000000000000005E-3</v>
      </c>
      <c r="Z139" s="2">
        <v>343.39999389648398</v>
      </c>
      <c r="AA139" s="2">
        <f t="shared" si="23"/>
        <v>0.27529999999999999</v>
      </c>
      <c r="AB139" s="2">
        <v>-0.11383000016212499</v>
      </c>
      <c r="AC139" s="2">
        <f t="shared" si="24"/>
        <v>5.8000000000000005E-3</v>
      </c>
    </row>
    <row r="140" spans="1:29" x14ac:dyDescent="0.25">
      <c r="A140" s="2">
        <v>132.60000610351599</v>
      </c>
      <c r="B140" s="2">
        <f t="shared" si="13"/>
        <v>0.1067</v>
      </c>
      <c r="C140" s="2">
        <v>-0.40479001402854897</v>
      </c>
      <c r="D140" s="2">
        <f t="shared" si="14"/>
        <v>5.8000000000000005E-3</v>
      </c>
      <c r="F140" s="2">
        <v>88.300003051757798</v>
      </c>
      <c r="G140" s="2">
        <f t="shared" si="15"/>
        <v>7.1300000000000002E-2</v>
      </c>
      <c r="H140" s="2">
        <v>-0.35170999169349698</v>
      </c>
      <c r="I140" s="2">
        <f t="shared" si="16"/>
        <v>5.8000000000000005E-3</v>
      </c>
      <c r="K140" s="2">
        <v>58</v>
      </c>
      <c r="L140" s="2">
        <f t="shared" si="17"/>
        <v>4.7E-2</v>
      </c>
      <c r="M140" s="2">
        <v>-0.30193999409675598</v>
      </c>
      <c r="N140" s="2">
        <f t="shared" si="18"/>
        <v>5.8000000000000005E-3</v>
      </c>
      <c r="P140" s="2">
        <v>277.10000610351602</v>
      </c>
      <c r="Q140" s="2">
        <f t="shared" si="19"/>
        <v>0.2223</v>
      </c>
      <c r="R140" s="2">
        <v>-0.23973000049591101</v>
      </c>
      <c r="S140" s="2">
        <f t="shared" si="20"/>
        <v>5.8000000000000005E-3</v>
      </c>
      <c r="U140" s="2">
        <v>174.5</v>
      </c>
      <c r="V140" s="2">
        <f t="shared" si="21"/>
        <v>0.14019999999999999</v>
      </c>
      <c r="W140" s="2">
        <v>-0.19177000224590299</v>
      </c>
      <c r="X140" s="2">
        <f t="shared" si="22"/>
        <v>5.8000000000000005E-3</v>
      </c>
      <c r="Z140" s="2">
        <v>346.70001220703102</v>
      </c>
      <c r="AA140" s="2">
        <f t="shared" si="23"/>
        <v>0.27799999999999997</v>
      </c>
      <c r="AB140" s="2">
        <v>-0.112510003149509</v>
      </c>
      <c r="AC140" s="2">
        <f t="shared" si="24"/>
        <v>5.8000000000000005E-3</v>
      </c>
    </row>
    <row r="141" spans="1:29" x14ac:dyDescent="0.25">
      <c r="A141" s="2">
        <v>134.19999694824199</v>
      </c>
      <c r="B141" s="2">
        <f t="shared" si="13"/>
        <v>0.108</v>
      </c>
      <c r="C141" s="2">
        <v>-0.40476000308990501</v>
      </c>
      <c r="D141" s="2">
        <f t="shared" si="14"/>
        <v>5.8000000000000005E-3</v>
      </c>
      <c r="F141" s="2">
        <v>89.800003051757798</v>
      </c>
      <c r="G141" s="2">
        <f t="shared" si="15"/>
        <v>7.2500000000000009E-2</v>
      </c>
      <c r="H141" s="2">
        <v>-0.35170999169349698</v>
      </c>
      <c r="I141" s="2">
        <f t="shared" si="16"/>
        <v>5.8000000000000005E-3</v>
      </c>
      <c r="K141" s="2">
        <v>59.599998474121101</v>
      </c>
      <c r="L141" s="2">
        <f t="shared" si="17"/>
        <v>4.8300000000000003E-2</v>
      </c>
      <c r="M141" s="2">
        <v>-0.30193999409675598</v>
      </c>
      <c r="N141" s="2">
        <f t="shared" si="18"/>
        <v>5.8000000000000005E-3</v>
      </c>
      <c r="P141" s="2">
        <v>282.5</v>
      </c>
      <c r="Q141" s="2">
        <f t="shared" si="19"/>
        <v>0.2266</v>
      </c>
      <c r="R141" s="2">
        <v>-0.23867000639438599</v>
      </c>
      <c r="S141" s="2">
        <f t="shared" si="20"/>
        <v>5.8000000000000005E-3</v>
      </c>
      <c r="U141" s="2">
        <v>176.19999694824199</v>
      </c>
      <c r="V141" s="2">
        <f t="shared" si="21"/>
        <v>0.14159999999999998</v>
      </c>
      <c r="W141" s="2">
        <v>-0.19175000488758101</v>
      </c>
      <c r="X141" s="2">
        <f t="shared" si="22"/>
        <v>5.8000000000000005E-3</v>
      </c>
      <c r="Z141" s="2">
        <v>352.60000610351602</v>
      </c>
      <c r="AA141" s="2">
        <f t="shared" si="23"/>
        <v>0.28270000000000001</v>
      </c>
      <c r="AB141" s="2">
        <v>-0.108910001814365</v>
      </c>
      <c r="AC141" s="2">
        <f t="shared" si="24"/>
        <v>5.8000000000000005E-3</v>
      </c>
    </row>
    <row r="142" spans="1:29" x14ac:dyDescent="0.25">
      <c r="A142" s="2">
        <v>135.39999389648401</v>
      </c>
      <c r="B142" s="2">
        <f t="shared" si="13"/>
        <v>0.1089</v>
      </c>
      <c r="C142" s="2">
        <v>-0.40470001101493802</v>
      </c>
      <c r="D142" s="2">
        <f t="shared" si="14"/>
        <v>5.8000000000000005E-3</v>
      </c>
      <c r="F142" s="2">
        <v>91.599998474121094</v>
      </c>
      <c r="G142" s="2">
        <f t="shared" si="15"/>
        <v>7.3900000000000007E-2</v>
      </c>
      <c r="H142" s="2">
        <v>-0.35170000791549699</v>
      </c>
      <c r="I142" s="2">
        <f t="shared" si="16"/>
        <v>5.8000000000000005E-3</v>
      </c>
      <c r="K142" s="2">
        <v>63.099998474121101</v>
      </c>
      <c r="L142" s="2">
        <f t="shared" si="17"/>
        <v>5.11E-2</v>
      </c>
      <c r="M142" s="2">
        <v>-0.30193001031875599</v>
      </c>
      <c r="N142" s="2">
        <f t="shared" si="18"/>
        <v>5.8000000000000005E-3</v>
      </c>
      <c r="P142" s="2">
        <v>282.60000610351602</v>
      </c>
      <c r="Q142" s="2">
        <f t="shared" si="19"/>
        <v>0.22669999999999998</v>
      </c>
      <c r="R142" s="2">
        <v>-0.238659992814064</v>
      </c>
      <c r="S142" s="2">
        <f t="shared" si="20"/>
        <v>5.8000000000000005E-3</v>
      </c>
      <c r="U142" s="2">
        <v>180.19999694824199</v>
      </c>
      <c r="V142" s="2">
        <f t="shared" si="21"/>
        <v>0.14479999999999998</v>
      </c>
      <c r="W142" s="2">
        <v>-0.19171999394893599</v>
      </c>
      <c r="X142" s="2">
        <f t="shared" si="22"/>
        <v>5.8000000000000005E-3</v>
      </c>
      <c r="Z142" s="2">
        <v>356.5</v>
      </c>
      <c r="AA142" s="2">
        <f t="shared" si="23"/>
        <v>0.2858</v>
      </c>
      <c r="AB142" s="2">
        <v>-0.10761000216007199</v>
      </c>
      <c r="AC142" s="2">
        <f t="shared" si="24"/>
        <v>5.8000000000000005E-3</v>
      </c>
    </row>
    <row r="143" spans="1:29" x14ac:dyDescent="0.25">
      <c r="A143" s="2">
        <v>138.60000610351599</v>
      </c>
      <c r="B143" s="2">
        <f t="shared" si="13"/>
        <v>0.1115</v>
      </c>
      <c r="C143" s="2">
        <v>-0.40463000535964999</v>
      </c>
      <c r="D143" s="2">
        <f t="shared" si="14"/>
        <v>5.8000000000000005E-3</v>
      </c>
      <c r="F143" s="2">
        <v>93.900001525878906</v>
      </c>
      <c r="G143" s="2">
        <f t="shared" si="15"/>
        <v>7.5700000000000003E-2</v>
      </c>
      <c r="H143" s="2">
        <v>-0.35166999697685197</v>
      </c>
      <c r="I143" s="2">
        <f t="shared" si="16"/>
        <v>5.8000000000000005E-3</v>
      </c>
      <c r="K143" s="2">
        <v>64.099998474121094</v>
      </c>
      <c r="L143" s="2">
        <f t="shared" si="17"/>
        <v>5.1900000000000002E-2</v>
      </c>
      <c r="M143" s="2">
        <v>-0.301919996738434</v>
      </c>
      <c r="N143" s="2">
        <f t="shared" si="18"/>
        <v>5.8000000000000005E-3</v>
      </c>
      <c r="P143" s="2">
        <v>287.20001220703102</v>
      </c>
      <c r="Q143" s="2">
        <f t="shared" si="19"/>
        <v>0.23039999999999999</v>
      </c>
      <c r="R143" s="2">
        <v>-0.23739999532699599</v>
      </c>
      <c r="S143" s="2">
        <f t="shared" si="20"/>
        <v>5.8000000000000005E-3</v>
      </c>
      <c r="U143" s="2">
        <v>185.39999389648401</v>
      </c>
      <c r="V143" s="2">
        <f t="shared" si="21"/>
        <v>0.14889999999999998</v>
      </c>
      <c r="W143" s="2">
        <v>-0.19166000187397</v>
      </c>
      <c r="X143" s="2">
        <f t="shared" si="22"/>
        <v>5.8000000000000005E-3</v>
      </c>
      <c r="Z143" s="2">
        <v>360.29998779296898</v>
      </c>
      <c r="AA143" s="2">
        <f t="shared" si="23"/>
        <v>0.28889999999999999</v>
      </c>
      <c r="AB143" s="2">
        <v>-0.105760000646114</v>
      </c>
      <c r="AC143" s="2">
        <f t="shared" si="24"/>
        <v>5.8000000000000005E-3</v>
      </c>
    </row>
    <row r="144" spans="1:29" x14ac:dyDescent="0.25">
      <c r="A144" s="2">
        <v>142.19999694824199</v>
      </c>
      <c r="B144" s="2">
        <f t="shared" si="13"/>
        <v>0.1144</v>
      </c>
      <c r="C144" s="2">
        <v>-0.40454998612403897</v>
      </c>
      <c r="D144" s="2">
        <f t="shared" si="14"/>
        <v>5.8000000000000005E-3</v>
      </c>
      <c r="F144" s="2">
        <v>94.300003051757798</v>
      </c>
      <c r="G144" s="2">
        <f t="shared" si="15"/>
        <v>7.6100000000000001E-2</v>
      </c>
      <c r="H144" s="2">
        <v>-0.35166001319885298</v>
      </c>
      <c r="I144" s="2">
        <f t="shared" si="16"/>
        <v>5.8000000000000005E-3</v>
      </c>
      <c r="K144" s="2">
        <v>64.300003051757798</v>
      </c>
      <c r="L144" s="2">
        <f t="shared" si="17"/>
        <v>5.21E-2</v>
      </c>
      <c r="M144" s="2">
        <v>-0.30189999938011203</v>
      </c>
      <c r="N144" s="2">
        <f t="shared" si="18"/>
        <v>5.8000000000000005E-3</v>
      </c>
      <c r="P144" s="2">
        <v>298.20001220703102</v>
      </c>
      <c r="Q144" s="2">
        <f t="shared" si="19"/>
        <v>0.2392</v>
      </c>
      <c r="R144" s="2">
        <v>-0.23524999618530301</v>
      </c>
      <c r="S144" s="2">
        <f t="shared" si="20"/>
        <v>5.8000000000000005E-3</v>
      </c>
      <c r="U144" s="2">
        <v>188.80000305175801</v>
      </c>
      <c r="V144" s="2">
        <f t="shared" si="21"/>
        <v>0.1517</v>
      </c>
      <c r="W144" s="2">
        <v>-0.191589996218681</v>
      </c>
      <c r="X144" s="2">
        <f t="shared" si="22"/>
        <v>5.8000000000000005E-3</v>
      </c>
      <c r="Z144" s="2">
        <v>365.5</v>
      </c>
      <c r="AA144" s="2">
        <f t="shared" si="23"/>
        <v>0.29299999999999998</v>
      </c>
      <c r="AB144" s="2">
        <v>-0.101920001208782</v>
      </c>
      <c r="AC144" s="2">
        <f t="shared" si="24"/>
        <v>5.8000000000000005E-3</v>
      </c>
    </row>
    <row r="145" spans="1:29" x14ac:dyDescent="0.25">
      <c r="A145" s="2">
        <v>147.39999389648401</v>
      </c>
      <c r="B145" s="2">
        <f t="shared" si="13"/>
        <v>0.11850000000000001</v>
      </c>
      <c r="C145" s="2">
        <v>-0.40432000160217302</v>
      </c>
      <c r="D145" s="2">
        <f t="shared" si="14"/>
        <v>5.8000000000000005E-3</v>
      </c>
      <c r="F145" s="2">
        <v>95.099998474121094</v>
      </c>
      <c r="G145" s="2">
        <f t="shared" si="15"/>
        <v>7.6700000000000004E-2</v>
      </c>
      <c r="H145" s="2">
        <v>-0.35163998603820801</v>
      </c>
      <c r="I145" s="2">
        <f t="shared" si="16"/>
        <v>5.8000000000000005E-3</v>
      </c>
      <c r="K145" s="2">
        <v>65.900001525878906</v>
      </c>
      <c r="L145" s="2">
        <f t="shared" si="17"/>
        <v>5.33E-2</v>
      </c>
      <c r="M145" s="2">
        <v>-0.30188998579978898</v>
      </c>
      <c r="N145" s="2">
        <f t="shared" si="18"/>
        <v>5.8000000000000005E-3</v>
      </c>
      <c r="P145" s="2">
        <v>300.60000610351602</v>
      </c>
      <c r="Q145" s="2">
        <f t="shared" si="19"/>
        <v>0.24109999999999998</v>
      </c>
      <c r="R145" s="2">
        <v>-0.23454999923706099</v>
      </c>
      <c r="S145" s="2">
        <f t="shared" si="20"/>
        <v>5.8000000000000005E-3</v>
      </c>
      <c r="U145" s="2">
        <v>192.19999694824199</v>
      </c>
      <c r="V145" s="2">
        <f t="shared" si="21"/>
        <v>0.15439999999999998</v>
      </c>
      <c r="W145" s="2">
        <v>-0.191520005464554</v>
      </c>
      <c r="X145" s="2">
        <f t="shared" si="22"/>
        <v>5.8000000000000005E-3</v>
      </c>
      <c r="Z145" s="2">
        <v>370.60000610351602</v>
      </c>
      <c r="AA145" s="2">
        <f t="shared" si="23"/>
        <v>0.29709999999999998</v>
      </c>
      <c r="AB145" s="2">
        <v>-9.8750002682209001E-2</v>
      </c>
      <c r="AC145" s="2">
        <f t="shared" si="24"/>
        <v>5.8000000000000005E-3</v>
      </c>
    </row>
    <row r="146" spans="1:29" x14ac:dyDescent="0.25">
      <c r="A146" s="2">
        <v>152.39999389648401</v>
      </c>
      <c r="B146" s="2">
        <f t="shared" si="13"/>
        <v>0.1225</v>
      </c>
      <c r="C146" s="2">
        <v>-0.40406000614166299</v>
      </c>
      <c r="D146" s="2">
        <f t="shared" si="14"/>
        <v>5.8000000000000005E-3</v>
      </c>
      <c r="F146" s="2">
        <v>95.099998474121094</v>
      </c>
      <c r="G146" s="2">
        <f t="shared" si="15"/>
        <v>7.6700000000000004E-2</v>
      </c>
      <c r="H146" s="2">
        <v>-0.35163000226020802</v>
      </c>
      <c r="I146" s="2">
        <f t="shared" si="16"/>
        <v>5.8000000000000005E-3</v>
      </c>
      <c r="K146" s="2">
        <v>70.099998474121094</v>
      </c>
      <c r="L146" s="2">
        <f t="shared" si="17"/>
        <v>5.67E-2</v>
      </c>
      <c r="M146" s="2">
        <v>-0.30188000202178999</v>
      </c>
      <c r="N146" s="2">
        <f t="shared" si="18"/>
        <v>5.8000000000000005E-3</v>
      </c>
      <c r="P146" s="2">
        <v>301</v>
      </c>
      <c r="Q146" s="2">
        <f t="shared" si="19"/>
        <v>0.24139999999999998</v>
      </c>
      <c r="R146" s="2">
        <v>-0.23454999923706099</v>
      </c>
      <c r="S146" s="2">
        <f t="shared" si="20"/>
        <v>5.8000000000000005E-3</v>
      </c>
      <c r="U146" s="2">
        <v>196.19999694824199</v>
      </c>
      <c r="V146" s="2">
        <f t="shared" si="21"/>
        <v>0.15759999999999999</v>
      </c>
      <c r="W146" s="2">
        <v>-0.191449999809265</v>
      </c>
      <c r="X146" s="2">
        <f t="shared" si="22"/>
        <v>5.8000000000000005E-3</v>
      </c>
      <c r="Z146" s="2">
        <v>373.29998779296898</v>
      </c>
      <c r="AA146" s="2">
        <f t="shared" si="23"/>
        <v>0.29930000000000001</v>
      </c>
      <c r="AB146" s="2">
        <v>-9.6589997410774203E-2</v>
      </c>
      <c r="AC146" s="2">
        <f t="shared" si="24"/>
        <v>5.8000000000000005E-3</v>
      </c>
    </row>
    <row r="147" spans="1:29" x14ac:dyDescent="0.25">
      <c r="A147" s="2">
        <v>152.60000610351599</v>
      </c>
      <c r="B147" s="2">
        <f t="shared" si="13"/>
        <v>0.1227</v>
      </c>
      <c r="C147" s="2">
        <v>-0.40402999520301802</v>
      </c>
      <c r="D147" s="2">
        <f t="shared" si="14"/>
        <v>5.8000000000000005E-3</v>
      </c>
      <c r="F147" s="2">
        <v>95.199996948242202</v>
      </c>
      <c r="G147" s="2">
        <f t="shared" si="15"/>
        <v>7.6800000000000007E-2</v>
      </c>
      <c r="H147" s="2">
        <v>-0.35163000226020802</v>
      </c>
      <c r="I147" s="2">
        <f t="shared" si="16"/>
        <v>5.8000000000000005E-3</v>
      </c>
      <c r="K147" s="2">
        <v>73.900001525878906</v>
      </c>
      <c r="L147" s="2">
        <f t="shared" si="17"/>
        <v>5.9700000000000003E-2</v>
      </c>
      <c r="M147" s="2">
        <v>-0.30186998844146701</v>
      </c>
      <c r="N147" s="2">
        <f t="shared" si="18"/>
        <v>5.8000000000000005E-3</v>
      </c>
      <c r="P147" s="2">
        <v>314.60000610351602</v>
      </c>
      <c r="Q147" s="2">
        <f t="shared" si="19"/>
        <v>0.25229999999999997</v>
      </c>
      <c r="R147" s="2">
        <v>-0.22999000549316401</v>
      </c>
      <c r="S147" s="2">
        <f t="shared" si="20"/>
        <v>5.8000000000000005E-3</v>
      </c>
      <c r="U147" s="2">
        <v>197.19999694824199</v>
      </c>
      <c r="V147" s="2">
        <f t="shared" si="21"/>
        <v>0.15839999999999999</v>
      </c>
      <c r="W147" s="2">
        <v>-0.191379994153976</v>
      </c>
      <c r="X147" s="2">
        <f t="shared" si="22"/>
        <v>5.8000000000000005E-3</v>
      </c>
      <c r="Z147" s="2">
        <v>374.60000610351602</v>
      </c>
      <c r="AA147" s="2">
        <f t="shared" si="23"/>
        <v>0.30030000000000001</v>
      </c>
      <c r="AB147" s="2">
        <v>-9.5420002937316895E-2</v>
      </c>
      <c r="AC147" s="2">
        <f t="shared" si="24"/>
        <v>5.8000000000000005E-3</v>
      </c>
    </row>
    <row r="148" spans="1:29" x14ac:dyDescent="0.25">
      <c r="A148" s="2">
        <v>165.80000305175801</v>
      </c>
      <c r="B148" s="2">
        <f t="shared" si="13"/>
        <v>0.1333</v>
      </c>
      <c r="C148" s="2">
        <v>-0.40347999334335299</v>
      </c>
      <c r="D148" s="2">
        <f t="shared" si="14"/>
        <v>5.8000000000000005E-3</v>
      </c>
      <c r="F148" s="2">
        <v>95.599998474121094</v>
      </c>
      <c r="G148" s="2">
        <f t="shared" si="15"/>
        <v>7.7100000000000002E-2</v>
      </c>
      <c r="H148" s="2">
        <v>-0.35163998603820801</v>
      </c>
      <c r="I148" s="2">
        <f t="shared" si="16"/>
        <v>5.8000000000000005E-3</v>
      </c>
      <c r="K148" s="2">
        <v>76.199996948242202</v>
      </c>
      <c r="L148" s="2">
        <f t="shared" si="17"/>
        <v>6.1600000000000002E-2</v>
      </c>
      <c r="M148" s="2">
        <v>-0.30186000466346702</v>
      </c>
      <c r="N148" s="2">
        <f t="shared" si="18"/>
        <v>5.8000000000000005E-3</v>
      </c>
      <c r="P148" s="2">
        <v>317.20001220703102</v>
      </c>
      <c r="Q148" s="2">
        <f t="shared" si="19"/>
        <v>0.25440000000000002</v>
      </c>
      <c r="R148" s="2">
        <v>-0.22947999835014299</v>
      </c>
      <c r="S148" s="2">
        <f t="shared" si="20"/>
        <v>5.8000000000000005E-3</v>
      </c>
      <c r="U148" s="2">
        <v>199</v>
      </c>
      <c r="V148" s="2">
        <f t="shared" si="21"/>
        <v>0.1598</v>
      </c>
      <c r="W148" s="2">
        <v>-0.191330000758171</v>
      </c>
      <c r="X148" s="2">
        <f t="shared" si="22"/>
        <v>5.8000000000000005E-3</v>
      </c>
      <c r="Z148" s="2">
        <v>378.29998779296898</v>
      </c>
      <c r="AA148" s="2">
        <f t="shared" si="23"/>
        <v>0.30330000000000001</v>
      </c>
      <c r="AB148" s="2">
        <v>-9.3000002205371898E-2</v>
      </c>
      <c r="AC148" s="2">
        <f t="shared" si="24"/>
        <v>5.8000000000000005E-3</v>
      </c>
    </row>
    <row r="149" spans="1:29" x14ac:dyDescent="0.25">
      <c r="A149" s="2">
        <v>166.69999694824199</v>
      </c>
      <c r="B149" s="2">
        <f t="shared" si="13"/>
        <v>0.13399999999999998</v>
      </c>
      <c r="C149" s="2">
        <v>-0.40329000353813199</v>
      </c>
      <c r="D149" s="2">
        <f t="shared" si="14"/>
        <v>5.8000000000000005E-3</v>
      </c>
      <c r="F149" s="2">
        <v>95.5</v>
      </c>
      <c r="G149" s="2">
        <f t="shared" si="15"/>
        <v>7.6999999999999999E-2</v>
      </c>
      <c r="H149" s="2">
        <v>-0.35163000226020802</v>
      </c>
      <c r="I149" s="2">
        <f t="shared" si="16"/>
        <v>5.8000000000000005E-3</v>
      </c>
      <c r="K149" s="2">
        <v>77.900001525878906</v>
      </c>
      <c r="L149" s="2">
        <f t="shared" si="17"/>
        <v>6.2899999999999998E-2</v>
      </c>
      <c r="M149" s="2">
        <v>-0.30184999108314498</v>
      </c>
      <c r="N149" s="2">
        <f t="shared" si="18"/>
        <v>5.8000000000000005E-3</v>
      </c>
      <c r="P149" s="2">
        <v>318.79998779296898</v>
      </c>
      <c r="Q149" s="2">
        <f t="shared" si="19"/>
        <v>0.25569999999999998</v>
      </c>
      <c r="R149" s="2">
        <v>-0.22882999479770699</v>
      </c>
      <c r="S149" s="2">
        <f t="shared" si="20"/>
        <v>5.8000000000000005E-3</v>
      </c>
      <c r="U149" s="2">
        <v>200.69999694824199</v>
      </c>
      <c r="V149" s="2">
        <f t="shared" si="21"/>
        <v>0.16119999999999998</v>
      </c>
      <c r="W149" s="2">
        <v>-0.191280007362366</v>
      </c>
      <c r="X149" s="2">
        <f t="shared" si="22"/>
        <v>5.8000000000000005E-3</v>
      </c>
      <c r="Z149" s="2">
        <v>383.89999389648398</v>
      </c>
      <c r="AA149" s="2">
        <f t="shared" si="23"/>
        <v>0.30769999999999997</v>
      </c>
      <c r="AB149" s="2">
        <v>-8.8430002331733704E-2</v>
      </c>
      <c r="AC149" s="2">
        <f t="shared" si="24"/>
        <v>5.8000000000000005E-3</v>
      </c>
    </row>
    <row r="150" spans="1:29" x14ac:dyDescent="0.25">
      <c r="A150" s="2">
        <v>171</v>
      </c>
      <c r="B150" s="2">
        <f t="shared" si="13"/>
        <v>0.13739999999999999</v>
      </c>
      <c r="C150" s="2">
        <v>-0.40305000543594399</v>
      </c>
      <c r="D150" s="2">
        <f t="shared" si="14"/>
        <v>5.8000000000000005E-3</v>
      </c>
      <c r="F150" s="2">
        <v>95.199996948242202</v>
      </c>
      <c r="G150" s="2">
        <f t="shared" si="15"/>
        <v>7.6800000000000007E-2</v>
      </c>
      <c r="H150" s="2">
        <v>-0.35163000226020802</v>
      </c>
      <c r="I150" s="2">
        <f t="shared" si="16"/>
        <v>5.8000000000000005E-3</v>
      </c>
      <c r="K150" s="2">
        <v>79.900001525878906</v>
      </c>
      <c r="L150" s="2">
        <f t="shared" si="17"/>
        <v>6.4500000000000002E-2</v>
      </c>
      <c r="M150" s="2">
        <v>-0.30182000994682301</v>
      </c>
      <c r="N150" s="2">
        <f t="shared" si="18"/>
        <v>5.8000000000000005E-3</v>
      </c>
      <c r="P150" s="2">
        <v>320.5</v>
      </c>
      <c r="Q150" s="2">
        <f t="shared" si="19"/>
        <v>0.25700000000000001</v>
      </c>
      <c r="R150" s="2">
        <v>-0.22819000482559201</v>
      </c>
      <c r="S150" s="2">
        <f t="shared" si="20"/>
        <v>5.8000000000000005E-3</v>
      </c>
      <c r="U150" s="2">
        <v>201</v>
      </c>
      <c r="V150" s="2">
        <f t="shared" si="21"/>
        <v>0.16139999999999999</v>
      </c>
      <c r="W150" s="2">
        <v>-0.19124999642372101</v>
      </c>
      <c r="X150" s="2">
        <f t="shared" si="22"/>
        <v>5.8000000000000005E-3</v>
      </c>
      <c r="Z150" s="2">
        <v>385.29998779296898</v>
      </c>
      <c r="AA150" s="2">
        <f t="shared" si="23"/>
        <v>0.30890000000000001</v>
      </c>
      <c r="AB150" s="2">
        <v>-8.6560003459453597E-2</v>
      </c>
      <c r="AC150" s="2">
        <f t="shared" si="24"/>
        <v>5.8000000000000005E-3</v>
      </c>
    </row>
    <row r="151" spans="1:29" x14ac:dyDescent="0.25">
      <c r="A151" s="2">
        <v>173.60000610351599</v>
      </c>
      <c r="B151" s="2">
        <f t="shared" si="13"/>
        <v>0.13949999999999999</v>
      </c>
      <c r="C151" s="2">
        <v>-0.40301001071929898</v>
      </c>
      <c r="D151" s="2">
        <f t="shared" si="14"/>
        <v>5.8000000000000005E-3</v>
      </c>
      <c r="F151" s="2">
        <v>95.699996948242202</v>
      </c>
      <c r="G151" s="2">
        <f t="shared" si="15"/>
        <v>7.7200000000000005E-2</v>
      </c>
      <c r="H151" s="2">
        <v>-0.35163998603820801</v>
      </c>
      <c r="I151" s="2">
        <f t="shared" si="16"/>
        <v>5.8000000000000005E-3</v>
      </c>
      <c r="K151" s="2">
        <v>84.300003051757798</v>
      </c>
      <c r="L151" s="2">
        <f t="shared" si="17"/>
        <v>6.8100000000000008E-2</v>
      </c>
      <c r="M151" s="2">
        <v>-0.30180999636650102</v>
      </c>
      <c r="N151" s="2">
        <f t="shared" si="18"/>
        <v>5.8000000000000005E-3</v>
      </c>
      <c r="P151" s="2">
        <v>320.39999389648398</v>
      </c>
      <c r="Q151" s="2">
        <f t="shared" si="19"/>
        <v>0.25689999999999996</v>
      </c>
      <c r="R151" s="2">
        <v>-0.22819000482559201</v>
      </c>
      <c r="S151" s="2">
        <f t="shared" si="20"/>
        <v>5.8000000000000005E-3</v>
      </c>
      <c r="U151" s="2">
        <v>202.5</v>
      </c>
      <c r="V151" s="2">
        <f t="shared" si="21"/>
        <v>0.16259999999999999</v>
      </c>
      <c r="W151" s="2">
        <v>-0.191210001707077</v>
      </c>
      <c r="X151" s="2">
        <f t="shared" si="22"/>
        <v>5.8000000000000005E-3</v>
      </c>
      <c r="Z151" s="2">
        <v>389.20001220703102</v>
      </c>
      <c r="AA151" s="2">
        <f t="shared" si="23"/>
        <v>0.312</v>
      </c>
      <c r="AB151" s="2">
        <v>-8.2889996469020802E-2</v>
      </c>
      <c r="AC151" s="2">
        <f t="shared" si="24"/>
        <v>5.8000000000000005E-3</v>
      </c>
    </row>
    <row r="152" spans="1:29" x14ac:dyDescent="0.25">
      <c r="A152" s="2">
        <v>180.89999389648401</v>
      </c>
      <c r="B152" s="2">
        <f t="shared" si="13"/>
        <v>0.14529999999999998</v>
      </c>
      <c r="C152" s="2">
        <v>-0.402520000934601</v>
      </c>
      <c r="D152" s="2">
        <f t="shared" si="14"/>
        <v>5.8000000000000005E-3</v>
      </c>
      <c r="F152" s="2">
        <v>96.300003051757798</v>
      </c>
      <c r="G152" s="2">
        <f t="shared" si="15"/>
        <v>7.7700000000000005E-2</v>
      </c>
      <c r="H152" s="2">
        <v>-0.35163998603820801</v>
      </c>
      <c r="I152" s="2">
        <f t="shared" si="16"/>
        <v>5.8000000000000005E-3</v>
      </c>
      <c r="K152" s="2">
        <v>86.900001525878906</v>
      </c>
      <c r="L152" s="2">
        <f t="shared" si="17"/>
        <v>7.010000000000001E-2</v>
      </c>
      <c r="M152" s="2">
        <v>-0.30180001258850098</v>
      </c>
      <c r="N152" s="2">
        <f t="shared" si="18"/>
        <v>5.8000000000000005E-3</v>
      </c>
      <c r="P152" s="2">
        <v>323.79998779296898</v>
      </c>
      <c r="Q152" s="2">
        <f t="shared" si="19"/>
        <v>0.25969999999999999</v>
      </c>
      <c r="R152" s="2">
        <v>-0.226689994335175</v>
      </c>
      <c r="S152" s="2">
        <f t="shared" si="20"/>
        <v>5.8000000000000005E-3</v>
      </c>
      <c r="U152" s="2">
        <v>202.5</v>
      </c>
      <c r="V152" s="2">
        <f t="shared" si="21"/>
        <v>0.16259999999999999</v>
      </c>
      <c r="W152" s="2">
        <v>-0.19118000566959401</v>
      </c>
      <c r="X152" s="2">
        <f t="shared" si="22"/>
        <v>5.8000000000000005E-3</v>
      </c>
      <c r="Z152" s="2">
        <v>391.10000610351602</v>
      </c>
      <c r="AA152" s="2">
        <f t="shared" si="23"/>
        <v>0.3135</v>
      </c>
      <c r="AB152" s="2">
        <v>-8.0310001969337505E-2</v>
      </c>
      <c r="AC152" s="2">
        <f t="shared" si="24"/>
        <v>5.8000000000000005E-3</v>
      </c>
    </row>
    <row r="153" spans="1:29" x14ac:dyDescent="0.25">
      <c r="A153" s="2">
        <v>182.5</v>
      </c>
      <c r="B153" s="2">
        <f t="shared" si="13"/>
        <v>0.14659999999999998</v>
      </c>
      <c r="C153" s="2">
        <v>-0.40246000885963401</v>
      </c>
      <c r="D153" s="2">
        <f t="shared" si="14"/>
        <v>5.8000000000000005E-3</v>
      </c>
      <c r="F153" s="2">
        <v>96.900001525878906</v>
      </c>
      <c r="G153" s="2">
        <f t="shared" si="15"/>
        <v>7.8100000000000003E-2</v>
      </c>
      <c r="H153" s="2">
        <v>-0.35163998603820801</v>
      </c>
      <c r="I153" s="2">
        <f t="shared" si="16"/>
        <v>5.8000000000000005E-3</v>
      </c>
      <c r="K153" s="2">
        <v>89</v>
      </c>
      <c r="L153" s="2">
        <f t="shared" si="17"/>
        <v>7.1800000000000003E-2</v>
      </c>
      <c r="M153" s="2">
        <v>-0.301779985427856</v>
      </c>
      <c r="N153" s="2">
        <f t="shared" si="18"/>
        <v>5.8000000000000005E-3</v>
      </c>
      <c r="P153" s="2">
        <v>327.39999389648398</v>
      </c>
      <c r="Q153" s="2">
        <f t="shared" si="19"/>
        <v>0.26250000000000001</v>
      </c>
      <c r="R153" s="2">
        <v>-0.22520999610424</v>
      </c>
      <c r="S153" s="2">
        <f t="shared" si="20"/>
        <v>5.8000000000000005E-3</v>
      </c>
      <c r="U153" s="2">
        <v>207.69999694824199</v>
      </c>
      <c r="V153" s="2">
        <f t="shared" si="21"/>
        <v>0.16679999999999998</v>
      </c>
      <c r="W153" s="2">
        <v>-0.19107000529766099</v>
      </c>
      <c r="X153" s="2">
        <f t="shared" si="22"/>
        <v>5.8000000000000005E-3</v>
      </c>
      <c r="Z153" s="2">
        <v>395.39999389648398</v>
      </c>
      <c r="AA153" s="2">
        <f t="shared" si="23"/>
        <v>0.31690000000000002</v>
      </c>
      <c r="AB153" s="2">
        <v>-7.6629996299743694E-2</v>
      </c>
      <c r="AC153" s="2">
        <f t="shared" si="24"/>
        <v>5.8000000000000005E-3</v>
      </c>
    </row>
    <row r="154" spans="1:29" x14ac:dyDescent="0.25">
      <c r="A154" s="2">
        <v>184.30000305175801</v>
      </c>
      <c r="B154" s="2">
        <f t="shared" si="13"/>
        <v>0.14809999999999998</v>
      </c>
      <c r="C154" s="2">
        <v>-0.40220999717712402</v>
      </c>
      <c r="D154" s="2">
        <f t="shared" si="14"/>
        <v>5.8000000000000005E-3</v>
      </c>
      <c r="F154" s="2">
        <v>96.900001525878906</v>
      </c>
      <c r="G154" s="2">
        <f t="shared" si="15"/>
        <v>7.8100000000000003E-2</v>
      </c>
      <c r="H154" s="2">
        <v>-0.35163998603820801</v>
      </c>
      <c r="I154" s="2">
        <f t="shared" si="16"/>
        <v>5.8000000000000005E-3</v>
      </c>
      <c r="K154" s="2">
        <v>95.699996948242202</v>
      </c>
      <c r="L154" s="2">
        <f t="shared" si="17"/>
        <v>7.7200000000000005E-2</v>
      </c>
      <c r="M154" s="2">
        <v>-0.30171000957489003</v>
      </c>
      <c r="N154" s="2">
        <f t="shared" si="18"/>
        <v>5.8000000000000005E-3</v>
      </c>
      <c r="P154" s="2">
        <v>331</v>
      </c>
      <c r="Q154" s="2">
        <f t="shared" si="19"/>
        <v>0.26539999999999997</v>
      </c>
      <c r="R154" s="2">
        <v>-0.22330999374389601</v>
      </c>
      <c r="S154" s="2">
        <f t="shared" si="20"/>
        <v>5.8000000000000005E-3</v>
      </c>
      <c r="U154" s="2">
        <v>211.10000610351599</v>
      </c>
      <c r="V154" s="2">
        <f t="shared" si="21"/>
        <v>0.16949999999999998</v>
      </c>
      <c r="W154" s="2">
        <v>-0.19100999832153301</v>
      </c>
      <c r="X154" s="2">
        <f t="shared" si="22"/>
        <v>5.8000000000000005E-3</v>
      </c>
      <c r="Z154" s="2">
        <v>396.29998779296898</v>
      </c>
      <c r="AA154" s="2">
        <f t="shared" si="23"/>
        <v>0.31769999999999998</v>
      </c>
      <c r="AB154" s="2">
        <v>-7.5709998607635498E-2</v>
      </c>
      <c r="AC154" s="2">
        <f t="shared" si="24"/>
        <v>5.8000000000000005E-3</v>
      </c>
    </row>
    <row r="155" spans="1:29" x14ac:dyDescent="0.25">
      <c r="A155" s="2">
        <v>186</v>
      </c>
      <c r="B155" s="2">
        <f t="shared" si="13"/>
        <v>0.14939999999999998</v>
      </c>
      <c r="C155" s="2">
        <v>-0.40218999981880199</v>
      </c>
      <c r="D155" s="2">
        <f t="shared" si="14"/>
        <v>5.8000000000000005E-3</v>
      </c>
      <c r="F155" s="2">
        <v>96.900001525878906</v>
      </c>
      <c r="G155" s="2">
        <f t="shared" si="15"/>
        <v>7.8100000000000003E-2</v>
      </c>
      <c r="H155" s="2">
        <v>-0.35163998603820801</v>
      </c>
      <c r="I155" s="2">
        <f t="shared" si="16"/>
        <v>5.8000000000000005E-3</v>
      </c>
      <c r="K155" s="2">
        <v>97.699996948242202</v>
      </c>
      <c r="L155" s="2">
        <f t="shared" si="17"/>
        <v>7.8800000000000009E-2</v>
      </c>
      <c r="M155" s="2">
        <v>-0.30169999599456798</v>
      </c>
      <c r="N155" s="2">
        <f t="shared" si="18"/>
        <v>5.8000000000000005E-3</v>
      </c>
      <c r="P155" s="2">
        <v>332.79998779296898</v>
      </c>
      <c r="Q155" s="2">
        <f t="shared" si="19"/>
        <v>0.26689999999999997</v>
      </c>
      <c r="R155" s="2">
        <v>-0.22274999320507</v>
      </c>
      <c r="S155" s="2">
        <f t="shared" si="20"/>
        <v>5.8000000000000005E-3</v>
      </c>
      <c r="U155" s="2">
        <v>212</v>
      </c>
      <c r="V155" s="2">
        <f t="shared" si="21"/>
        <v>0.17019999999999999</v>
      </c>
      <c r="W155" s="2">
        <v>-0.19096000492572801</v>
      </c>
      <c r="X155" s="2">
        <f t="shared" si="22"/>
        <v>5.8000000000000005E-3</v>
      </c>
      <c r="Z155" s="2">
        <v>397.89999389648398</v>
      </c>
      <c r="AA155" s="2">
        <f t="shared" si="23"/>
        <v>0.31889999999999996</v>
      </c>
      <c r="AB155" s="2">
        <v>-7.4670001864433302E-2</v>
      </c>
      <c r="AC155" s="2">
        <f t="shared" si="24"/>
        <v>5.8000000000000005E-3</v>
      </c>
    </row>
    <row r="156" spans="1:29" x14ac:dyDescent="0.25">
      <c r="A156" s="2">
        <v>187.89999389648401</v>
      </c>
      <c r="B156" s="2">
        <f t="shared" si="13"/>
        <v>0.15089999999999998</v>
      </c>
      <c r="C156" s="2">
        <v>-0.40213000774383501</v>
      </c>
      <c r="D156" s="2">
        <f t="shared" si="14"/>
        <v>5.8000000000000005E-3</v>
      </c>
      <c r="F156" s="2">
        <v>98.599998474121094</v>
      </c>
      <c r="G156" s="2">
        <f t="shared" si="15"/>
        <v>7.9500000000000001E-2</v>
      </c>
      <c r="H156" s="2">
        <v>-0.35163000226020802</v>
      </c>
      <c r="I156" s="2">
        <f t="shared" si="16"/>
        <v>5.8000000000000005E-3</v>
      </c>
      <c r="K156" s="2">
        <v>100.90000152587901</v>
      </c>
      <c r="L156" s="2">
        <f t="shared" si="17"/>
        <v>8.1299999999999997E-2</v>
      </c>
      <c r="M156" s="2">
        <v>-0.30167999863624601</v>
      </c>
      <c r="N156" s="2">
        <f t="shared" si="18"/>
        <v>5.8000000000000005E-3</v>
      </c>
      <c r="P156" s="2">
        <v>334.89999389648398</v>
      </c>
      <c r="Q156" s="2">
        <f t="shared" si="19"/>
        <v>0.26850000000000002</v>
      </c>
      <c r="R156" s="2">
        <v>-0.22190000116825101</v>
      </c>
      <c r="S156" s="2">
        <f t="shared" si="20"/>
        <v>5.8000000000000005E-3</v>
      </c>
      <c r="U156" s="2">
        <v>213.30000305175801</v>
      </c>
      <c r="V156" s="2">
        <f t="shared" si="21"/>
        <v>0.17129999999999998</v>
      </c>
      <c r="W156" s="2">
        <v>-0.19090999662876099</v>
      </c>
      <c r="X156" s="2">
        <f t="shared" si="22"/>
        <v>5.8000000000000005E-3</v>
      </c>
      <c r="Z156" s="2">
        <v>399.39999389648398</v>
      </c>
      <c r="AA156" s="2">
        <f t="shared" si="23"/>
        <v>0.3201</v>
      </c>
      <c r="AB156" s="2">
        <v>-7.3009997606277494E-2</v>
      </c>
      <c r="AC156" s="2">
        <f t="shared" si="24"/>
        <v>5.8000000000000005E-3</v>
      </c>
    </row>
    <row r="157" spans="1:29" x14ac:dyDescent="0.25">
      <c r="A157" s="2">
        <v>187.89999389648401</v>
      </c>
      <c r="B157" s="2">
        <f t="shared" si="13"/>
        <v>0.15089999999999998</v>
      </c>
      <c r="C157" s="2">
        <v>-0.40204998850822399</v>
      </c>
      <c r="D157" s="2">
        <f t="shared" si="14"/>
        <v>5.8000000000000005E-3</v>
      </c>
      <c r="F157" s="2">
        <v>100.40000152587901</v>
      </c>
      <c r="G157" s="2">
        <f t="shared" si="15"/>
        <v>8.09E-2</v>
      </c>
      <c r="H157" s="2">
        <v>-0.35161998867988598</v>
      </c>
      <c r="I157" s="2">
        <f t="shared" si="16"/>
        <v>5.8000000000000005E-3</v>
      </c>
      <c r="K157" s="2">
        <v>101.09999847412099</v>
      </c>
      <c r="L157" s="2">
        <f t="shared" si="17"/>
        <v>8.1500000000000003E-2</v>
      </c>
      <c r="M157" s="2">
        <v>-0.30167001485824602</v>
      </c>
      <c r="N157" s="2">
        <f t="shared" si="18"/>
        <v>5.8000000000000005E-3</v>
      </c>
      <c r="P157" s="2">
        <v>336.79998779296898</v>
      </c>
      <c r="Q157" s="2">
        <f t="shared" si="19"/>
        <v>0.27010000000000001</v>
      </c>
      <c r="R157" s="2">
        <v>-0.221070006489754</v>
      </c>
      <c r="S157" s="2">
        <f t="shared" si="20"/>
        <v>5.8000000000000005E-3</v>
      </c>
      <c r="U157" s="2">
        <v>214.60000610351599</v>
      </c>
      <c r="V157" s="2">
        <f t="shared" si="21"/>
        <v>0.17229999999999998</v>
      </c>
      <c r="W157" s="2">
        <v>-0.190850004553795</v>
      </c>
      <c r="X157" s="2">
        <f t="shared" si="22"/>
        <v>5.8000000000000005E-3</v>
      </c>
      <c r="Z157" s="2">
        <v>399.5</v>
      </c>
      <c r="AA157" s="2">
        <f t="shared" si="23"/>
        <v>0.32019999999999998</v>
      </c>
      <c r="AB157" s="2">
        <v>-7.2990000247955295E-2</v>
      </c>
      <c r="AC157" s="2">
        <f t="shared" si="24"/>
        <v>5.8000000000000005E-3</v>
      </c>
    </row>
    <row r="158" spans="1:29" x14ac:dyDescent="0.25">
      <c r="A158" s="2">
        <v>189.5</v>
      </c>
      <c r="B158" s="2">
        <f t="shared" si="13"/>
        <v>0.1522</v>
      </c>
      <c r="C158" s="2">
        <v>-0.40196999907493602</v>
      </c>
      <c r="D158" s="2">
        <f t="shared" si="14"/>
        <v>5.8000000000000005E-3</v>
      </c>
      <c r="F158" s="2">
        <v>102.699996948242</v>
      </c>
      <c r="G158" s="2">
        <f t="shared" si="15"/>
        <v>8.2799999999999999E-2</v>
      </c>
      <c r="H158" s="2">
        <v>-0.351599991321564</v>
      </c>
      <c r="I158" s="2">
        <f t="shared" si="16"/>
        <v>5.8000000000000005E-3</v>
      </c>
      <c r="K158" s="2">
        <v>100.90000152587901</v>
      </c>
      <c r="L158" s="2">
        <f t="shared" si="17"/>
        <v>8.1299999999999997E-2</v>
      </c>
      <c r="M158" s="2">
        <v>-0.30164998769760099</v>
      </c>
      <c r="N158" s="2">
        <f t="shared" si="18"/>
        <v>5.8000000000000005E-3</v>
      </c>
      <c r="P158" s="2">
        <v>339.79998779296898</v>
      </c>
      <c r="Q158" s="2">
        <f t="shared" si="19"/>
        <v>0.27249999999999996</v>
      </c>
      <c r="R158" s="2">
        <v>-0.219400003552437</v>
      </c>
      <c r="S158" s="2">
        <f t="shared" si="20"/>
        <v>5.8000000000000005E-3</v>
      </c>
      <c r="U158" s="2">
        <v>215.60000610351599</v>
      </c>
      <c r="V158" s="2">
        <f t="shared" si="21"/>
        <v>0.17309999999999998</v>
      </c>
      <c r="W158" s="2">
        <v>-0.190799996256828</v>
      </c>
      <c r="X158" s="2">
        <f t="shared" si="22"/>
        <v>5.8000000000000005E-3</v>
      </c>
      <c r="Z158" s="2">
        <v>399.29998779296898</v>
      </c>
      <c r="AA158" s="2">
        <f t="shared" si="23"/>
        <v>0.3201</v>
      </c>
      <c r="AB158" s="2">
        <v>-7.2990000247955295E-2</v>
      </c>
      <c r="AC158" s="2">
        <f t="shared" si="24"/>
        <v>5.8000000000000005E-3</v>
      </c>
    </row>
    <row r="159" spans="1:29" x14ac:dyDescent="0.25">
      <c r="A159" s="2">
        <v>193.39999389648401</v>
      </c>
      <c r="B159" s="2">
        <f t="shared" si="13"/>
        <v>0.15529999999999999</v>
      </c>
      <c r="C159" s="2">
        <v>-0.40167000889778098</v>
      </c>
      <c r="D159" s="2">
        <f t="shared" si="14"/>
        <v>5.8000000000000005E-3</v>
      </c>
      <c r="F159" s="2">
        <v>102.199996948242</v>
      </c>
      <c r="G159" s="2">
        <f t="shared" si="15"/>
        <v>8.2400000000000001E-2</v>
      </c>
      <c r="H159" s="2">
        <v>-0.35157999396324202</v>
      </c>
      <c r="I159" s="2">
        <f t="shared" si="16"/>
        <v>5.8000000000000005E-3</v>
      </c>
      <c r="K159" s="2">
        <v>103.5</v>
      </c>
      <c r="L159" s="2">
        <f t="shared" si="17"/>
        <v>8.3400000000000002E-2</v>
      </c>
      <c r="M159" s="2">
        <v>-0.301640003919601</v>
      </c>
      <c r="N159" s="2">
        <f t="shared" si="18"/>
        <v>5.8000000000000005E-3</v>
      </c>
      <c r="P159" s="2">
        <v>340</v>
      </c>
      <c r="Q159" s="2">
        <f t="shared" si="19"/>
        <v>0.27260000000000001</v>
      </c>
      <c r="R159" s="2">
        <v>-0.21938000619411499</v>
      </c>
      <c r="S159" s="2">
        <f t="shared" si="20"/>
        <v>5.8000000000000005E-3</v>
      </c>
      <c r="U159" s="2">
        <v>216.69999694824199</v>
      </c>
      <c r="V159" s="2">
        <f t="shared" si="21"/>
        <v>0.17399999999999999</v>
      </c>
      <c r="W159" s="2">
        <v>-0.19076000154018399</v>
      </c>
      <c r="X159" s="2">
        <f t="shared" si="22"/>
        <v>5.8000000000000005E-3</v>
      </c>
      <c r="Z159" s="2">
        <v>399.20001220703102</v>
      </c>
      <c r="AA159" s="2">
        <f t="shared" si="23"/>
        <v>0.32</v>
      </c>
      <c r="AB159" s="2">
        <v>-7.2990000247955295E-2</v>
      </c>
      <c r="AC159" s="2">
        <f t="shared" si="24"/>
        <v>5.8000000000000005E-3</v>
      </c>
    </row>
    <row r="160" spans="1:29" x14ac:dyDescent="0.25">
      <c r="A160" s="2">
        <v>195</v>
      </c>
      <c r="B160" s="2">
        <f t="shared" si="13"/>
        <v>0.15659999999999999</v>
      </c>
      <c r="C160" s="2">
        <v>-0.40145000815391502</v>
      </c>
      <c r="D160" s="2">
        <f t="shared" si="14"/>
        <v>5.8000000000000005E-3</v>
      </c>
      <c r="F160" s="2">
        <v>102.199996948242</v>
      </c>
      <c r="G160" s="2">
        <f t="shared" si="15"/>
        <v>8.2400000000000001E-2</v>
      </c>
      <c r="H160" s="2">
        <v>-0.35157001018524198</v>
      </c>
      <c r="I160" s="2">
        <f t="shared" si="16"/>
        <v>5.8000000000000005E-3</v>
      </c>
      <c r="K160" s="2">
        <v>105.5</v>
      </c>
      <c r="L160" s="2">
        <f t="shared" si="17"/>
        <v>8.5000000000000006E-2</v>
      </c>
      <c r="M160" s="2">
        <v>-0.30162999033927901</v>
      </c>
      <c r="N160" s="2">
        <f t="shared" si="18"/>
        <v>5.8000000000000005E-3</v>
      </c>
      <c r="P160" s="2">
        <v>343.20001220703102</v>
      </c>
      <c r="Q160" s="2">
        <f t="shared" si="19"/>
        <v>0.2752</v>
      </c>
      <c r="R160" s="2">
        <v>-0.217789992690086</v>
      </c>
      <c r="S160" s="2">
        <f t="shared" si="20"/>
        <v>5.8000000000000005E-3</v>
      </c>
      <c r="U160" s="2">
        <v>218.10000610351599</v>
      </c>
      <c r="V160" s="2">
        <f t="shared" si="21"/>
        <v>0.17509999999999998</v>
      </c>
      <c r="W160" s="2">
        <v>-0.19072000682354001</v>
      </c>
      <c r="X160" s="2">
        <f t="shared" si="22"/>
        <v>5.8000000000000005E-3</v>
      </c>
      <c r="Z160" s="2">
        <v>399.39999389648398</v>
      </c>
      <c r="AA160" s="2">
        <f t="shared" si="23"/>
        <v>0.3201</v>
      </c>
      <c r="AB160" s="2">
        <v>-7.2980001568794306E-2</v>
      </c>
      <c r="AC160" s="2">
        <f t="shared" si="24"/>
        <v>5.8000000000000005E-3</v>
      </c>
    </row>
    <row r="161" spans="1:29" x14ac:dyDescent="0.25">
      <c r="A161" s="2">
        <v>196.5</v>
      </c>
      <c r="B161" s="2">
        <f t="shared" si="13"/>
        <v>0.1578</v>
      </c>
      <c r="C161" s="2">
        <v>-0.40141001343727101</v>
      </c>
      <c r="D161" s="2">
        <f t="shared" si="14"/>
        <v>5.8000000000000005E-3</v>
      </c>
      <c r="F161" s="2">
        <v>102.199996948242</v>
      </c>
      <c r="G161" s="2">
        <f t="shared" si="15"/>
        <v>8.2400000000000001E-2</v>
      </c>
      <c r="H161" s="2">
        <v>-0.35157001018524198</v>
      </c>
      <c r="I161" s="2">
        <f t="shared" si="16"/>
        <v>5.8000000000000005E-3</v>
      </c>
      <c r="K161" s="2">
        <v>108</v>
      </c>
      <c r="L161" s="2">
        <f t="shared" si="17"/>
        <v>8.7000000000000008E-2</v>
      </c>
      <c r="M161" s="2">
        <v>-0.30160999298095698</v>
      </c>
      <c r="N161" s="2">
        <f t="shared" si="18"/>
        <v>5.8000000000000005E-3</v>
      </c>
      <c r="P161" s="2">
        <v>343.29998779296898</v>
      </c>
      <c r="Q161" s="2">
        <f t="shared" si="19"/>
        <v>0.27529999999999999</v>
      </c>
      <c r="R161" s="2">
        <v>-0.21773000061511999</v>
      </c>
      <c r="S161" s="2">
        <f t="shared" si="20"/>
        <v>5.8000000000000005E-3</v>
      </c>
      <c r="U161" s="2">
        <v>219.80000305175801</v>
      </c>
      <c r="V161" s="2">
        <f t="shared" si="21"/>
        <v>0.17649999999999999</v>
      </c>
      <c r="W161" s="2">
        <v>-0.19066999852657299</v>
      </c>
      <c r="X161" s="2">
        <f t="shared" si="22"/>
        <v>5.8000000000000005E-3</v>
      </c>
      <c r="Z161" s="2">
        <v>399.29998779296898</v>
      </c>
      <c r="AA161" s="2">
        <f t="shared" si="23"/>
        <v>0.3201</v>
      </c>
      <c r="AB161" s="2">
        <v>-7.2980001568794306E-2</v>
      </c>
      <c r="AC161" s="2">
        <f t="shared" si="24"/>
        <v>5.8000000000000005E-3</v>
      </c>
    </row>
    <row r="162" spans="1:29" x14ac:dyDescent="0.25">
      <c r="A162" s="2">
        <v>196.69999694824199</v>
      </c>
      <c r="B162" s="2">
        <f t="shared" si="13"/>
        <v>0.158</v>
      </c>
      <c r="C162" s="2">
        <v>-0.401369988918304</v>
      </c>
      <c r="D162" s="2">
        <f t="shared" si="14"/>
        <v>5.8000000000000005E-3</v>
      </c>
      <c r="F162" s="2">
        <v>106.199996948242</v>
      </c>
      <c r="G162" s="2">
        <f t="shared" si="15"/>
        <v>8.5600000000000009E-2</v>
      </c>
      <c r="H162" s="2">
        <v>-0.35155001282692</v>
      </c>
      <c r="I162" s="2">
        <f t="shared" si="16"/>
        <v>5.8000000000000005E-3</v>
      </c>
      <c r="K162" s="2">
        <v>110.800003051758</v>
      </c>
      <c r="L162" s="2">
        <f t="shared" si="17"/>
        <v>8.9300000000000004E-2</v>
      </c>
      <c r="M162" s="2">
        <v>-0.30158001184463501</v>
      </c>
      <c r="N162" s="2">
        <f t="shared" si="18"/>
        <v>5.8000000000000005E-3</v>
      </c>
      <c r="P162" s="2">
        <v>345.70001220703102</v>
      </c>
      <c r="Q162" s="2">
        <f t="shared" si="19"/>
        <v>0.2772</v>
      </c>
      <c r="R162" s="2">
        <v>-0.216380000114441</v>
      </c>
      <c r="S162" s="2">
        <f t="shared" si="20"/>
        <v>5.8000000000000005E-3</v>
      </c>
      <c r="U162" s="2">
        <v>223</v>
      </c>
      <c r="V162" s="2">
        <f t="shared" si="21"/>
        <v>0.17899999999999999</v>
      </c>
      <c r="W162" s="2">
        <v>-0.190439999103546</v>
      </c>
      <c r="X162" s="2">
        <f t="shared" si="22"/>
        <v>5.8000000000000005E-3</v>
      </c>
      <c r="Z162" s="2">
        <v>399.5</v>
      </c>
      <c r="AA162" s="2">
        <f t="shared" si="23"/>
        <v>0.32019999999999998</v>
      </c>
      <c r="AB162" s="2">
        <v>-7.2980001568794306E-2</v>
      </c>
      <c r="AC162" s="2">
        <f t="shared" si="24"/>
        <v>5.8000000000000005E-3</v>
      </c>
    </row>
    <row r="163" spans="1:29" x14ac:dyDescent="0.25">
      <c r="A163" s="2">
        <v>200.19999694824199</v>
      </c>
      <c r="B163" s="2">
        <f t="shared" ref="B163:B226" si="25">ROUNDUP((0.08%*A163+0.001/(SQRT(3))),4)</f>
        <v>0.1608</v>
      </c>
      <c r="C163" s="2">
        <v>-0.40103998780250499</v>
      </c>
      <c r="D163" s="2">
        <f t="shared" ref="D163:D226" si="26">ROUNDUP((0.015%*C163+0.01/(SQRT(3))),4)</f>
        <v>5.8000000000000005E-3</v>
      </c>
      <c r="F163" s="2">
        <v>107.40000152587901</v>
      </c>
      <c r="G163" s="2">
        <f t="shared" ref="G163:G226" si="27">ROUNDUP((0.08%*F163+0.001/(SQRT(3))),4)</f>
        <v>8.6500000000000007E-2</v>
      </c>
      <c r="H163" s="2">
        <v>-0.35152998566627502</v>
      </c>
      <c r="I163" s="2">
        <f t="shared" ref="I163:I226" si="28">ROUNDUP((0.015%*H163+0.01/(SQRT(3))),4)</f>
        <v>5.8000000000000005E-3</v>
      </c>
      <c r="K163" s="2">
        <v>111.5</v>
      </c>
      <c r="L163" s="2">
        <f t="shared" ref="L163:L226" si="29">ROUNDUP((0.08%*K163+0.001/(SQRT(3))),4)</f>
        <v>8.9800000000000005E-2</v>
      </c>
      <c r="M163" s="2">
        <v>-0.30155000090599099</v>
      </c>
      <c r="N163" s="2">
        <f t="shared" ref="N163:N226" si="30">ROUNDUP((0.015%*M163+0.01/(SQRT(3))),4)</f>
        <v>5.8000000000000005E-3</v>
      </c>
      <c r="P163" s="2">
        <v>346.60000610351602</v>
      </c>
      <c r="Q163" s="2">
        <f t="shared" ref="Q163:Q226" si="31">ROUNDUP((0.08%*P163+0.001/(SQRT(3))),4)</f>
        <v>0.27789999999999998</v>
      </c>
      <c r="R163" s="2">
        <v>-0.21584999561309801</v>
      </c>
      <c r="S163" s="2">
        <f t="shared" ref="S163:S226" si="32">ROUNDUP((0.015%*R163+0.01/(SQRT(3))),4)</f>
        <v>5.8000000000000005E-3</v>
      </c>
      <c r="U163" s="2">
        <v>225</v>
      </c>
      <c r="V163" s="2">
        <f t="shared" ref="V163:V226" si="33">ROUNDUP((0.08%*U163+0.001/(SQRT(3))),4)</f>
        <v>0.18059999999999998</v>
      </c>
      <c r="W163" s="2">
        <v>-0.190420001745224</v>
      </c>
      <c r="X163" s="2">
        <f t="shared" ref="X163:X226" si="34">ROUNDUP((0.015%*W163+0.01/(SQRT(3))),4)</f>
        <v>5.8000000000000005E-3</v>
      </c>
      <c r="Z163" s="2">
        <v>399.39999389648398</v>
      </c>
      <c r="AA163" s="2">
        <f t="shared" ref="AA163:AA191" si="35">ROUNDUP((0.08%*Z163+0.001/(SQRT(3))),4)</f>
        <v>0.3201</v>
      </c>
      <c r="AB163" s="2">
        <v>-7.2980001568794306E-2</v>
      </c>
      <c r="AC163" s="2">
        <f t="shared" ref="AC163:AC191" si="36">ROUNDUP((0.015%*AB163+0.01/(SQRT(3))),4)</f>
        <v>5.8000000000000005E-3</v>
      </c>
    </row>
    <row r="164" spans="1:29" x14ac:dyDescent="0.25">
      <c r="A164" s="2">
        <v>200.30000305175801</v>
      </c>
      <c r="B164" s="2">
        <f t="shared" si="25"/>
        <v>0.16089999999999999</v>
      </c>
      <c r="C164" s="2">
        <v>-0.40101999044418302</v>
      </c>
      <c r="D164" s="2">
        <f t="shared" si="26"/>
        <v>5.8000000000000005E-3</v>
      </c>
      <c r="F164" s="2">
        <v>107.699996948242</v>
      </c>
      <c r="G164" s="2">
        <f t="shared" si="27"/>
        <v>8.6800000000000002E-2</v>
      </c>
      <c r="H164" s="2">
        <v>-0.35152000188827498</v>
      </c>
      <c r="I164" s="2">
        <f t="shared" si="28"/>
        <v>5.8000000000000005E-3</v>
      </c>
      <c r="K164" s="2">
        <v>111.5</v>
      </c>
      <c r="L164" s="2">
        <f t="shared" si="29"/>
        <v>8.9800000000000005E-2</v>
      </c>
      <c r="M164" s="2">
        <v>-0.301539987325668</v>
      </c>
      <c r="N164" s="2">
        <f t="shared" si="30"/>
        <v>5.8000000000000005E-3</v>
      </c>
      <c r="P164" s="2">
        <v>352.39999389648398</v>
      </c>
      <c r="Q164" s="2">
        <f t="shared" si="31"/>
        <v>0.28249999999999997</v>
      </c>
      <c r="R164" s="2">
        <v>-0.21186999976634999</v>
      </c>
      <c r="S164" s="2">
        <f t="shared" si="32"/>
        <v>5.8000000000000005E-3</v>
      </c>
      <c r="U164" s="2">
        <v>229.69999694824199</v>
      </c>
      <c r="V164" s="2">
        <f t="shared" si="33"/>
        <v>0.18439999999999998</v>
      </c>
      <c r="W164" s="2">
        <v>-0.190200001001358</v>
      </c>
      <c r="X164" s="2">
        <f t="shared" si="34"/>
        <v>5.8000000000000005E-3</v>
      </c>
      <c r="Z164" s="2">
        <v>399.89999389648398</v>
      </c>
      <c r="AA164" s="2">
        <f t="shared" si="35"/>
        <v>0.32050000000000001</v>
      </c>
      <c r="AB164" s="2">
        <v>-7.2679996490478502E-2</v>
      </c>
      <c r="AC164" s="2">
        <f t="shared" si="36"/>
        <v>5.8000000000000005E-3</v>
      </c>
    </row>
    <row r="165" spans="1:29" x14ac:dyDescent="0.25">
      <c r="A165" s="2">
        <v>201.69999694824199</v>
      </c>
      <c r="B165" s="2">
        <f t="shared" si="25"/>
        <v>0.16199999999999998</v>
      </c>
      <c r="C165" s="2">
        <v>-0.400990009307861</v>
      </c>
      <c r="D165" s="2">
        <f t="shared" si="26"/>
        <v>5.8000000000000005E-3</v>
      </c>
      <c r="F165" s="2">
        <v>111</v>
      </c>
      <c r="G165" s="2">
        <f t="shared" si="27"/>
        <v>8.9400000000000007E-2</v>
      </c>
      <c r="H165" s="2">
        <v>-0.35148000717163103</v>
      </c>
      <c r="I165" s="2">
        <f t="shared" si="28"/>
        <v>5.8000000000000005E-3</v>
      </c>
      <c r="K165" s="2">
        <v>112.90000152587901</v>
      </c>
      <c r="L165" s="2">
        <f t="shared" si="29"/>
        <v>9.0900000000000009E-2</v>
      </c>
      <c r="M165" s="2">
        <v>-0.30153000354766801</v>
      </c>
      <c r="N165" s="2">
        <f t="shared" si="30"/>
        <v>5.8000000000000005E-3</v>
      </c>
      <c r="P165" s="2">
        <v>356.20001220703102</v>
      </c>
      <c r="Q165" s="2">
        <f t="shared" si="31"/>
        <v>0.28559999999999997</v>
      </c>
      <c r="R165" s="2">
        <v>-0.209659993648529</v>
      </c>
      <c r="S165" s="2">
        <f t="shared" si="32"/>
        <v>5.8000000000000005E-3</v>
      </c>
      <c r="U165" s="2">
        <v>230.19999694824199</v>
      </c>
      <c r="V165" s="2">
        <f t="shared" si="33"/>
        <v>0.18479999999999999</v>
      </c>
      <c r="W165" s="2">
        <v>-0.19016000628471399</v>
      </c>
      <c r="X165" s="2">
        <f t="shared" si="34"/>
        <v>5.8000000000000005E-3</v>
      </c>
      <c r="Z165" s="2">
        <v>403</v>
      </c>
      <c r="AA165" s="2">
        <f t="shared" si="35"/>
        <v>0.32300000000000001</v>
      </c>
      <c r="AB165" s="2">
        <v>-6.8479999899864197E-2</v>
      </c>
      <c r="AC165" s="2">
        <f t="shared" si="36"/>
        <v>5.8000000000000005E-3</v>
      </c>
    </row>
    <row r="166" spans="1:29" x14ac:dyDescent="0.25">
      <c r="A166" s="2">
        <v>202.89999389648401</v>
      </c>
      <c r="B166" s="2">
        <f t="shared" si="25"/>
        <v>0.16289999999999999</v>
      </c>
      <c r="C166" s="2">
        <v>-0.400940001010895</v>
      </c>
      <c r="D166" s="2">
        <f t="shared" si="26"/>
        <v>5.8000000000000005E-3</v>
      </c>
      <c r="F166" s="2">
        <v>112.59999847412099</v>
      </c>
      <c r="G166" s="2">
        <f t="shared" si="27"/>
        <v>9.0700000000000003E-2</v>
      </c>
      <c r="H166" s="2">
        <v>-0.351410001516342</v>
      </c>
      <c r="I166" s="2">
        <f t="shared" si="28"/>
        <v>5.8000000000000005E-3</v>
      </c>
      <c r="K166" s="2">
        <v>113.199996948242</v>
      </c>
      <c r="L166" s="2">
        <f t="shared" si="29"/>
        <v>9.1200000000000003E-2</v>
      </c>
      <c r="M166" s="2">
        <v>-0.30153000354766801</v>
      </c>
      <c r="N166" s="2">
        <f t="shared" si="30"/>
        <v>5.8000000000000005E-3</v>
      </c>
      <c r="P166" s="2">
        <v>359.10000610351602</v>
      </c>
      <c r="Q166" s="2">
        <f t="shared" si="31"/>
        <v>0.28789999999999999</v>
      </c>
      <c r="R166" s="2">
        <v>-0.20784999430179599</v>
      </c>
      <c r="S166" s="2">
        <f t="shared" si="32"/>
        <v>5.8000000000000005E-3</v>
      </c>
      <c r="U166" s="2">
        <v>230.19999694824199</v>
      </c>
      <c r="V166" s="2">
        <f t="shared" si="33"/>
        <v>0.18479999999999999</v>
      </c>
      <c r="W166" s="2">
        <v>-0.190109997987747</v>
      </c>
      <c r="X166" s="2">
        <f t="shared" si="34"/>
        <v>5.8000000000000005E-3</v>
      </c>
      <c r="Z166" s="2">
        <v>403.39999389648398</v>
      </c>
      <c r="AA166" s="2">
        <f t="shared" si="35"/>
        <v>0.32329999999999998</v>
      </c>
      <c r="AB166" s="2">
        <v>-6.7100003361701993E-2</v>
      </c>
      <c r="AC166" s="2">
        <f t="shared" si="36"/>
        <v>5.8000000000000005E-3</v>
      </c>
    </row>
    <row r="167" spans="1:29" x14ac:dyDescent="0.25">
      <c r="A167" s="2">
        <v>209.19999694824199</v>
      </c>
      <c r="B167" s="2">
        <f t="shared" si="25"/>
        <v>0.16799999999999998</v>
      </c>
      <c r="C167" s="2">
        <v>-0.40022999048232999</v>
      </c>
      <c r="D167" s="2">
        <f t="shared" si="26"/>
        <v>5.8000000000000005E-3</v>
      </c>
      <c r="F167" s="2">
        <v>112.59999847412099</v>
      </c>
      <c r="G167" s="2">
        <f t="shared" si="27"/>
        <v>9.0700000000000003E-2</v>
      </c>
      <c r="H167" s="2">
        <v>-0.351410001516342</v>
      </c>
      <c r="I167" s="2">
        <f t="shared" si="28"/>
        <v>5.8000000000000005E-3</v>
      </c>
      <c r="K167" s="2">
        <v>115</v>
      </c>
      <c r="L167" s="2">
        <f t="shared" si="29"/>
        <v>9.2600000000000002E-2</v>
      </c>
      <c r="M167" s="2">
        <v>-0.30153000354766801</v>
      </c>
      <c r="N167" s="2">
        <f t="shared" si="30"/>
        <v>5.8000000000000005E-3</v>
      </c>
      <c r="P167" s="2">
        <v>362.5</v>
      </c>
      <c r="Q167" s="2">
        <f t="shared" si="31"/>
        <v>0.29059999999999997</v>
      </c>
      <c r="R167" s="2">
        <v>-0.20502999424934401</v>
      </c>
      <c r="S167" s="2">
        <f t="shared" si="32"/>
        <v>5.8000000000000005E-3</v>
      </c>
      <c r="U167" s="2">
        <v>230.19999694824199</v>
      </c>
      <c r="V167" s="2">
        <f t="shared" si="33"/>
        <v>0.18479999999999999</v>
      </c>
      <c r="W167" s="2">
        <v>-0.190080001950264</v>
      </c>
      <c r="X167" s="2">
        <f t="shared" si="34"/>
        <v>5.8000000000000005E-3</v>
      </c>
      <c r="Z167" s="2">
        <v>406.20001220703102</v>
      </c>
      <c r="AA167" s="2">
        <f t="shared" si="35"/>
        <v>0.3256</v>
      </c>
      <c r="AB167" s="2">
        <v>-6.5020002424716894E-2</v>
      </c>
      <c r="AC167" s="2">
        <f t="shared" si="36"/>
        <v>5.8000000000000005E-3</v>
      </c>
    </row>
    <row r="168" spans="1:29" x14ac:dyDescent="0.25">
      <c r="A168" s="2">
        <v>210.69999694824199</v>
      </c>
      <c r="B168" s="2">
        <f t="shared" si="25"/>
        <v>0.16919999999999999</v>
      </c>
      <c r="C168" s="2">
        <v>-0.40018999576568598</v>
      </c>
      <c r="D168" s="2">
        <f t="shared" si="26"/>
        <v>5.8000000000000005E-3</v>
      </c>
      <c r="F168" s="2">
        <v>112.59999847412099</v>
      </c>
      <c r="G168" s="2">
        <f t="shared" si="27"/>
        <v>9.0700000000000003E-2</v>
      </c>
      <c r="H168" s="2">
        <v>-0.35141998529434199</v>
      </c>
      <c r="I168" s="2">
        <f t="shared" si="28"/>
        <v>5.8000000000000005E-3</v>
      </c>
      <c r="K168" s="2">
        <v>115.90000152587901</v>
      </c>
      <c r="L168" s="2">
        <f t="shared" si="29"/>
        <v>9.3300000000000008E-2</v>
      </c>
      <c r="M168" s="2">
        <v>-0.30151998996734602</v>
      </c>
      <c r="N168" s="2">
        <f t="shared" si="30"/>
        <v>5.8000000000000005E-3</v>
      </c>
      <c r="P168" s="2">
        <v>371.79998779296898</v>
      </c>
      <c r="Q168" s="2">
        <f t="shared" si="31"/>
        <v>0.29809999999999998</v>
      </c>
      <c r="R168" s="2">
        <v>-0.19688999652862499</v>
      </c>
      <c r="S168" s="2">
        <f t="shared" si="32"/>
        <v>5.8000000000000005E-3</v>
      </c>
      <c r="U168" s="2">
        <v>231.89999389648401</v>
      </c>
      <c r="V168" s="2">
        <f t="shared" si="33"/>
        <v>0.18609999999999999</v>
      </c>
      <c r="W168" s="2">
        <v>-0.19007000327110299</v>
      </c>
      <c r="X168" s="2">
        <f t="shared" si="34"/>
        <v>5.8000000000000005E-3</v>
      </c>
      <c r="Z168" s="2">
        <v>408.70001220703102</v>
      </c>
      <c r="AA168" s="2">
        <f t="shared" si="35"/>
        <v>0.3276</v>
      </c>
      <c r="AB168" s="2">
        <v>-6.1510000377893399E-2</v>
      </c>
      <c r="AC168" s="2">
        <f t="shared" si="36"/>
        <v>5.8000000000000005E-3</v>
      </c>
    </row>
    <row r="169" spans="1:29" x14ac:dyDescent="0.25">
      <c r="A169" s="2">
        <v>210.80000305175801</v>
      </c>
      <c r="B169" s="2">
        <f t="shared" si="25"/>
        <v>0.16929999999999998</v>
      </c>
      <c r="C169" s="2">
        <v>-0.40013000369071999</v>
      </c>
      <c r="D169" s="2">
        <f t="shared" si="26"/>
        <v>5.8000000000000005E-3</v>
      </c>
      <c r="F169" s="2">
        <v>112.59999847412099</v>
      </c>
      <c r="G169" s="2">
        <f t="shared" si="27"/>
        <v>9.0700000000000003E-2</v>
      </c>
      <c r="H169" s="2">
        <v>-0.35141998529434199</v>
      </c>
      <c r="I169" s="2">
        <f t="shared" si="28"/>
        <v>5.8000000000000005E-3</v>
      </c>
      <c r="K169" s="2">
        <v>122</v>
      </c>
      <c r="L169" s="2">
        <f t="shared" si="29"/>
        <v>9.820000000000001E-2</v>
      </c>
      <c r="M169" s="2">
        <v>-0.30145999789237998</v>
      </c>
      <c r="N169" s="2">
        <f t="shared" si="30"/>
        <v>5.8000000000000005E-3</v>
      </c>
      <c r="P169" s="2">
        <v>374.10000610351602</v>
      </c>
      <c r="Q169" s="2">
        <f t="shared" si="31"/>
        <v>0.2999</v>
      </c>
      <c r="R169" s="2">
        <v>-0.19463999569415999</v>
      </c>
      <c r="S169" s="2">
        <f t="shared" si="32"/>
        <v>5.8000000000000005E-3</v>
      </c>
      <c r="U169" s="2">
        <v>233.60000610351599</v>
      </c>
      <c r="V169" s="2">
        <f t="shared" si="33"/>
        <v>0.1875</v>
      </c>
      <c r="W169" s="2">
        <v>-0.190009996294975</v>
      </c>
      <c r="X169" s="2">
        <f t="shared" si="34"/>
        <v>5.8000000000000005E-3</v>
      </c>
      <c r="Z169" s="2">
        <v>411.39999389648398</v>
      </c>
      <c r="AA169" s="2">
        <f t="shared" si="35"/>
        <v>0.32969999999999999</v>
      </c>
      <c r="AB169" s="2">
        <v>-5.8830000460147899E-2</v>
      </c>
      <c r="AC169" s="2">
        <f t="shared" si="36"/>
        <v>5.8000000000000005E-3</v>
      </c>
    </row>
    <row r="170" spans="1:29" x14ac:dyDescent="0.25">
      <c r="A170" s="2">
        <v>212.19999694824199</v>
      </c>
      <c r="B170" s="2">
        <f t="shared" si="25"/>
        <v>0.1704</v>
      </c>
      <c r="C170" s="2">
        <v>-0.40005001425743097</v>
      </c>
      <c r="D170" s="2">
        <f t="shared" si="26"/>
        <v>5.8000000000000005E-3</v>
      </c>
      <c r="F170" s="2">
        <v>112.699996948242</v>
      </c>
      <c r="G170" s="2">
        <f t="shared" si="27"/>
        <v>9.0800000000000006E-2</v>
      </c>
      <c r="H170" s="2">
        <v>-0.35139998793602001</v>
      </c>
      <c r="I170" s="2">
        <f t="shared" si="28"/>
        <v>5.8000000000000005E-3</v>
      </c>
      <c r="K170" s="2">
        <v>124.59999847412099</v>
      </c>
      <c r="L170" s="2">
        <f t="shared" si="29"/>
        <v>0.1003</v>
      </c>
      <c r="M170" s="2">
        <v>-0.30142998695373502</v>
      </c>
      <c r="N170" s="2">
        <f t="shared" si="30"/>
        <v>5.8000000000000005E-3</v>
      </c>
      <c r="P170" s="2">
        <v>376</v>
      </c>
      <c r="Q170" s="2">
        <f t="shared" si="31"/>
        <v>0.3014</v>
      </c>
      <c r="R170" s="2">
        <v>-0.19344000518321999</v>
      </c>
      <c r="S170" s="2">
        <f t="shared" si="32"/>
        <v>5.8000000000000005E-3</v>
      </c>
      <c r="U170" s="2">
        <v>239.5</v>
      </c>
      <c r="V170" s="2">
        <f t="shared" si="33"/>
        <v>0.19219999999999998</v>
      </c>
      <c r="W170" s="2">
        <v>-0.18949000537395499</v>
      </c>
      <c r="X170" s="2">
        <f t="shared" si="34"/>
        <v>5.8000000000000005E-3</v>
      </c>
      <c r="Z170" s="2">
        <v>414</v>
      </c>
      <c r="AA170" s="2">
        <f t="shared" si="35"/>
        <v>0.33179999999999998</v>
      </c>
      <c r="AB170" s="2">
        <v>-5.5059999227523797E-2</v>
      </c>
      <c r="AC170" s="2">
        <f t="shared" si="36"/>
        <v>5.8000000000000005E-3</v>
      </c>
    </row>
    <row r="171" spans="1:29" x14ac:dyDescent="0.25">
      <c r="A171" s="2">
        <v>212.5</v>
      </c>
      <c r="B171" s="2">
        <f t="shared" si="25"/>
        <v>0.1706</v>
      </c>
      <c r="C171" s="2">
        <v>-0.399980008602142</v>
      </c>
      <c r="D171" s="2">
        <f t="shared" si="26"/>
        <v>5.8000000000000005E-3</v>
      </c>
      <c r="F171" s="2">
        <v>112.699996948242</v>
      </c>
      <c r="G171" s="2">
        <f t="shared" si="27"/>
        <v>9.0800000000000006E-2</v>
      </c>
      <c r="H171" s="2">
        <v>-0.35139998793602001</v>
      </c>
      <c r="I171" s="2">
        <f t="shared" si="28"/>
        <v>5.8000000000000005E-3</v>
      </c>
      <c r="K171" s="2">
        <v>129</v>
      </c>
      <c r="L171" s="2">
        <f t="shared" si="29"/>
        <v>0.1038</v>
      </c>
      <c r="M171" s="2">
        <v>-0.30138999223709101</v>
      </c>
      <c r="N171" s="2">
        <f t="shared" si="30"/>
        <v>5.8000000000000005E-3</v>
      </c>
      <c r="P171" s="2">
        <v>377.70001220703102</v>
      </c>
      <c r="Q171" s="2">
        <f t="shared" si="31"/>
        <v>0.30280000000000001</v>
      </c>
      <c r="R171" s="2">
        <v>-0.19145999848842599</v>
      </c>
      <c r="S171" s="2">
        <f t="shared" si="32"/>
        <v>5.8000000000000005E-3</v>
      </c>
      <c r="U171" s="2">
        <v>244.30000305175801</v>
      </c>
      <c r="V171" s="2">
        <f t="shared" si="33"/>
        <v>0.1961</v>
      </c>
      <c r="W171" s="2">
        <v>-0.189270004630089</v>
      </c>
      <c r="X171" s="2">
        <f t="shared" si="34"/>
        <v>5.8000000000000005E-3</v>
      </c>
      <c r="Z171" s="2">
        <v>414.10000610351602</v>
      </c>
      <c r="AA171" s="2">
        <f t="shared" si="35"/>
        <v>0.33189999999999997</v>
      </c>
      <c r="AB171" s="2">
        <v>-5.5050000548362697E-2</v>
      </c>
      <c r="AC171" s="2">
        <f t="shared" si="36"/>
        <v>5.8000000000000005E-3</v>
      </c>
    </row>
    <row r="172" spans="1:29" x14ac:dyDescent="0.25">
      <c r="A172" s="2">
        <v>214.19999694824199</v>
      </c>
      <c r="B172" s="2">
        <f t="shared" si="25"/>
        <v>0.17199999999999999</v>
      </c>
      <c r="C172" s="2">
        <v>-0.39972999691963201</v>
      </c>
      <c r="D172" s="2">
        <f t="shared" si="26"/>
        <v>5.8000000000000005E-3</v>
      </c>
      <c r="F172" s="2">
        <v>112.699996948242</v>
      </c>
      <c r="G172" s="2">
        <f t="shared" si="27"/>
        <v>9.0800000000000006E-2</v>
      </c>
      <c r="H172" s="2">
        <v>-0.35139998793602001</v>
      </c>
      <c r="I172" s="2">
        <f t="shared" si="28"/>
        <v>5.8000000000000005E-3</v>
      </c>
      <c r="K172" s="2">
        <v>134.80000305175801</v>
      </c>
      <c r="L172" s="2">
        <f t="shared" si="29"/>
        <v>0.1085</v>
      </c>
      <c r="M172" s="2">
        <v>-0.30134001374244701</v>
      </c>
      <c r="N172" s="2">
        <f t="shared" si="30"/>
        <v>5.8000000000000005E-3</v>
      </c>
      <c r="P172" s="2">
        <v>378.10000610351602</v>
      </c>
      <c r="Q172" s="2">
        <f t="shared" si="31"/>
        <v>0.30309999999999998</v>
      </c>
      <c r="R172" s="2">
        <v>-0.19098000228404999</v>
      </c>
      <c r="S172" s="2">
        <f t="shared" si="32"/>
        <v>5.8000000000000005E-3</v>
      </c>
      <c r="U172" s="2">
        <v>248.60000610351599</v>
      </c>
      <c r="V172" s="2">
        <f t="shared" si="33"/>
        <v>0.19949999999999998</v>
      </c>
      <c r="W172" s="2">
        <v>-0.18880000710487399</v>
      </c>
      <c r="X172" s="2">
        <f t="shared" si="34"/>
        <v>5.8000000000000005E-3</v>
      </c>
      <c r="Z172" s="2">
        <v>416.70001220703102</v>
      </c>
      <c r="AA172" s="2">
        <f t="shared" si="35"/>
        <v>0.33399999999999996</v>
      </c>
      <c r="AB172" s="2">
        <v>-5.1049999892711598E-2</v>
      </c>
      <c r="AC172" s="2">
        <f t="shared" si="36"/>
        <v>5.8000000000000005E-3</v>
      </c>
    </row>
    <row r="173" spans="1:29" x14ac:dyDescent="0.25">
      <c r="A173" s="2">
        <v>215.89999389648401</v>
      </c>
      <c r="B173" s="2">
        <f t="shared" si="25"/>
        <v>0.17329999999999998</v>
      </c>
      <c r="C173" s="2">
        <v>-0.39952000975608798</v>
      </c>
      <c r="D173" s="2">
        <f t="shared" si="26"/>
        <v>5.8000000000000005E-3</v>
      </c>
      <c r="F173" s="2">
        <v>112.699996948242</v>
      </c>
      <c r="G173" s="2">
        <f t="shared" si="27"/>
        <v>9.0800000000000006E-2</v>
      </c>
      <c r="H173" s="2">
        <v>-0.35139998793602001</v>
      </c>
      <c r="I173" s="2">
        <f t="shared" si="28"/>
        <v>5.8000000000000005E-3</v>
      </c>
      <c r="K173" s="2">
        <v>139.10000610351599</v>
      </c>
      <c r="L173" s="2">
        <f t="shared" si="29"/>
        <v>0.1119</v>
      </c>
      <c r="M173" s="2">
        <v>-0.30127000808715798</v>
      </c>
      <c r="N173" s="2">
        <f t="shared" si="30"/>
        <v>5.8000000000000005E-3</v>
      </c>
      <c r="P173" s="2">
        <v>379</v>
      </c>
      <c r="Q173" s="2">
        <f t="shared" si="31"/>
        <v>0.30380000000000001</v>
      </c>
      <c r="R173" s="2">
        <v>-0.18995000422000899</v>
      </c>
      <c r="S173" s="2">
        <f t="shared" si="32"/>
        <v>5.8000000000000005E-3</v>
      </c>
      <c r="U173" s="2">
        <v>250.39999389648401</v>
      </c>
      <c r="V173" s="2">
        <f t="shared" si="33"/>
        <v>0.2009</v>
      </c>
      <c r="W173" s="2">
        <v>-0.188769996166229</v>
      </c>
      <c r="X173" s="2">
        <f t="shared" si="34"/>
        <v>5.8000000000000005E-3</v>
      </c>
      <c r="Z173" s="2">
        <v>416.79998779296898</v>
      </c>
      <c r="AA173" s="2">
        <f t="shared" si="35"/>
        <v>0.33410000000000001</v>
      </c>
      <c r="AB173" s="2">
        <v>-5.1910001784563099E-2</v>
      </c>
      <c r="AC173" s="2">
        <f t="shared" si="36"/>
        <v>5.8000000000000005E-3</v>
      </c>
    </row>
    <row r="174" spans="1:29" x14ac:dyDescent="0.25">
      <c r="A174" s="2">
        <v>217.69999694824199</v>
      </c>
      <c r="B174" s="2">
        <f t="shared" si="25"/>
        <v>0.17479999999999998</v>
      </c>
      <c r="C174" s="2">
        <v>-0.39947000145912198</v>
      </c>
      <c r="D174" s="2">
        <f t="shared" si="26"/>
        <v>5.8000000000000005E-3</v>
      </c>
      <c r="F174" s="2">
        <v>112.699996948242</v>
      </c>
      <c r="G174" s="2">
        <f t="shared" si="27"/>
        <v>9.0800000000000006E-2</v>
      </c>
      <c r="H174" s="2">
        <v>-0.35139998793602001</v>
      </c>
      <c r="I174" s="2">
        <f t="shared" si="28"/>
        <v>5.8000000000000005E-3</v>
      </c>
      <c r="K174" s="2">
        <v>143.69999694824199</v>
      </c>
      <c r="L174" s="2">
        <f t="shared" si="29"/>
        <v>0.11560000000000001</v>
      </c>
      <c r="M174" s="2">
        <v>-0.30116999149322499</v>
      </c>
      <c r="N174" s="2">
        <f t="shared" si="30"/>
        <v>5.8000000000000005E-3</v>
      </c>
      <c r="P174" s="2">
        <v>379.20001220703102</v>
      </c>
      <c r="Q174" s="2">
        <f t="shared" si="31"/>
        <v>0.30399999999999999</v>
      </c>
      <c r="R174" s="2">
        <v>-0.18993000686168701</v>
      </c>
      <c r="S174" s="2">
        <f t="shared" si="32"/>
        <v>5.8000000000000005E-3</v>
      </c>
      <c r="U174" s="2">
        <v>253.69999694824199</v>
      </c>
      <c r="V174" s="2">
        <f t="shared" si="33"/>
        <v>0.20359999999999998</v>
      </c>
      <c r="W174" s="2">
        <v>-0.18853999674320199</v>
      </c>
      <c r="X174" s="2">
        <f t="shared" si="34"/>
        <v>5.8000000000000005E-3</v>
      </c>
      <c r="Z174" s="2">
        <v>418</v>
      </c>
      <c r="AA174" s="2">
        <f t="shared" si="35"/>
        <v>0.33499999999999996</v>
      </c>
      <c r="AB174" s="2">
        <v>-4.8790000379085499E-2</v>
      </c>
      <c r="AC174" s="2">
        <f t="shared" si="36"/>
        <v>5.8000000000000005E-3</v>
      </c>
    </row>
    <row r="175" spans="1:29" x14ac:dyDescent="0.25">
      <c r="A175" s="2">
        <v>219.39999389648401</v>
      </c>
      <c r="B175" s="2">
        <f t="shared" si="25"/>
        <v>0.17609999999999998</v>
      </c>
      <c r="C175" s="2">
        <v>-0.39923000335693398</v>
      </c>
      <c r="D175" s="2">
        <f t="shared" si="26"/>
        <v>5.8000000000000005E-3</v>
      </c>
      <c r="F175" s="2">
        <v>112.699996948242</v>
      </c>
      <c r="G175" s="2">
        <f t="shared" si="27"/>
        <v>9.0800000000000006E-2</v>
      </c>
      <c r="H175" s="2">
        <v>-0.351410001516342</v>
      </c>
      <c r="I175" s="2">
        <f t="shared" si="28"/>
        <v>5.8000000000000005E-3</v>
      </c>
      <c r="K175" s="2">
        <v>146.60000610351599</v>
      </c>
      <c r="L175" s="2">
        <f t="shared" si="29"/>
        <v>0.1179</v>
      </c>
      <c r="M175" s="2">
        <v>-0.30109000205993702</v>
      </c>
      <c r="N175" s="2">
        <f t="shared" si="30"/>
        <v>5.8000000000000005E-3</v>
      </c>
      <c r="P175" s="2">
        <v>377</v>
      </c>
      <c r="Q175" s="2">
        <f t="shared" si="31"/>
        <v>0.30219999999999997</v>
      </c>
      <c r="R175" s="2">
        <v>-0.191520005464554</v>
      </c>
      <c r="S175" s="2">
        <f t="shared" si="32"/>
        <v>5.8000000000000005E-3</v>
      </c>
      <c r="U175" s="2">
        <v>255.5</v>
      </c>
      <c r="V175" s="2">
        <f t="shared" si="33"/>
        <v>0.20499999999999999</v>
      </c>
      <c r="W175" s="2">
        <v>-0.18827000260353099</v>
      </c>
      <c r="X175" s="2">
        <f t="shared" si="34"/>
        <v>5.8000000000000005E-3</v>
      </c>
      <c r="Z175" s="2">
        <v>422</v>
      </c>
      <c r="AA175" s="2">
        <f t="shared" si="35"/>
        <v>0.3382</v>
      </c>
      <c r="AB175" s="2">
        <v>-4.4229999184608501E-2</v>
      </c>
      <c r="AC175" s="2">
        <f t="shared" si="36"/>
        <v>5.8000000000000005E-3</v>
      </c>
    </row>
    <row r="176" spans="1:29" x14ac:dyDescent="0.25">
      <c r="A176" s="2">
        <v>222.89999389648401</v>
      </c>
      <c r="B176" s="2">
        <f t="shared" si="25"/>
        <v>0.17889999999999998</v>
      </c>
      <c r="C176" s="2">
        <v>-0.398739993572235</v>
      </c>
      <c r="D176" s="2">
        <f t="shared" si="26"/>
        <v>5.8000000000000005E-3</v>
      </c>
      <c r="F176" s="2">
        <v>114.40000152587901</v>
      </c>
      <c r="G176" s="2">
        <f t="shared" si="27"/>
        <v>9.2100000000000001E-2</v>
      </c>
      <c r="H176" s="2">
        <v>-0.35139998793602001</v>
      </c>
      <c r="I176" s="2">
        <f t="shared" si="28"/>
        <v>5.8000000000000005E-3</v>
      </c>
      <c r="K176" s="2">
        <v>149.10000610351599</v>
      </c>
      <c r="L176" s="2">
        <f t="shared" si="29"/>
        <v>0.11990000000000001</v>
      </c>
      <c r="M176" s="2">
        <v>-0.30101999640464799</v>
      </c>
      <c r="N176" s="2">
        <f t="shared" si="30"/>
        <v>5.8000000000000005E-3</v>
      </c>
      <c r="P176" s="2">
        <v>376.29998779296898</v>
      </c>
      <c r="Q176" s="2">
        <f t="shared" si="31"/>
        <v>0.30169999999999997</v>
      </c>
      <c r="R176" s="2">
        <v>-0.192839995026588</v>
      </c>
      <c r="S176" s="2">
        <f t="shared" si="32"/>
        <v>5.8000000000000005E-3</v>
      </c>
      <c r="U176" s="2">
        <v>260.5</v>
      </c>
      <c r="V176" s="2">
        <f t="shared" si="33"/>
        <v>0.20899999999999999</v>
      </c>
      <c r="W176" s="2">
        <v>-0.187930002808571</v>
      </c>
      <c r="X176" s="2">
        <f t="shared" si="34"/>
        <v>5.8000000000000005E-3</v>
      </c>
      <c r="Z176" s="2">
        <v>425.5</v>
      </c>
      <c r="AA176" s="2">
        <f t="shared" si="35"/>
        <v>0.34099999999999997</v>
      </c>
      <c r="AB176" s="2">
        <v>-3.8499999791383702E-2</v>
      </c>
      <c r="AC176" s="2">
        <f t="shared" si="36"/>
        <v>5.8000000000000005E-3</v>
      </c>
    </row>
    <row r="177" spans="1:29" x14ac:dyDescent="0.25">
      <c r="A177" s="2">
        <v>223</v>
      </c>
      <c r="B177" s="2">
        <f t="shared" si="25"/>
        <v>0.17899999999999999</v>
      </c>
      <c r="C177" s="2">
        <v>-0.398739993572235</v>
      </c>
      <c r="D177" s="2">
        <f t="shared" si="26"/>
        <v>5.8000000000000005E-3</v>
      </c>
      <c r="F177" s="2">
        <v>114.40000152587901</v>
      </c>
      <c r="G177" s="2">
        <f t="shared" si="27"/>
        <v>9.2100000000000001E-2</v>
      </c>
      <c r="H177" s="2">
        <v>-0.35139998793602001</v>
      </c>
      <c r="I177" s="2">
        <f t="shared" si="28"/>
        <v>5.8000000000000005E-3</v>
      </c>
      <c r="K177" s="2">
        <v>151.60000610351599</v>
      </c>
      <c r="L177" s="2">
        <f t="shared" si="29"/>
        <v>0.12190000000000001</v>
      </c>
      <c r="M177" s="2">
        <v>-0.30096000432968101</v>
      </c>
      <c r="N177" s="2">
        <f t="shared" si="30"/>
        <v>5.8000000000000005E-3</v>
      </c>
      <c r="P177" s="2">
        <v>376.39999389648398</v>
      </c>
      <c r="Q177" s="2">
        <f t="shared" si="31"/>
        <v>0.30169999999999997</v>
      </c>
      <c r="R177" s="2">
        <v>-0.192860007286072</v>
      </c>
      <c r="S177" s="2">
        <f t="shared" si="32"/>
        <v>5.8000000000000005E-3</v>
      </c>
      <c r="U177" s="2">
        <v>261.10000610351602</v>
      </c>
      <c r="V177" s="2">
        <f t="shared" si="33"/>
        <v>0.20949999999999999</v>
      </c>
      <c r="W177" s="2">
        <v>-0.18786999583244299</v>
      </c>
      <c r="X177" s="2">
        <f t="shared" si="34"/>
        <v>5.8000000000000005E-3</v>
      </c>
      <c r="Z177" s="2">
        <v>433.89999389648398</v>
      </c>
      <c r="AA177" s="2">
        <f t="shared" si="35"/>
        <v>0.34770000000000001</v>
      </c>
      <c r="AB177" s="2">
        <v>-2.3229999467730501E-2</v>
      </c>
      <c r="AC177" s="2">
        <f t="shared" si="36"/>
        <v>5.8000000000000005E-3</v>
      </c>
    </row>
    <row r="178" spans="1:29" x14ac:dyDescent="0.25">
      <c r="A178" s="2">
        <v>226.80000305175801</v>
      </c>
      <c r="B178" s="2">
        <f t="shared" si="25"/>
        <v>0.18209999999999998</v>
      </c>
      <c r="C178" s="2">
        <v>-0.39836999773979198</v>
      </c>
      <c r="D178" s="2">
        <f t="shared" si="26"/>
        <v>5.8000000000000005E-3</v>
      </c>
      <c r="F178" s="2">
        <v>114.40000152587901</v>
      </c>
      <c r="G178" s="2">
        <f t="shared" si="27"/>
        <v>9.2100000000000001E-2</v>
      </c>
      <c r="H178" s="2">
        <v>-0.35137999057769798</v>
      </c>
      <c r="I178" s="2">
        <f t="shared" si="28"/>
        <v>5.8000000000000005E-3</v>
      </c>
      <c r="K178" s="2">
        <v>153.69999694824199</v>
      </c>
      <c r="L178" s="2">
        <f t="shared" si="29"/>
        <v>0.1236</v>
      </c>
      <c r="M178" s="2">
        <v>-0.30090999603271501</v>
      </c>
      <c r="N178" s="2">
        <f t="shared" si="30"/>
        <v>5.8000000000000005E-3</v>
      </c>
      <c r="P178" s="2">
        <v>376.39999389648398</v>
      </c>
      <c r="Q178" s="2">
        <f t="shared" si="31"/>
        <v>0.30169999999999997</v>
      </c>
      <c r="R178" s="2">
        <v>-0.192880004644394</v>
      </c>
      <c r="S178" s="2">
        <f t="shared" si="32"/>
        <v>5.8000000000000005E-3</v>
      </c>
      <c r="U178" s="2">
        <v>263.29998779296898</v>
      </c>
      <c r="V178" s="2">
        <f t="shared" si="33"/>
        <v>0.21129999999999999</v>
      </c>
      <c r="W178" s="2">
        <v>-0.18764999508857699</v>
      </c>
      <c r="X178" s="2">
        <f t="shared" si="34"/>
        <v>5.8000000000000005E-3</v>
      </c>
      <c r="Z178" s="2">
        <v>438.10000610351602</v>
      </c>
      <c r="AA178" s="2">
        <f t="shared" si="35"/>
        <v>0.35109999999999997</v>
      </c>
      <c r="AB178" s="2">
        <v>-1.4680000022053699E-2</v>
      </c>
      <c r="AC178" s="2">
        <f t="shared" si="36"/>
        <v>5.8000000000000005E-3</v>
      </c>
    </row>
    <row r="179" spans="1:29" x14ac:dyDescent="0.25">
      <c r="A179" s="2">
        <v>230.89999389648401</v>
      </c>
      <c r="B179" s="2">
        <f t="shared" si="25"/>
        <v>0.18529999999999999</v>
      </c>
      <c r="C179" s="2">
        <v>-0.39756000041961698</v>
      </c>
      <c r="D179" s="2">
        <f t="shared" si="26"/>
        <v>5.8000000000000005E-3</v>
      </c>
      <c r="F179" s="2">
        <v>114.40000152587901</v>
      </c>
      <c r="G179" s="2">
        <f t="shared" si="27"/>
        <v>9.2100000000000001E-2</v>
      </c>
      <c r="H179" s="2">
        <v>-0.35137000679969799</v>
      </c>
      <c r="I179" s="2">
        <f t="shared" si="28"/>
        <v>5.8000000000000005E-3</v>
      </c>
      <c r="K179" s="2">
        <v>157.60000610351599</v>
      </c>
      <c r="L179" s="2">
        <f t="shared" si="29"/>
        <v>0.12669999999999998</v>
      </c>
      <c r="M179" s="2">
        <v>-0.30085998773574801</v>
      </c>
      <c r="N179" s="2">
        <f t="shared" si="30"/>
        <v>5.8000000000000005E-3</v>
      </c>
      <c r="P179" s="2">
        <v>379.39999389648398</v>
      </c>
      <c r="Q179" s="2">
        <f t="shared" si="31"/>
        <v>0.30409999999999998</v>
      </c>
      <c r="R179" s="2">
        <v>-0.18984000384807601</v>
      </c>
      <c r="S179" s="2">
        <f t="shared" si="32"/>
        <v>5.8000000000000005E-3</v>
      </c>
      <c r="U179" s="2">
        <v>265.29998779296898</v>
      </c>
      <c r="V179" s="2">
        <f t="shared" si="33"/>
        <v>0.21289999999999998</v>
      </c>
      <c r="W179" s="2">
        <v>-0.18741999566555001</v>
      </c>
      <c r="X179" s="2">
        <f t="shared" si="34"/>
        <v>5.8000000000000005E-3</v>
      </c>
      <c r="Z179" s="2">
        <v>439.60000610351602</v>
      </c>
      <c r="AA179" s="2">
        <f t="shared" si="35"/>
        <v>0.3523</v>
      </c>
      <c r="AB179" s="2">
        <v>-1.18699995800853E-2</v>
      </c>
      <c r="AC179" s="2">
        <f t="shared" si="36"/>
        <v>5.8000000000000005E-3</v>
      </c>
    </row>
    <row r="180" spans="1:29" x14ac:dyDescent="0.25">
      <c r="A180" s="2">
        <v>235</v>
      </c>
      <c r="B180" s="2">
        <f t="shared" si="25"/>
        <v>0.18859999999999999</v>
      </c>
      <c r="C180" s="2">
        <v>-0.39732000231742898</v>
      </c>
      <c r="D180" s="2">
        <f t="shared" si="26"/>
        <v>5.8000000000000005E-3</v>
      </c>
      <c r="F180" s="2">
        <v>114.40000152587901</v>
      </c>
      <c r="G180" s="2">
        <f t="shared" si="27"/>
        <v>9.2100000000000001E-2</v>
      </c>
      <c r="H180" s="2">
        <v>-0.35137000679969799</v>
      </c>
      <c r="I180" s="2">
        <f t="shared" si="28"/>
        <v>5.8000000000000005E-3</v>
      </c>
      <c r="K180" s="2">
        <v>171.89999389648401</v>
      </c>
      <c r="L180" s="2">
        <f t="shared" si="29"/>
        <v>0.1381</v>
      </c>
      <c r="M180" s="2">
        <v>-0.30042999982833901</v>
      </c>
      <c r="N180" s="2">
        <f t="shared" si="30"/>
        <v>5.8000000000000005E-3</v>
      </c>
      <c r="P180" s="2">
        <v>379.79998779296898</v>
      </c>
      <c r="Q180" s="2">
        <f t="shared" si="31"/>
        <v>0.30449999999999999</v>
      </c>
      <c r="R180" s="2">
        <v>-0.18919000029563901</v>
      </c>
      <c r="S180" s="2">
        <f t="shared" si="32"/>
        <v>5.8000000000000005E-3</v>
      </c>
      <c r="U180" s="2">
        <v>266.39999389648398</v>
      </c>
      <c r="V180" s="2">
        <f t="shared" si="33"/>
        <v>0.2137</v>
      </c>
      <c r="W180" s="2">
        <v>-0.187209993600845</v>
      </c>
      <c r="X180" s="2">
        <f t="shared" si="34"/>
        <v>5.8000000000000005E-3</v>
      </c>
      <c r="Z180" s="2">
        <v>442.70001220703102</v>
      </c>
      <c r="AA180" s="2">
        <f t="shared" si="35"/>
        <v>0.3548</v>
      </c>
      <c r="AB180" s="2">
        <v>-6.56000012531877E-3</v>
      </c>
      <c r="AC180" s="2">
        <f t="shared" si="36"/>
        <v>5.8000000000000005E-3</v>
      </c>
    </row>
    <row r="181" spans="1:29" x14ac:dyDescent="0.25">
      <c r="A181" s="2">
        <v>235.19999694824199</v>
      </c>
      <c r="B181" s="2">
        <f t="shared" si="25"/>
        <v>0.1888</v>
      </c>
      <c r="C181" s="2">
        <v>-0.39726999402046198</v>
      </c>
      <c r="D181" s="2">
        <f t="shared" si="26"/>
        <v>5.8000000000000005E-3</v>
      </c>
      <c r="F181" s="2">
        <v>114.40000152587901</v>
      </c>
      <c r="G181" s="2">
        <f t="shared" si="27"/>
        <v>9.2100000000000001E-2</v>
      </c>
      <c r="H181" s="2">
        <v>-0.35137000679969799</v>
      </c>
      <c r="I181" s="2">
        <f t="shared" si="28"/>
        <v>5.8000000000000005E-3</v>
      </c>
      <c r="K181" s="2">
        <v>176.80000305175801</v>
      </c>
      <c r="L181" s="2">
        <f t="shared" si="29"/>
        <v>0.14209999999999998</v>
      </c>
      <c r="M181" s="2">
        <v>-0.30020999908447299</v>
      </c>
      <c r="N181" s="2">
        <f t="shared" si="30"/>
        <v>5.8000000000000005E-3</v>
      </c>
      <c r="P181" s="2">
        <v>380.60000610351602</v>
      </c>
      <c r="Q181" s="2">
        <f t="shared" si="31"/>
        <v>0.30509999999999998</v>
      </c>
      <c r="R181" s="2">
        <v>-0.18859000504016901</v>
      </c>
      <c r="S181" s="2">
        <f t="shared" si="32"/>
        <v>5.8000000000000005E-3</v>
      </c>
      <c r="U181" s="2">
        <v>268.10000610351602</v>
      </c>
      <c r="V181" s="2">
        <f t="shared" si="33"/>
        <v>0.21509999999999999</v>
      </c>
      <c r="W181" s="2">
        <v>-0.18716999888420099</v>
      </c>
      <c r="X181" s="2">
        <f t="shared" si="34"/>
        <v>5.8000000000000005E-3</v>
      </c>
      <c r="Z181" s="2">
        <v>445.79998779296898</v>
      </c>
      <c r="AA181" s="2">
        <f t="shared" si="35"/>
        <v>0.35730000000000001</v>
      </c>
      <c r="AB181" s="2">
        <v>-9.5000001601874796E-4</v>
      </c>
      <c r="AC181" s="2">
        <f t="shared" si="36"/>
        <v>5.8000000000000005E-3</v>
      </c>
    </row>
    <row r="182" spans="1:29" x14ac:dyDescent="0.25">
      <c r="A182" s="2">
        <v>236.10000610351599</v>
      </c>
      <c r="B182" s="2">
        <f t="shared" si="25"/>
        <v>0.1895</v>
      </c>
      <c r="C182" s="2">
        <v>-0.39719998836517301</v>
      </c>
      <c r="D182" s="2">
        <f t="shared" si="26"/>
        <v>5.8000000000000005E-3</v>
      </c>
      <c r="F182" s="2">
        <v>114.40000152587901</v>
      </c>
      <c r="G182" s="2">
        <f t="shared" si="27"/>
        <v>9.2100000000000001E-2</v>
      </c>
      <c r="H182" s="2">
        <v>-0.35137000679969799</v>
      </c>
      <c r="I182" s="2">
        <f t="shared" si="28"/>
        <v>5.8000000000000005E-3</v>
      </c>
      <c r="K182" s="2">
        <v>177.30000305175801</v>
      </c>
      <c r="L182" s="2">
        <f t="shared" si="29"/>
        <v>0.14249999999999999</v>
      </c>
      <c r="M182" s="2">
        <v>-0.30017998814582803</v>
      </c>
      <c r="N182" s="2">
        <f t="shared" si="30"/>
        <v>5.8000000000000005E-3</v>
      </c>
      <c r="P182" s="2">
        <v>380.5</v>
      </c>
      <c r="Q182" s="2">
        <f t="shared" si="31"/>
        <v>0.30499999999999999</v>
      </c>
      <c r="R182" s="2">
        <v>-0.188529998064041</v>
      </c>
      <c r="S182" s="2">
        <f t="shared" si="32"/>
        <v>5.8000000000000005E-3</v>
      </c>
      <c r="U182" s="2">
        <v>268.10000610351602</v>
      </c>
      <c r="V182" s="2">
        <f t="shared" si="33"/>
        <v>0.21509999999999999</v>
      </c>
      <c r="W182" s="2">
        <v>-0.18711000680923501</v>
      </c>
      <c r="X182" s="2">
        <f t="shared" si="34"/>
        <v>5.8000000000000005E-3</v>
      </c>
      <c r="Z182" s="2">
        <v>449.60000610351602</v>
      </c>
      <c r="AA182" s="2">
        <f t="shared" si="35"/>
        <v>0.36030000000000001</v>
      </c>
      <c r="AB182" s="2">
        <v>8.0000003799796104E-3</v>
      </c>
      <c r="AC182" s="2">
        <f t="shared" si="36"/>
        <v>5.8000000000000005E-3</v>
      </c>
    </row>
    <row r="183" spans="1:29" x14ac:dyDescent="0.25">
      <c r="A183" s="2">
        <v>239.5</v>
      </c>
      <c r="B183" s="2">
        <f t="shared" si="25"/>
        <v>0.19219999999999998</v>
      </c>
      <c r="C183" s="2">
        <v>-0.39667001366615301</v>
      </c>
      <c r="D183" s="2">
        <f t="shared" si="26"/>
        <v>5.8000000000000005E-3</v>
      </c>
      <c r="F183" s="2">
        <v>114.40000152587901</v>
      </c>
      <c r="G183" s="2">
        <f t="shared" si="27"/>
        <v>9.2100000000000001E-2</v>
      </c>
      <c r="H183" s="2">
        <v>-0.351359993219376</v>
      </c>
      <c r="I183" s="2">
        <f t="shared" si="28"/>
        <v>5.8000000000000005E-3</v>
      </c>
      <c r="K183" s="2">
        <v>178.30000305175801</v>
      </c>
      <c r="L183" s="2">
        <f t="shared" si="29"/>
        <v>0.14329999999999998</v>
      </c>
      <c r="M183" s="2">
        <v>-0.300150007009506</v>
      </c>
      <c r="N183" s="2">
        <f t="shared" si="30"/>
        <v>5.8000000000000005E-3</v>
      </c>
      <c r="P183" s="2">
        <v>382.79998779296898</v>
      </c>
      <c r="Q183" s="2">
        <f t="shared" si="31"/>
        <v>0.30690000000000001</v>
      </c>
      <c r="R183" s="2">
        <v>-0.18573999404907199</v>
      </c>
      <c r="S183" s="2">
        <f t="shared" si="32"/>
        <v>5.8000000000000005E-3</v>
      </c>
      <c r="U183" s="2">
        <v>269.79998779296898</v>
      </c>
      <c r="V183" s="2">
        <f t="shared" si="33"/>
        <v>0.2165</v>
      </c>
      <c r="W183" s="2">
        <v>-0.18685999512672399</v>
      </c>
      <c r="X183" s="2">
        <f t="shared" si="34"/>
        <v>5.8000000000000005E-3</v>
      </c>
      <c r="Z183" s="2">
        <v>451.60000610351602</v>
      </c>
      <c r="AA183" s="2">
        <f t="shared" si="35"/>
        <v>0.3619</v>
      </c>
      <c r="AB183" s="2">
        <v>1.26700000837445E-2</v>
      </c>
      <c r="AC183" s="2">
        <f t="shared" si="36"/>
        <v>5.8000000000000005E-3</v>
      </c>
    </row>
    <row r="184" spans="1:29" x14ac:dyDescent="0.25">
      <c r="A184" s="2">
        <v>241.89999389648401</v>
      </c>
      <c r="B184" s="2">
        <f t="shared" si="25"/>
        <v>0.19409999999999999</v>
      </c>
      <c r="C184" s="2">
        <v>-0.396250009536743</v>
      </c>
      <c r="D184" s="2">
        <f t="shared" si="26"/>
        <v>5.8000000000000005E-3</v>
      </c>
      <c r="F184" s="2">
        <v>114.40000152587901</v>
      </c>
      <c r="G184" s="2">
        <f t="shared" si="27"/>
        <v>9.2100000000000001E-2</v>
      </c>
      <c r="H184" s="2">
        <v>-0.35137000679969799</v>
      </c>
      <c r="I184" s="2">
        <f t="shared" si="28"/>
        <v>5.8000000000000005E-3</v>
      </c>
      <c r="K184" s="2">
        <v>187.89999389648401</v>
      </c>
      <c r="L184" s="2">
        <f t="shared" si="29"/>
        <v>0.15089999999999998</v>
      </c>
      <c r="M184" s="2">
        <v>-0.29980999231338501</v>
      </c>
      <c r="N184" s="2">
        <f t="shared" si="30"/>
        <v>5.8000000000000005E-3</v>
      </c>
      <c r="P184" s="2">
        <v>384.60000610351602</v>
      </c>
      <c r="Q184" s="2">
        <f t="shared" si="31"/>
        <v>0.30829999999999996</v>
      </c>
      <c r="R184" s="2">
        <v>-0.183699995279312</v>
      </c>
      <c r="S184" s="2">
        <f t="shared" si="32"/>
        <v>5.8000000000000005E-3</v>
      </c>
      <c r="U184" s="2">
        <v>271.5</v>
      </c>
      <c r="V184" s="2">
        <f t="shared" si="33"/>
        <v>0.21779999999999999</v>
      </c>
      <c r="W184" s="2">
        <v>-0.18661999702453599</v>
      </c>
      <c r="X184" s="2">
        <f t="shared" si="34"/>
        <v>5.8000000000000005E-3</v>
      </c>
      <c r="Z184" s="2">
        <v>453</v>
      </c>
      <c r="AA184" s="2">
        <f t="shared" si="35"/>
        <v>0.36299999999999999</v>
      </c>
      <c r="AB184" s="2">
        <v>1.55300004407763E-2</v>
      </c>
      <c r="AC184" s="2">
        <f t="shared" si="36"/>
        <v>5.8000000000000005E-3</v>
      </c>
    </row>
    <row r="185" spans="1:29" x14ac:dyDescent="0.25">
      <c r="A185" s="2">
        <v>242.10000610351599</v>
      </c>
      <c r="B185" s="2">
        <f t="shared" si="25"/>
        <v>0.1943</v>
      </c>
      <c r="C185" s="2">
        <v>-0.39621999859809898</v>
      </c>
      <c r="D185" s="2">
        <f t="shared" si="26"/>
        <v>5.8000000000000005E-3</v>
      </c>
      <c r="F185" s="2">
        <v>114.40000152587901</v>
      </c>
      <c r="G185" s="2">
        <f t="shared" si="27"/>
        <v>9.2100000000000001E-2</v>
      </c>
      <c r="H185" s="2">
        <v>-0.35137000679969799</v>
      </c>
      <c r="I185" s="2">
        <f t="shared" si="28"/>
        <v>5.8000000000000005E-3</v>
      </c>
      <c r="K185" s="2">
        <v>189</v>
      </c>
      <c r="L185" s="2">
        <f t="shared" si="29"/>
        <v>0.15179999999999999</v>
      </c>
      <c r="M185" s="2">
        <v>-0.29976001381874101</v>
      </c>
      <c r="N185" s="2">
        <f t="shared" si="30"/>
        <v>5.8000000000000005E-3</v>
      </c>
      <c r="P185" s="2">
        <v>386.5</v>
      </c>
      <c r="Q185" s="2">
        <f t="shared" si="31"/>
        <v>0.30979999999999996</v>
      </c>
      <c r="R185" s="2">
        <v>-0.18192000687122301</v>
      </c>
      <c r="S185" s="2">
        <f t="shared" si="32"/>
        <v>5.8000000000000005E-3</v>
      </c>
      <c r="U185" s="2">
        <v>272.70001220703102</v>
      </c>
      <c r="V185" s="2">
        <f t="shared" si="33"/>
        <v>0.21879999999999999</v>
      </c>
      <c r="W185" s="2">
        <v>-0.18659999966621399</v>
      </c>
      <c r="X185" s="2">
        <f t="shared" si="34"/>
        <v>5.8000000000000005E-3</v>
      </c>
      <c r="Z185" s="2">
        <v>455.60000610351602</v>
      </c>
      <c r="AA185" s="2">
        <f t="shared" si="35"/>
        <v>0.36509999999999998</v>
      </c>
      <c r="AB185" s="2">
        <v>2.2080000489950201E-2</v>
      </c>
      <c r="AC185" s="2">
        <f t="shared" si="36"/>
        <v>5.8000000000000005E-3</v>
      </c>
    </row>
    <row r="186" spans="1:29" x14ac:dyDescent="0.25">
      <c r="A186" s="2">
        <v>243.5</v>
      </c>
      <c r="B186" s="2">
        <f t="shared" si="25"/>
        <v>0.19539999999999999</v>
      </c>
      <c r="C186" s="2">
        <v>-0.39592999219894398</v>
      </c>
      <c r="D186" s="2">
        <f t="shared" si="26"/>
        <v>5.8000000000000005E-3</v>
      </c>
      <c r="F186" s="2">
        <v>114.40000152587901</v>
      </c>
      <c r="G186" s="2">
        <f t="shared" si="27"/>
        <v>9.2100000000000001E-2</v>
      </c>
      <c r="H186" s="2">
        <v>-0.35137000679969799</v>
      </c>
      <c r="I186" s="2">
        <f t="shared" si="28"/>
        <v>5.8000000000000005E-3</v>
      </c>
      <c r="K186" s="2">
        <v>189.89999389648401</v>
      </c>
      <c r="L186" s="2">
        <f t="shared" si="29"/>
        <v>0.1525</v>
      </c>
      <c r="M186" s="2">
        <v>-0.29969000816345198</v>
      </c>
      <c r="N186" s="2">
        <f t="shared" si="30"/>
        <v>5.8000000000000005E-3</v>
      </c>
      <c r="P186" s="2">
        <v>387.79998779296898</v>
      </c>
      <c r="Q186" s="2">
        <f t="shared" si="31"/>
        <v>0.31090000000000001</v>
      </c>
      <c r="R186" s="2">
        <v>-0.18035000562667799</v>
      </c>
      <c r="S186" s="2">
        <f t="shared" si="32"/>
        <v>5.8000000000000005E-3</v>
      </c>
      <c r="U186" s="2">
        <v>273.39999389648398</v>
      </c>
      <c r="V186" s="2">
        <f t="shared" si="33"/>
        <v>0.21929999999999999</v>
      </c>
      <c r="W186" s="2">
        <v>-0.18637000024318701</v>
      </c>
      <c r="X186" s="2">
        <f t="shared" si="34"/>
        <v>5.8000000000000005E-3</v>
      </c>
      <c r="Z186" s="2">
        <v>456</v>
      </c>
      <c r="AA186" s="2">
        <f t="shared" si="35"/>
        <v>0.3654</v>
      </c>
      <c r="AB186" s="2">
        <v>2.3040000349283201E-2</v>
      </c>
      <c r="AC186" s="2">
        <f t="shared" si="36"/>
        <v>5.8000000000000005E-3</v>
      </c>
    </row>
    <row r="187" spans="1:29" x14ac:dyDescent="0.25">
      <c r="A187" s="2">
        <v>243.89999389648401</v>
      </c>
      <c r="B187" s="2">
        <f t="shared" si="25"/>
        <v>0.19569999999999999</v>
      </c>
      <c r="C187" s="2">
        <v>-0.39592000842094399</v>
      </c>
      <c r="D187" s="2">
        <f t="shared" si="26"/>
        <v>5.8000000000000005E-3</v>
      </c>
      <c r="F187" s="2">
        <v>114.300003051758</v>
      </c>
      <c r="G187" s="2">
        <f t="shared" si="27"/>
        <v>9.2100000000000001E-2</v>
      </c>
      <c r="H187" s="2">
        <v>-0.351359993219376</v>
      </c>
      <c r="I187" s="2">
        <f t="shared" si="28"/>
        <v>5.8000000000000005E-3</v>
      </c>
      <c r="K187" s="2">
        <v>193.10000610351599</v>
      </c>
      <c r="L187" s="2">
        <f t="shared" si="29"/>
        <v>0.15509999999999999</v>
      </c>
      <c r="M187" s="2">
        <v>-0.29960998892784102</v>
      </c>
      <c r="N187" s="2">
        <f t="shared" si="30"/>
        <v>5.8000000000000005E-3</v>
      </c>
      <c r="P187" s="2">
        <v>389.70001220703102</v>
      </c>
      <c r="Q187" s="2">
        <f t="shared" si="31"/>
        <v>0.31240000000000001</v>
      </c>
      <c r="R187" s="2">
        <v>-0.17801000177860299</v>
      </c>
      <c r="S187" s="2">
        <f t="shared" si="32"/>
        <v>5.8000000000000005E-3</v>
      </c>
      <c r="U187" s="2">
        <v>277.79998779296898</v>
      </c>
      <c r="V187" s="2">
        <f t="shared" si="33"/>
        <v>0.22289999999999999</v>
      </c>
      <c r="W187" s="2">
        <v>-0.185749992728233</v>
      </c>
      <c r="X187" s="2">
        <f t="shared" si="34"/>
        <v>5.8000000000000005E-3</v>
      </c>
      <c r="Z187" s="2">
        <v>456.5</v>
      </c>
      <c r="AA187" s="2">
        <f t="shared" si="35"/>
        <v>0.36580000000000001</v>
      </c>
      <c r="AB187" s="2">
        <v>2.4110000580549198E-2</v>
      </c>
      <c r="AC187" s="2">
        <f t="shared" si="36"/>
        <v>5.8000000000000005E-3</v>
      </c>
    </row>
    <row r="188" spans="1:29" x14ac:dyDescent="0.25">
      <c r="A188" s="2">
        <v>245.19999694824199</v>
      </c>
      <c r="B188" s="2">
        <f t="shared" si="25"/>
        <v>0.1968</v>
      </c>
      <c r="C188" s="2">
        <v>-0.39570999145507801</v>
      </c>
      <c r="D188" s="2">
        <f t="shared" si="26"/>
        <v>5.8000000000000005E-3</v>
      </c>
      <c r="F188" s="2">
        <v>114.300003051758</v>
      </c>
      <c r="G188" s="2">
        <f t="shared" si="27"/>
        <v>9.2100000000000001E-2</v>
      </c>
      <c r="H188" s="2">
        <v>-0.35137000679969799</v>
      </c>
      <c r="I188" s="2">
        <f t="shared" si="28"/>
        <v>5.8000000000000005E-3</v>
      </c>
      <c r="K188" s="2">
        <v>194.80000305175801</v>
      </c>
      <c r="L188" s="2">
        <f t="shared" si="29"/>
        <v>0.1565</v>
      </c>
      <c r="M188" s="2">
        <v>-0.29951998591423001</v>
      </c>
      <c r="N188" s="2">
        <f t="shared" si="30"/>
        <v>5.8000000000000005E-3</v>
      </c>
      <c r="P188" s="2">
        <v>391</v>
      </c>
      <c r="Q188" s="2">
        <f t="shared" si="31"/>
        <v>0.31340000000000001</v>
      </c>
      <c r="R188" s="2">
        <v>-0.17617000639438599</v>
      </c>
      <c r="S188" s="2">
        <f t="shared" si="32"/>
        <v>5.8000000000000005E-3</v>
      </c>
      <c r="U188" s="2">
        <v>280.10000610351602</v>
      </c>
      <c r="V188" s="2">
        <f t="shared" si="33"/>
        <v>0.22469999999999998</v>
      </c>
      <c r="W188" s="2">
        <v>-0.18547999858856201</v>
      </c>
      <c r="X188" s="2">
        <f t="shared" si="34"/>
        <v>5.8000000000000005E-3</v>
      </c>
      <c r="Z188" s="2">
        <v>457.5</v>
      </c>
      <c r="AA188" s="2">
        <f t="shared" si="35"/>
        <v>0.36659999999999998</v>
      </c>
      <c r="AB188" s="2">
        <v>2.72799991071224E-2</v>
      </c>
      <c r="AC188" s="2">
        <f t="shared" si="36"/>
        <v>5.8000000000000005E-3</v>
      </c>
    </row>
    <row r="189" spans="1:29" x14ac:dyDescent="0.25">
      <c r="A189" s="2">
        <v>246.30000305175801</v>
      </c>
      <c r="B189" s="2">
        <f t="shared" si="25"/>
        <v>0.19769999999999999</v>
      </c>
      <c r="C189" s="2">
        <v>-0.39550000429153398</v>
      </c>
      <c r="D189" s="2">
        <f t="shared" si="26"/>
        <v>5.8000000000000005E-3</v>
      </c>
      <c r="F189" s="2">
        <v>114.40000152587901</v>
      </c>
      <c r="G189" s="2">
        <f t="shared" si="27"/>
        <v>9.2100000000000001E-2</v>
      </c>
      <c r="H189" s="2">
        <v>-0.35137999057769798</v>
      </c>
      <c r="I189" s="2">
        <f t="shared" si="28"/>
        <v>5.8000000000000005E-3</v>
      </c>
      <c r="K189" s="2">
        <v>195</v>
      </c>
      <c r="L189" s="2">
        <f t="shared" si="29"/>
        <v>0.15659999999999999</v>
      </c>
      <c r="M189" s="2">
        <v>-0.29943001270294201</v>
      </c>
      <c r="N189" s="2">
        <f t="shared" si="30"/>
        <v>5.8000000000000005E-3</v>
      </c>
      <c r="P189" s="2">
        <v>392.39999389648398</v>
      </c>
      <c r="Q189" s="2">
        <f t="shared" si="31"/>
        <v>0.3145</v>
      </c>
      <c r="R189" s="2">
        <v>-0.17493000626564001</v>
      </c>
      <c r="S189" s="2">
        <f t="shared" si="32"/>
        <v>5.8000000000000005E-3</v>
      </c>
      <c r="U189" s="2">
        <v>281.70001220703102</v>
      </c>
      <c r="V189" s="2">
        <f t="shared" si="33"/>
        <v>0.22599999999999998</v>
      </c>
      <c r="W189" s="2">
        <v>-0.185230001807213</v>
      </c>
      <c r="X189" s="2">
        <f t="shared" si="34"/>
        <v>5.8000000000000005E-3</v>
      </c>
      <c r="Z189" s="2">
        <v>458.60000610351602</v>
      </c>
      <c r="AA189" s="2">
        <f t="shared" si="35"/>
        <v>0.36749999999999999</v>
      </c>
      <c r="AB189" s="2">
        <v>3.03000006824732E-2</v>
      </c>
      <c r="AC189" s="2">
        <f t="shared" si="36"/>
        <v>5.8000000000000005E-3</v>
      </c>
    </row>
    <row r="190" spans="1:29" x14ac:dyDescent="0.25">
      <c r="A190" s="2">
        <v>247</v>
      </c>
      <c r="B190" s="2">
        <f t="shared" si="25"/>
        <v>0.19819999999999999</v>
      </c>
      <c r="C190" s="2">
        <v>-0.39546000957489003</v>
      </c>
      <c r="D190" s="2">
        <f t="shared" si="26"/>
        <v>5.8000000000000005E-3</v>
      </c>
      <c r="F190" s="2">
        <v>113.300003051758</v>
      </c>
      <c r="G190" s="2">
        <f t="shared" si="27"/>
        <v>9.1300000000000006E-2</v>
      </c>
      <c r="H190" s="2">
        <v>-0.35137999057769798</v>
      </c>
      <c r="I190" s="2">
        <f t="shared" si="28"/>
        <v>5.8000000000000005E-3</v>
      </c>
      <c r="K190" s="2">
        <v>196.60000610351599</v>
      </c>
      <c r="L190" s="2">
        <f t="shared" si="29"/>
        <v>0.15789999999999998</v>
      </c>
      <c r="M190" s="2">
        <v>-0.29936000704765298</v>
      </c>
      <c r="N190" s="2">
        <f t="shared" si="30"/>
        <v>5.8000000000000005E-3</v>
      </c>
      <c r="P190" s="2">
        <v>392.60000610351602</v>
      </c>
      <c r="Q190" s="2">
        <f t="shared" si="31"/>
        <v>0.31469999999999998</v>
      </c>
      <c r="R190" s="2">
        <v>-0.174290001392365</v>
      </c>
      <c r="S190" s="2">
        <f t="shared" si="32"/>
        <v>5.8000000000000005E-3</v>
      </c>
      <c r="U190" s="2">
        <v>281.70001220703102</v>
      </c>
      <c r="V190" s="2">
        <f t="shared" si="33"/>
        <v>0.22599999999999998</v>
      </c>
      <c r="W190" s="2">
        <v>-0.18521000444889099</v>
      </c>
      <c r="X190" s="2">
        <f t="shared" si="34"/>
        <v>5.8000000000000005E-3</v>
      </c>
      <c r="Z190" s="2">
        <v>459.70001220703102</v>
      </c>
      <c r="AA190" s="2">
        <f t="shared" si="35"/>
        <v>0.36840000000000001</v>
      </c>
      <c r="AB190" s="2">
        <v>3.4329999238252598E-2</v>
      </c>
      <c r="AC190" s="2">
        <f t="shared" si="36"/>
        <v>5.8000000000000005E-3</v>
      </c>
    </row>
    <row r="191" spans="1:29" x14ac:dyDescent="0.25">
      <c r="A191" s="2">
        <v>247.60000610351599</v>
      </c>
      <c r="B191" s="2">
        <f t="shared" si="25"/>
        <v>0.19869999999999999</v>
      </c>
      <c r="C191" s="2">
        <v>-0.395240008831024</v>
      </c>
      <c r="D191" s="2">
        <f t="shared" si="26"/>
        <v>5.8000000000000005E-3</v>
      </c>
      <c r="F191" s="2">
        <v>116.59999847412099</v>
      </c>
      <c r="G191" s="2">
        <f t="shared" si="27"/>
        <v>9.3899999999999997E-2</v>
      </c>
      <c r="H191" s="2">
        <v>-0.35137000679969799</v>
      </c>
      <c r="I191" s="2">
        <f t="shared" si="28"/>
        <v>5.8000000000000005E-3</v>
      </c>
      <c r="K191" s="2">
        <v>198.30000305175801</v>
      </c>
      <c r="L191" s="2">
        <f t="shared" si="29"/>
        <v>0.1593</v>
      </c>
      <c r="M191" s="2">
        <v>-0.29930999875068698</v>
      </c>
      <c r="N191" s="2">
        <f t="shared" si="30"/>
        <v>5.8000000000000005E-3</v>
      </c>
      <c r="P191" s="2">
        <v>396.5</v>
      </c>
      <c r="Q191" s="2">
        <f t="shared" si="31"/>
        <v>0.31779999999999997</v>
      </c>
      <c r="R191" s="2">
        <v>-0.17073999345302601</v>
      </c>
      <c r="S191" s="2">
        <f t="shared" si="32"/>
        <v>5.8000000000000005E-3</v>
      </c>
      <c r="U191" s="2">
        <v>292</v>
      </c>
      <c r="V191" s="2">
        <f t="shared" si="33"/>
        <v>0.23419999999999999</v>
      </c>
      <c r="W191" s="2">
        <v>-0.18333999812603</v>
      </c>
      <c r="X191" s="2">
        <f t="shared" si="34"/>
        <v>5.8000000000000005E-3</v>
      </c>
      <c r="Z191" s="2">
        <v>459.70001220703102</v>
      </c>
      <c r="AA191" s="2">
        <f t="shared" si="35"/>
        <v>0.36840000000000001</v>
      </c>
      <c r="AB191" s="2">
        <v>3.3250000327825498E-2</v>
      </c>
      <c r="AC191" s="2">
        <f t="shared" si="36"/>
        <v>5.8000000000000005E-3</v>
      </c>
    </row>
    <row r="192" spans="1:29" x14ac:dyDescent="0.25">
      <c r="A192" s="2">
        <v>248.5</v>
      </c>
      <c r="B192" s="2">
        <f t="shared" si="25"/>
        <v>0.19939999999999999</v>
      </c>
      <c r="C192" s="2">
        <v>-0.39519000053405801</v>
      </c>
      <c r="D192" s="2">
        <f t="shared" si="26"/>
        <v>5.8000000000000005E-3</v>
      </c>
      <c r="F192" s="2">
        <v>119.59999847412099</v>
      </c>
      <c r="G192" s="2">
        <f t="shared" si="27"/>
        <v>9.6299999999999997E-2</v>
      </c>
      <c r="H192" s="2">
        <v>-0.35133999586105302</v>
      </c>
      <c r="I192" s="2">
        <f t="shared" si="28"/>
        <v>5.8000000000000005E-3</v>
      </c>
      <c r="K192" s="2">
        <v>201.89999389648401</v>
      </c>
      <c r="L192" s="2">
        <f t="shared" si="29"/>
        <v>0.16209999999999999</v>
      </c>
      <c r="M192" s="2">
        <v>-0.29905998706817599</v>
      </c>
      <c r="N192" s="2">
        <f t="shared" si="30"/>
        <v>5.8000000000000005E-3</v>
      </c>
      <c r="P192" s="2">
        <v>400</v>
      </c>
      <c r="Q192" s="2">
        <f t="shared" si="31"/>
        <v>0.3206</v>
      </c>
      <c r="R192" s="2">
        <v>-0.16547000408172599</v>
      </c>
      <c r="S192" s="2">
        <f t="shared" si="32"/>
        <v>5.8000000000000005E-3</v>
      </c>
      <c r="U192" s="2">
        <v>295.29998779296898</v>
      </c>
      <c r="V192" s="2">
        <f t="shared" si="33"/>
        <v>0.2369</v>
      </c>
      <c r="W192" s="2">
        <v>-0.182879999279976</v>
      </c>
      <c r="X192" s="2">
        <f t="shared" si="34"/>
        <v>5.8000000000000005E-3</v>
      </c>
    </row>
    <row r="193" spans="1:24" x14ac:dyDescent="0.25">
      <c r="A193" s="2">
        <v>248.5</v>
      </c>
      <c r="B193" s="2">
        <f t="shared" si="25"/>
        <v>0.19939999999999999</v>
      </c>
      <c r="C193" s="2">
        <v>-0.395150005817413</v>
      </c>
      <c r="D193" s="2">
        <f t="shared" si="26"/>
        <v>5.8000000000000005E-3</v>
      </c>
      <c r="F193" s="2">
        <v>121.09999847412099</v>
      </c>
      <c r="G193" s="2">
        <f t="shared" si="27"/>
        <v>9.7500000000000003E-2</v>
      </c>
      <c r="H193" s="2">
        <v>-0.35130000114440901</v>
      </c>
      <c r="I193" s="2">
        <f t="shared" si="28"/>
        <v>5.8000000000000005E-3</v>
      </c>
      <c r="K193" s="2">
        <v>205.89999389648401</v>
      </c>
      <c r="L193" s="2">
        <f t="shared" si="29"/>
        <v>0.1653</v>
      </c>
      <c r="M193" s="2">
        <v>-0.298810005187988</v>
      </c>
      <c r="N193" s="2">
        <f t="shared" si="30"/>
        <v>5.8000000000000005E-3</v>
      </c>
      <c r="P193" s="2">
        <v>400</v>
      </c>
      <c r="Q193" s="2">
        <f t="shared" si="31"/>
        <v>0.3206</v>
      </c>
      <c r="R193" s="2">
        <v>-0.165099993348122</v>
      </c>
      <c r="S193" s="2">
        <f t="shared" si="32"/>
        <v>5.8000000000000005E-3</v>
      </c>
      <c r="U193" s="2">
        <v>297.79998779296898</v>
      </c>
      <c r="V193" s="2">
        <f t="shared" si="33"/>
        <v>0.2389</v>
      </c>
      <c r="W193" s="2">
        <v>-0.18229000270366699</v>
      </c>
      <c r="X193" s="2">
        <f t="shared" si="34"/>
        <v>5.8000000000000005E-3</v>
      </c>
    </row>
    <row r="194" spans="1:24" x14ac:dyDescent="0.25">
      <c r="A194" s="2">
        <v>250.30000305175801</v>
      </c>
      <c r="B194" s="2">
        <f t="shared" si="25"/>
        <v>0.2009</v>
      </c>
      <c r="C194" s="2">
        <v>-0.39487999677658098</v>
      </c>
      <c r="D194" s="2">
        <f t="shared" si="26"/>
        <v>5.8000000000000005E-3</v>
      </c>
      <c r="F194" s="2">
        <v>121.40000152587901</v>
      </c>
      <c r="G194" s="2">
        <f t="shared" si="27"/>
        <v>9.7700000000000009E-2</v>
      </c>
      <c r="H194" s="2">
        <v>-0.35126999020576499</v>
      </c>
      <c r="I194" s="2">
        <f t="shared" si="28"/>
        <v>5.8000000000000005E-3</v>
      </c>
      <c r="K194" s="2">
        <v>209.39999389648401</v>
      </c>
      <c r="L194" s="2">
        <f t="shared" si="29"/>
        <v>0.1681</v>
      </c>
      <c r="M194" s="2">
        <v>-0.29859998822212203</v>
      </c>
      <c r="N194" s="2">
        <f t="shared" si="30"/>
        <v>5.8000000000000005E-3</v>
      </c>
      <c r="P194" s="2">
        <v>403</v>
      </c>
      <c r="Q194" s="2">
        <f t="shared" si="31"/>
        <v>0.32300000000000001</v>
      </c>
      <c r="R194" s="2">
        <v>-0.15982000529766099</v>
      </c>
      <c r="S194" s="2">
        <f t="shared" si="32"/>
        <v>5.8000000000000005E-3</v>
      </c>
      <c r="U194" s="2">
        <v>298.70001220703102</v>
      </c>
      <c r="V194" s="2">
        <f t="shared" si="33"/>
        <v>0.23959999999999998</v>
      </c>
      <c r="W194" s="2">
        <v>-0.182070001959801</v>
      </c>
      <c r="X194" s="2">
        <f t="shared" si="34"/>
        <v>5.8000000000000005E-3</v>
      </c>
    </row>
    <row r="195" spans="1:24" x14ac:dyDescent="0.25">
      <c r="A195" s="2">
        <v>253.60000610351599</v>
      </c>
      <c r="B195" s="2">
        <f t="shared" si="25"/>
        <v>0.20349999999999999</v>
      </c>
      <c r="C195" s="2">
        <v>-0.39416998624801602</v>
      </c>
      <c r="D195" s="2">
        <f t="shared" si="26"/>
        <v>5.8000000000000005E-3</v>
      </c>
      <c r="F195" s="2">
        <v>121.40000152587901</v>
      </c>
      <c r="G195" s="2">
        <f t="shared" si="27"/>
        <v>9.7700000000000009E-2</v>
      </c>
      <c r="H195" s="2">
        <v>-0.351260006427765</v>
      </c>
      <c r="I195" s="2">
        <f t="shared" si="28"/>
        <v>5.8000000000000005E-3</v>
      </c>
      <c r="K195" s="2">
        <v>213.10000610351599</v>
      </c>
      <c r="L195" s="2">
        <f t="shared" si="29"/>
        <v>0.1711</v>
      </c>
      <c r="M195" s="2">
        <v>-0.29835999011993403</v>
      </c>
      <c r="N195" s="2">
        <f t="shared" si="30"/>
        <v>5.8000000000000005E-3</v>
      </c>
      <c r="P195" s="2">
        <v>405.79998779296898</v>
      </c>
      <c r="Q195" s="2">
        <f t="shared" si="31"/>
        <v>0.32529999999999998</v>
      </c>
      <c r="R195" s="2">
        <v>-0.15736000239849099</v>
      </c>
      <c r="S195" s="2">
        <f t="shared" si="32"/>
        <v>5.8000000000000005E-3</v>
      </c>
      <c r="U195" s="2">
        <v>301.10000610351602</v>
      </c>
      <c r="V195" s="2">
        <f t="shared" si="33"/>
        <v>0.24149999999999999</v>
      </c>
      <c r="W195" s="2">
        <v>-0.181539997458458</v>
      </c>
      <c r="X195" s="2">
        <f t="shared" si="34"/>
        <v>5.8000000000000005E-3</v>
      </c>
    </row>
    <row r="196" spans="1:24" x14ac:dyDescent="0.25">
      <c r="A196" s="2">
        <v>254.39999389648401</v>
      </c>
      <c r="B196" s="2">
        <f t="shared" si="25"/>
        <v>0.20409999999999998</v>
      </c>
      <c r="C196" s="2">
        <v>-0.39414998888969399</v>
      </c>
      <c r="D196" s="2">
        <f t="shared" si="26"/>
        <v>5.8000000000000005E-3</v>
      </c>
      <c r="F196" s="2">
        <v>121.40000152587901</v>
      </c>
      <c r="G196" s="2">
        <f t="shared" si="27"/>
        <v>9.7700000000000009E-2</v>
      </c>
      <c r="H196" s="2">
        <v>-0.35124999284744302</v>
      </c>
      <c r="I196" s="2">
        <f t="shared" si="28"/>
        <v>5.8000000000000005E-3</v>
      </c>
      <c r="K196" s="2">
        <v>217.5</v>
      </c>
      <c r="L196" s="2">
        <f t="shared" si="29"/>
        <v>0.17459999999999998</v>
      </c>
      <c r="M196" s="2">
        <v>-0.29807001352310197</v>
      </c>
      <c r="N196" s="2">
        <f t="shared" si="30"/>
        <v>5.8000000000000005E-3</v>
      </c>
      <c r="P196" s="2">
        <v>407.29998779296898</v>
      </c>
      <c r="Q196" s="2">
        <f t="shared" si="31"/>
        <v>0.32650000000000001</v>
      </c>
      <c r="R196" s="2">
        <v>-0.15523999929428101</v>
      </c>
      <c r="S196" s="2">
        <f t="shared" si="32"/>
        <v>5.8000000000000005E-3</v>
      </c>
      <c r="U196" s="2">
        <v>302</v>
      </c>
      <c r="V196" s="2">
        <f t="shared" si="33"/>
        <v>0.2422</v>
      </c>
      <c r="W196" s="2">
        <v>-0.18129999935627</v>
      </c>
      <c r="X196" s="2">
        <f t="shared" si="34"/>
        <v>5.8000000000000005E-3</v>
      </c>
    </row>
    <row r="197" spans="1:24" x14ac:dyDescent="0.25">
      <c r="A197" s="2">
        <v>255.30000305175801</v>
      </c>
      <c r="B197" s="2">
        <f t="shared" si="25"/>
        <v>0.2049</v>
      </c>
      <c r="C197" s="2">
        <v>-0.393900007009506</v>
      </c>
      <c r="D197" s="2">
        <f t="shared" si="26"/>
        <v>5.8000000000000005E-3</v>
      </c>
      <c r="F197" s="2">
        <v>121.5</v>
      </c>
      <c r="G197" s="2">
        <f t="shared" si="27"/>
        <v>9.7799999999999998E-2</v>
      </c>
      <c r="H197" s="2">
        <v>-0.35124999284744302</v>
      </c>
      <c r="I197" s="2">
        <f t="shared" si="28"/>
        <v>5.8000000000000005E-3</v>
      </c>
      <c r="K197" s="2">
        <v>219.39999389648401</v>
      </c>
      <c r="L197" s="2">
        <f t="shared" si="29"/>
        <v>0.17609999999999998</v>
      </c>
      <c r="M197" s="2">
        <v>-0.29787001013755798</v>
      </c>
      <c r="N197" s="2">
        <f t="shared" si="30"/>
        <v>5.8000000000000005E-3</v>
      </c>
      <c r="P197" s="2">
        <v>408.60000610351602</v>
      </c>
      <c r="Q197" s="2">
        <f t="shared" si="31"/>
        <v>0.32750000000000001</v>
      </c>
      <c r="R197" s="2">
        <v>-0.15312999486923201</v>
      </c>
      <c r="S197" s="2">
        <f t="shared" si="32"/>
        <v>5.8000000000000005E-3</v>
      </c>
      <c r="U197" s="2">
        <v>303.60000610351602</v>
      </c>
      <c r="V197" s="2">
        <f t="shared" si="33"/>
        <v>0.24349999999999999</v>
      </c>
      <c r="W197" s="2">
        <v>-0.180989995598793</v>
      </c>
      <c r="X197" s="2">
        <f t="shared" si="34"/>
        <v>5.8000000000000005E-3</v>
      </c>
    </row>
    <row r="198" spans="1:24" x14ac:dyDescent="0.25">
      <c r="A198" s="2">
        <v>257.39999389648398</v>
      </c>
      <c r="B198" s="2">
        <f t="shared" si="25"/>
        <v>0.20649999999999999</v>
      </c>
      <c r="C198" s="2">
        <v>-0.39359998703002902</v>
      </c>
      <c r="D198" s="2">
        <f t="shared" si="26"/>
        <v>5.8000000000000005E-3</v>
      </c>
      <c r="F198" s="2">
        <v>121.5</v>
      </c>
      <c r="G198" s="2">
        <f t="shared" si="27"/>
        <v>9.7799999999999998E-2</v>
      </c>
      <c r="H198" s="2">
        <v>-0.35124999284744302</v>
      </c>
      <c r="I198" s="2">
        <f t="shared" si="28"/>
        <v>5.8000000000000005E-3</v>
      </c>
      <c r="K198" s="2">
        <v>222.10000610351599</v>
      </c>
      <c r="L198" s="2">
        <f t="shared" si="29"/>
        <v>0.17829999999999999</v>
      </c>
      <c r="M198" s="2">
        <v>-0.297809988260269</v>
      </c>
      <c r="N198" s="2">
        <f t="shared" si="30"/>
        <v>5.8000000000000005E-3</v>
      </c>
      <c r="P198" s="2">
        <v>412.5</v>
      </c>
      <c r="Q198" s="2">
        <f t="shared" si="31"/>
        <v>0.3306</v>
      </c>
      <c r="R198" s="2">
        <v>-0.14544999599456801</v>
      </c>
      <c r="S198" s="2">
        <f t="shared" si="32"/>
        <v>5.8000000000000005E-3</v>
      </c>
      <c r="U198" s="2">
        <v>304.20001220703102</v>
      </c>
      <c r="V198" s="2">
        <f t="shared" si="33"/>
        <v>0.24399999999999999</v>
      </c>
      <c r="W198" s="2">
        <v>-0.18095000088214899</v>
      </c>
      <c r="X198" s="2">
        <f t="shared" si="34"/>
        <v>5.8000000000000005E-3</v>
      </c>
    </row>
    <row r="199" spans="1:24" x14ac:dyDescent="0.25">
      <c r="A199" s="2">
        <v>265.60000610351602</v>
      </c>
      <c r="B199" s="2">
        <f t="shared" si="25"/>
        <v>0.21309999999999998</v>
      </c>
      <c r="C199" s="2">
        <v>-0.39182001352310197</v>
      </c>
      <c r="D199" s="2">
        <f t="shared" si="26"/>
        <v>5.8000000000000005E-3</v>
      </c>
      <c r="F199" s="2">
        <v>121.5</v>
      </c>
      <c r="G199" s="2">
        <f t="shared" si="27"/>
        <v>9.7799999999999998E-2</v>
      </c>
      <c r="H199" s="2">
        <v>-0.35124999284744302</v>
      </c>
      <c r="I199" s="2">
        <f t="shared" si="28"/>
        <v>5.8000000000000005E-3</v>
      </c>
      <c r="K199" s="2">
        <v>224.60000610351599</v>
      </c>
      <c r="L199" s="2">
        <f t="shared" si="29"/>
        <v>0.18029999999999999</v>
      </c>
      <c r="M199" s="2">
        <v>-0.29758000373840299</v>
      </c>
      <c r="N199" s="2">
        <f t="shared" si="30"/>
        <v>5.8000000000000005E-3</v>
      </c>
      <c r="P199" s="2">
        <v>414.20001220703102</v>
      </c>
      <c r="Q199" s="2">
        <f t="shared" si="31"/>
        <v>0.33199999999999996</v>
      </c>
      <c r="R199" s="2">
        <v>-0.14427000284194899</v>
      </c>
      <c r="S199" s="2">
        <f t="shared" si="32"/>
        <v>5.8000000000000005E-3</v>
      </c>
      <c r="U199" s="2">
        <v>308.60000610351602</v>
      </c>
      <c r="V199" s="2">
        <f t="shared" si="33"/>
        <v>0.2475</v>
      </c>
      <c r="W199" s="2">
        <v>-0.179839998483658</v>
      </c>
      <c r="X199" s="2">
        <f t="shared" si="34"/>
        <v>5.8000000000000005E-3</v>
      </c>
    </row>
    <row r="200" spans="1:24" x14ac:dyDescent="0.25">
      <c r="A200" s="2">
        <v>266</v>
      </c>
      <c r="B200" s="2">
        <f t="shared" si="25"/>
        <v>0.21339999999999998</v>
      </c>
      <c r="C200" s="2">
        <v>-0.391799986362457</v>
      </c>
      <c r="D200" s="2">
        <f t="shared" si="26"/>
        <v>5.8000000000000005E-3</v>
      </c>
      <c r="F200" s="2">
        <v>121.5</v>
      </c>
      <c r="G200" s="2">
        <f t="shared" si="27"/>
        <v>9.7799999999999998E-2</v>
      </c>
      <c r="H200" s="2">
        <v>-0.351260006427765</v>
      </c>
      <c r="I200" s="2">
        <f t="shared" si="28"/>
        <v>5.8000000000000005E-3</v>
      </c>
      <c r="K200" s="2">
        <v>226.30000305175801</v>
      </c>
      <c r="L200" s="2">
        <f t="shared" si="29"/>
        <v>0.1817</v>
      </c>
      <c r="M200" s="2">
        <v>-0.29736998677253701</v>
      </c>
      <c r="N200" s="2">
        <f t="shared" si="30"/>
        <v>5.8000000000000005E-3</v>
      </c>
      <c r="P200" s="2">
        <v>415.5</v>
      </c>
      <c r="Q200" s="2">
        <f t="shared" si="31"/>
        <v>0.33299999999999996</v>
      </c>
      <c r="R200" s="2">
        <v>-0.14188000559806799</v>
      </c>
      <c r="S200" s="2">
        <f t="shared" si="32"/>
        <v>5.8000000000000005E-3</v>
      </c>
      <c r="U200" s="2">
        <v>308.60000610351602</v>
      </c>
      <c r="V200" s="2">
        <f t="shared" si="33"/>
        <v>0.2475</v>
      </c>
      <c r="W200" s="2">
        <v>-0.17978000640869099</v>
      </c>
      <c r="X200" s="2">
        <f t="shared" si="34"/>
        <v>5.8000000000000005E-3</v>
      </c>
    </row>
    <row r="201" spans="1:24" x14ac:dyDescent="0.25">
      <c r="A201" s="2">
        <v>266</v>
      </c>
      <c r="B201" s="2">
        <f t="shared" si="25"/>
        <v>0.21339999999999998</v>
      </c>
      <c r="C201" s="2">
        <v>-0.39177000522613498</v>
      </c>
      <c r="D201" s="2">
        <f t="shared" si="26"/>
        <v>5.8000000000000005E-3</v>
      </c>
      <c r="F201" s="2">
        <v>121.5</v>
      </c>
      <c r="G201" s="2">
        <f t="shared" si="27"/>
        <v>9.7799999999999998E-2</v>
      </c>
      <c r="H201" s="2">
        <v>-0.35126999020576499</v>
      </c>
      <c r="I201" s="2">
        <f t="shared" si="28"/>
        <v>5.8000000000000005E-3</v>
      </c>
      <c r="K201" s="2">
        <v>239.69999694824199</v>
      </c>
      <c r="L201" s="2">
        <f t="shared" si="29"/>
        <v>0.19239999999999999</v>
      </c>
      <c r="M201" s="2">
        <v>-0.29602000117301902</v>
      </c>
      <c r="N201" s="2">
        <f t="shared" si="30"/>
        <v>5.8000000000000005E-3</v>
      </c>
      <c r="P201" s="2">
        <v>419.20001220703102</v>
      </c>
      <c r="Q201" s="2">
        <f t="shared" si="31"/>
        <v>0.33599999999999997</v>
      </c>
      <c r="R201" s="2">
        <v>-0.13594999909400901</v>
      </c>
      <c r="S201" s="2">
        <f t="shared" si="32"/>
        <v>5.8000000000000005E-3</v>
      </c>
      <c r="U201" s="2">
        <v>308.60000610351602</v>
      </c>
      <c r="V201" s="2">
        <f t="shared" si="33"/>
        <v>0.2475</v>
      </c>
      <c r="W201" s="2">
        <v>-0.17953999340534199</v>
      </c>
      <c r="X201" s="2">
        <f t="shared" si="34"/>
        <v>5.8000000000000005E-3</v>
      </c>
    </row>
    <row r="202" spans="1:24" x14ac:dyDescent="0.25">
      <c r="A202" s="2">
        <v>266.10000610351602</v>
      </c>
      <c r="B202" s="2">
        <f t="shared" si="25"/>
        <v>0.2135</v>
      </c>
      <c r="C202" s="2">
        <v>-0.391750007867813</v>
      </c>
      <c r="D202" s="2">
        <f t="shared" si="26"/>
        <v>5.8000000000000005E-3</v>
      </c>
      <c r="F202" s="2">
        <v>121.5</v>
      </c>
      <c r="G202" s="2">
        <f t="shared" si="27"/>
        <v>9.7799999999999998E-2</v>
      </c>
      <c r="H202" s="2">
        <v>-0.35126999020576499</v>
      </c>
      <c r="I202" s="2">
        <f t="shared" si="28"/>
        <v>5.8000000000000005E-3</v>
      </c>
      <c r="K202" s="2">
        <v>242.69999694824199</v>
      </c>
      <c r="L202" s="2">
        <f t="shared" si="29"/>
        <v>0.1948</v>
      </c>
      <c r="M202" s="2">
        <v>-0.29576000571250899</v>
      </c>
      <c r="N202" s="2">
        <f t="shared" si="30"/>
        <v>5.8000000000000005E-3</v>
      </c>
      <c r="P202" s="2">
        <v>423.29998779296898</v>
      </c>
      <c r="Q202" s="2">
        <f t="shared" si="31"/>
        <v>0.33929999999999999</v>
      </c>
      <c r="R202" s="2">
        <v>-0.128849998116493</v>
      </c>
      <c r="S202" s="2">
        <f t="shared" si="32"/>
        <v>5.8000000000000005E-3</v>
      </c>
      <c r="U202" s="2">
        <v>310.29998779296898</v>
      </c>
      <c r="V202" s="2">
        <f t="shared" si="33"/>
        <v>0.24889999999999998</v>
      </c>
      <c r="W202" s="2">
        <v>-0.179289996623993</v>
      </c>
      <c r="X202" s="2">
        <f t="shared" si="34"/>
        <v>5.8000000000000005E-3</v>
      </c>
    </row>
    <row r="203" spans="1:24" x14ac:dyDescent="0.25">
      <c r="A203" s="2">
        <v>272.29998779296898</v>
      </c>
      <c r="B203" s="2">
        <f t="shared" si="25"/>
        <v>0.2185</v>
      </c>
      <c r="C203" s="2">
        <v>-0.39024001359939597</v>
      </c>
      <c r="D203" s="2">
        <f t="shared" si="26"/>
        <v>5.8000000000000005E-3</v>
      </c>
      <c r="F203" s="2">
        <v>121.5</v>
      </c>
      <c r="G203" s="2">
        <f t="shared" si="27"/>
        <v>9.7799999999999998E-2</v>
      </c>
      <c r="H203" s="2">
        <v>-0.351260006427765</v>
      </c>
      <c r="I203" s="2">
        <f t="shared" si="28"/>
        <v>5.8000000000000005E-3</v>
      </c>
      <c r="K203" s="2">
        <v>248.5</v>
      </c>
      <c r="L203" s="2">
        <f t="shared" si="29"/>
        <v>0.19939999999999999</v>
      </c>
      <c r="M203" s="2">
        <v>-0.29497000575065602</v>
      </c>
      <c r="N203" s="2">
        <f t="shared" si="30"/>
        <v>5.8000000000000005E-3</v>
      </c>
      <c r="P203" s="2">
        <v>427.89999389648398</v>
      </c>
      <c r="Q203" s="2">
        <f t="shared" si="31"/>
        <v>0.34289999999999998</v>
      </c>
      <c r="R203" s="2">
        <v>-0.11986000090837499</v>
      </c>
      <c r="S203" s="2">
        <f t="shared" si="32"/>
        <v>5.8000000000000005E-3</v>
      </c>
      <c r="U203" s="2">
        <v>312.29998779296898</v>
      </c>
      <c r="V203" s="2">
        <f t="shared" si="33"/>
        <v>0.2505</v>
      </c>
      <c r="W203" s="2">
        <v>-0.178529992699623</v>
      </c>
      <c r="X203" s="2">
        <f t="shared" si="34"/>
        <v>5.8000000000000005E-3</v>
      </c>
    </row>
    <row r="204" spans="1:24" x14ac:dyDescent="0.25">
      <c r="A204" s="2">
        <v>272.89999389648398</v>
      </c>
      <c r="B204" s="2">
        <f t="shared" si="25"/>
        <v>0.21889999999999998</v>
      </c>
      <c r="C204" s="2">
        <v>-0.39019998908042902</v>
      </c>
      <c r="D204" s="2">
        <f t="shared" si="26"/>
        <v>5.8000000000000005E-3</v>
      </c>
      <c r="F204" s="2">
        <v>123.199996948242</v>
      </c>
      <c r="G204" s="2">
        <f t="shared" si="27"/>
        <v>9.9199999999999997E-2</v>
      </c>
      <c r="H204" s="2">
        <v>-0.35124999284744302</v>
      </c>
      <c r="I204" s="2">
        <f t="shared" si="28"/>
        <v>5.8000000000000005E-3</v>
      </c>
      <c r="K204" s="2">
        <v>244.89999389648401</v>
      </c>
      <c r="L204" s="2">
        <f t="shared" si="29"/>
        <v>0.19649999999999998</v>
      </c>
      <c r="M204" s="2">
        <v>-0.29557999968528698</v>
      </c>
      <c r="N204" s="2">
        <f t="shared" si="30"/>
        <v>5.8000000000000005E-3</v>
      </c>
      <c r="P204" s="2">
        <v>434.29998779296898</v>
      </c>
      <c r="Q204" s="2">
        <f t="shared" si="31"/>
        <v>0.34809999999999997</v>
      </c>
      <c r="R204" s="2">
        <v>-0.105669997632504</v>
      </c>
      <c r="S204" s="2">
        <f t="shared" si="32"/>
        <v>5.8000000000000005E-3</v>
      </c>
      <c r="U204" s="2">
        <v>320.10000610351602</v>
      </c>
      <c r="V204" s="2">
        <f t="shared" si="33"/>
        <v>0.25669999999999998</v>
      </c>
      <c r="W204" s="2">
        <v>-0.17626999318599701</v>
      </c>
      <c r="X204" s="2">
        <f t="shared" si="34"/>
        <v>5.8000000000000005E-3</v>
      </c>
    </row>
    <row r="205" spans="1:24" x14ac:dyDescent="0.25">
      <c r="A205" s="2">
        <v>274.60000610351602</v>
      </c>
      <c r="B205" s="2">
        <f t="shared" si="25"/>
        <v>0.2203</v>
      </c>
      <c r="C205" s="2">
        <v>-0.38969999551773099</v>
      </c>
      <c r="D205" s="2">
        <f t="shared" si="26"/>
        <v>5.8000000000000005E-3</v>
      </c>
      <c r="F205" s="2">
        <v>124.699996948242</v>
      </c>
      <c r="G205" s="2">
        <f t="shared" si="27"/>
        <v>0.1004</v>
      </c>
      <c r="H205" s="2">
        <v>-0.35122999548911998</v>
      </c>
      <c r="I205" s="2">
        <f t="shared" si="28"/>
        <v>5.8000000000000005E-3</v>
      </c>
      <c r="K205" s="2">
        <v>248</v>
      </c>
      <c r="L205" s="2">
        <f t="shared" si="29"/>
        <v>0.19899999999999998</v>
      </c>
      <c r="M205" s="2">
        <v>-0.29517000913620001</v>
      </c>
      <c r="N205" s="2">
        <f t="shared" si="30"/>
        <v>5.8000000000000005E-3</v>
      </c>
      <c r="P205" s="2">
        <v>436.29998779296898</v>
      </c>
      <c r="Q205" s="2">
        <f t="shared" si="31"/>
        <v>0.34970000000000001</v>
      </c>
      <c r="R205" s="2">
        <v>-0.101590000092983</v>
      </c>
      <c r="S205" s="2">
        <f t="shared" si="32"/>
        <v>5.8000000000000005E-3</v>
      </c>
      <c r="U205" s="2">
        <v>325.20001220703102</v>
      </c>
      <c r="V205" s="2">
        <f t="shared" si="33"/>
        <v>0.26079999999999998</v>
      </c>
      <c r="W205" s="2">
        <v>-0.174649998545647</v>
      </c>
      <c r="X205" s="2">
        <f t="shared" si="34"/>
        <v>5.8000000000000005E-3</v>
      </c>
    </row>
    <row r="206" spans="1:24" x14ac:dyDescent="0.25">
      <c r="A206" s="2">
        <v>276.29998779296898</v>
      </c>
      <c r="B206" s="2">
        <f t="shared" si="25"/>
        <v>0.22169999999999998</v>
      </c>
      <c r="C206" s="2">
        <v>-0.38927999138832098</v>
      </c>
      <c r="D206" s="2">
        <f t="shared" si="26"/>
        <v>5.8000000000000005E-3</v>
      </c>
      <c r="F206" s="2">
        <v>125</v>
      </c>
      <c r="G206" s="2">
        <f t="shared" si="27"/>
        <v>0.10060000000000001</v>
      </c>
      <c r="H206" s="2">
        <v>-0.35120001435279802</v>
      </c>
      <c r="I206" s="2">
        <f t="shared" si="28"/>
        <v>5.8000000000000005E-3</v>
      </c>
      <c r="K206" s="2">
        <v>249.5</v>
      </c>
      <c r="L206" s="2">
        <f t="shared" si="29"/>
        <v>0.20019999999999999</v>
      </c>
      <c r="M206" s="2">
        <v>-0.29486000537872298</v>
      </c>
      <c r="N206" s="2">
        <f t="shared" si="30"/>
        <v>5.8000000000000005E-3</v>
      </c>
      <c r="P206" s="2">
        <v>438.20001220703102</v>
      </c>
      <c r="Q206" s="2">
        <f t="shared" si="31"/>
        <v>0.35120000000000001</v>
      </c>
      <c r="R206" s="2">
        <v>-9.7630001604556996E-2</v>
      </c>
      <c r="S206" s="2">
        <f t="shared" si="32"/>
        <v>5.8000000000000005E-3</v>
      </c>
      <c r="U206" s="2">
        <v>340.5</v>
      </c>
      <c r="V206" s="2">
        <f t="shared" si="33"/>
        <v>0.27299999999999996</v>
      </c>
      <c r="W206" s="2">
        <v>-0.167899996042252</v>
      </c>
      <c r="X206" s="2">
        <f t="shared" si="34"/>
        <v>5.8000000000000005E-3</v>
      </c>
    </row>
    <row r="207" spans="1:24" x14ac:dyDescent="0.25">
      <c r="A207" s="2">
        <v>278</v>
      </c>
      <c r="B207" s="2">
        <f t="shared" si="25"/>
        <v>0.22299999999999998</v>
      </c>
      <c r="C207" s="2">
        <v>-0.38881000876426702</v>
      </c>
      <c r="D207" s="2">
        <f t="shared" si="26"/>
        <v>5.8000000000000005E-3</v>
      </c>
      <c r="F207" s="2">
        <v>125</v>
      </c>
      <c r="G207" s="2">
        <f t="shared" si="27"/>
        <v>0.10060000000000001</v>
      </c>
      <c r="H207" s="2">
        <v>-0.35119000077247597</v>
      </c>
      <c r="I207" s="2">
        <f t="shared" si="28"/>
        <v>5.8000000000000005E-3</v>
      </c>
      <c r="K207" s="2">
        <v>252.69999694824199</v>
      </c>
      <c r="L207" s="2">
        <f t="shared" si="29"/>
        <v>0.20279999999999998</v>
      </c>
      <c r="M207" s="2">
        <v>-0.29438999295234702</v>
      </c>
      <c r="N207" s="2">
        <f t="shared" si="30"/>
        <v>5.8000000000000005E-3</v>
      </c>
      <c r="P207" s="2">
        <v>440.70001220703102</v>
      </c>
      <c r="Q207" s="2">
        <f t="shared" si="31"/>
        <v>0.35320000000000001</v>
      </c>
      <c r="R207" s="2">
        <v>-9.1719999909400898E-2</v>
      </c>
      <c r="S207" s="2">
        <f t="shared" si="32"/>
        <v>5.8000000000000005E-3</v>
      </c>
      <c r="U207" s="2">
        <v>345.60000610351602</v>
      </c>
      <c r="V207" s="2">
        <f t="shared" si="33"/>
        <v>0.27710000000000001</v>
      </c>
      <c r="W207" s="2">
        <v>-0.165529996156693</v>
      </c>
      <c r="X207" s="2">
        <f t="shared" si="34"/>
        <v>5.8000000000000005E-3</v>
      </c>
    </row>
    <row r="208" spans="1:24" x14ac:dyDescent="0.25">
      <c r="A208" s="2">
        <v>277.89999389648398</v>
      </c>
      <c r="B208" s="2">
        <f t="shared" si="25"/>
        <v>0.22289999999999999</v>
      </c>
      <c r="C208" s="2">
        <v>-0.38879001140594499</v>
      </c>
      <c r="D208" s="2">
        <f t="shared" si="26"/>
        <v>5.8000000000000005E-3</v>
      </c>
      <c r="F208" s="2">
        <v>125</v>
      </c>
      <c r="G208" s="2">
        <f t="shared" si="27"/>
        <v>0.10060000000000001</v>
      </c>
      <c r="H208" s="2">
        <v>-0.351170003414154</v>
      </c>
      <c r="I208" s="2">
        <f t="shared" si="28"/>
        <v>5.8000000000000005E-3</v>
      </c>
      <c r="K208" s="2">
        <v>254.89999389648401</v>
      </c>
      <c r="L208" s="2">
        <f t="shared" si="29"/>
        <v>0.20449999999999999</v>
      </c>
      <c r="M208" s="2">
        <v>-0.29414999485015902</v>
      </c>
      <c r="N208" s="2">
        <f t="shared" si="30"/>
        <v>5.8000000000000005E-3</v>
      </c>
      <c r="P208" s="2">
        <v>450.70001220703102</v>
      </c>
      <c r="Q208" s="2">
        <f t="shared" si="31"/>
        <v>0.36119999999999997</v>
      </c>
      <c r="R208" s="2">
        <v>-6.7319996654987294E-2</v>
      </c>
      <c r="S208" s="2">
        <f t="shared" si="32"/>
        <v>5.8000000000000005E-3</v>
      </c>
      <c r="U208" s="2">
        <v>351.29998779296898</v>
      </c>
      <c r="V208" s="2">
        <f t="shared" si="33"/>
        <v>0.28170000000000001</v>
      </c>
      <c r="W208" s="2">
        <v>-0.162900000810623</v>
      </c>
      <c r="X208" s="2">
        <f t="shared" si="34"/>
        <v>5.8000000000000005E-3</v>
      </c>
    </row>
    <row r="209" spans="1:24" x14ac:dyDescent="0.25">
      <c r="A209" s="2">
        <v>279.60000610351602</v>
      </c>
      <c r="B209" s="2">
        <f t="shared" si="25"/>
        <v>0.2243</v>
      </c>
      <c r="C209" s="2">
        <v>-0.38841998577117898</v>
      </c>
      <c r="D209" s="2">
        <f t="shared" si="26"/>
        <v>5.8000000000000005E-3</v>
      </c>
      <c r="F209" s="2">
        <v>125</v>
      </c>
      <c r="G209" s="2">
        <f t="shared" si="27"/>
        <v>0.10060000000000001</v>
      </c>
      <c r="H209" s="2">
        <v>-0.35117998719215399</v>
      </c>
      <c r="I209" s="2">
        <f t="shared" si="28"/>
        <v>5.8000000000000005E-3</v>
      </c>
      <c r="K209" s="2">
        <v>256.79998779296898</v>
      </c>
      <c r="L209" s="2">
        <f t="shared" si="29"/>
        <v>0.20609999999999998</v>
      </c>
      <c r="M209" s="2">
        <v>-0.29390999674797103</v>
      </c>
      <c r="N209" s="2">
        <f t="shared" si="30"/>
        <v>5.8000000000000005E-3</v>
      </c>
      <c r="P209" s="2">
        <v>453.5</v>
      </c>
      <c r="Q209" s="2">
        <f t="shared" si="31"/>
        <v>0.3634</v>
      </c>
      <c r="R209" s="2">
        <v>-5.9300001710653298E-2</v>
      </c>
      <c r="S209" s="2">
        <f t="shared" si="32"/>
        <v>5.8000000000000005E-3</v>
      </c>
      <c r="U209" s="2">
        <v>354.60000610351602</v>
      </c>
      <c r="V209" s="2">
        <f t="shared" si="33"/>
        <v>0.2843</v>
      </c>
      <c r="W209" s="2">
        <v>-0.16090999543666801</v>
      </c>
      <c r="X209" s="2">
        <f t="shared" si="34"/>
        <v>5.8000000000000005E-3</v>
      </c>
    </row>
    <row r="210" spans="1:24" x14ac:dyDescent="0.25">
      <c r="A210" s="2">
        <v>279.70001220703102</v>
      </c>
      <c r="B210" s="2">
        <f t="shared" si="25"/>
        <v>0.22439999999999999</v>
      </c>
      <c r="C210" s="2">
        <v>-0.38839000463485701</v>
      </c>
      <c r="D210" s="2">
        <f t="shared" si="26"/>
        <v>5.8000000000000005E-3</v>
      </c>
      <c r="F210" s="2">
        <v>125.300003051758</v>
      </c>
      <c r="G210" s="2">
        <f t="shared" si="27"/>
        <v>0.1009</v>
      </c>
      <c r="H210" s="2">
        <v>-0.35117998719215399</v>
      </c>
      <c r="I210" s="2">
        <f t="shared" si="28"/>
        <v>5.8000000000000005E-3</v>
      </c>
      <c r="K210" s="2">
        <v>258.10000610351602</v>
      </c>
      <c r="L210" s="2">
        <f t="shared" si="29"/>
        <v>0.20709999999999998</v>
      </c>
      <c r="M210" s="2">
        <v>-0.29387000203132602</v>
      </c>
      <c r="N210" s="2">
        <f t="shared" si="30"/>
        <v>5.8000000000000005E-3</v>
      </c>
      <c r="P210" s="2">
        <v>457.39999389648398</v>
      </c>
      <c r="Q210" s="2">
        <f t="shared" si="31"/>
        <v>0.36649999999999999</v>
      </c>
      <c r="R210" s="2">
        <v>-4.8569999635219602E-2</v>
      </c>
      <c r="S210" s="2">
        <f t="shared" si="32"/>
        <v>5.8000000000000005E-3</v>
      </c>
      <c r="U210" s="2">
        <v>358.89999389648398</v>
      </c>
      <c r="V210" s="2">
        <f t="shared" si="33"/>
        <v>0.28770000000000001</v>
      </c>
      <c r="W210" s="2">
        <v>-0.15855999290943101</v>
      </c>
      <c r="X210" s="2">
        <f t="shared" si="34"/>
        <v>5.8000000000000005E-3</v>
      </c>
    </row>
    <row r="211" spans="1:24" x14ac:dyDescent="0.25">
      <c r="A211" s="2">
        <v>281.29998779296898</v>
      </c>
      <c r="B211" s="2">
        <f t="shared" si="25"/>
        <v>0.22569999999999998</v>
      </c>
      <c r="C211" s="2">
        <v>-0.38784000277519198</v>
      </c>
      <c r="D211" s="2">
        <f t="shared" si="26"/>
        <v>5.8000000000000005E-3</v>
      </c>
      <c r="F211" s="2">
        <v>126.5</v>
      </c>
      <c r="G211" s="2">
        <f t="shared" si="27"/>
        <v>0.1018</v>
      </c>
      <c r="H211" s="2">
        <v>-0.351170003414154</v>
      </c>
      <c r="I211" s="2">
        <f t="shared" si="28"/>
        <v>5.8000000000000005E-3</v>
      </c>
      <c r="K211" s="2">
        <v>259.60000610351602</v>
      </c>
      <c r="L211" s="2">
        <f t="shared" si="29"/>
        <v>0.20829999999999999</v>
      </c>
      <c r="M211" s="2">
        <v>-0.293599992990494</v>
      </c>
      <c r="N211" s="2">
        <f t="shared" si="30"/>
        <v>5.8000000000000005E-3</v>
      </c>
      <c r="P211" s="2">
        <v>462.10000610351602</v>
      </c>
      <c r="Q211" s="2">
        <f t="shared" si="31"/>
        <v>0.37029999999999996</v>
      </c>
      <c r="R211" s="2">
        <v>-3.4979999065399198E-2</v>
      </c>
      <c r="S211" s="2">
        <f t="shared" si="32"/>
        <v>5.8000000000000005E-3</v>
      </c>
      <c r="U211" s="2">
        <v>361.70001220703102</v>
      </c>
      <c r="V211" s="2">
        <f t="shared" si="33"/>
        <v>0.28999999999999998</v>
      </c>
      <c r="W211" s="2">
        <v>-0.155719995498657</v>
      </c>
      <c r="X211" s="2">
        <f t="shared" si="34"/>
        <v>5.8000000000000005E-3</v>
      </c>
    </row>
    <row r="212" spans="1:24" x14ac:dyDescent="0.25">
      <c r="A212" s="2">
        <v>283</v>
      </c>
      <c r="B212" s="2">
        <f t="shared" si="25"/>
        <v>0.22699999999999998</v>
      </c>
      <c r="C212" s="2">
        <v>-0.38738000392913802</v>
      </c>
      <c r="D212" s="2">
        <f t="shared" si="26"/>
        <v>5.8000000000000005E-3</v>
      </c>
      <c r="F212" s="2">
        <v>126.699996948242</v>
      </c>
      <c r="G212" s="2">
        <f t="shared" si="27"/>
        <v>0.10200000000000001</v>
      </c>
      <c r="H212" s="2">
        <v>-0.35115000605583202</v>
      </c>
      <c r="I212" s="2">
        <f t="shared" si="28"/>
        <v>5.8000000000000005E-3</v>
      </c>
      <c r="K212" s="2">
        <v>260.60000610351602</v>
      </c>
      <c r="L212" s="2">
        <f t="shared" si="29"/>
        <v>0.20909999999999998</v>
      </c>
      <c r="M212" s="2">
        <v>-0.29333001375198398</v>
      </c>
      <c r="N212" s="2">
        <f t="shared" si="30"/>
        <v>5.8000000000000005E-3</v>
      </c>
      <c r="P212" s="2">
        <v>465.5</v>
      </c>
      <c r="Q212" s="2">
        <f t="shared" si="31"/>
        <v>0.373</v>
      </c>
      <c r="R212" s="2">
        <v>-2.68300008028746E-2</v>
      </c>
      <c r="S212" s="2">
        <f t="shared" si="32"/>
        <v>5.8000000000000005E-3</v>
      </c>
      <c r="U212" s="2">
        <v>366.79998779296898</v>
      </c>
      <c r="V212" s="2">
        <f t="shared" si="33"/>
        <v>0.29409999999999997</v>
      </c>
      <c r="W212" s="2">
        <v>-0.15241000056266801</v>
      </c>
      <c r="X212" s="2">
        <f t="shared" si="34"/>
        <v>5.8000000000000005E-3</v>
      </c>
    </row>
    <row r="213" spans="1:24" x14ac:dyDescent="0.25">
      <c r="A213" s="2">
        <v>283.10000610351602</v>
      </c>
      <c r="B213" s="2">
        <f t="shared" si="25"/>
        <v>0.2271</v>
      </c>
      <c r="C213" s="2">
        <v>-0.38738000392913802</v>
      </c>
      <c r="D213" s="2">
        <f t="shared" si="26"/>
        <v>5.8000000000000005E-3</v>
      </c>
      <c r="F213" s="2">
        <v>126.699996948242</v>
      </c>
      <c r="G213" s="2">
        <f t="shared" si="27"/>
        <v>0.10200000000000001</v>
      </c>
      <c r="H213" s="2">
        <v>-0.35113999247550998</v>
      </c>
      <c r="I213" s="2">
        <f t="shared" si="28"/>
        <v>5.8000000000000005E-3</v>
      </c>
      <c r="K213" s="2">
        <v>263.60000610351602</v>
      </c>
      <c r="L213" s="2">
        <f t="shared" si="29"/>
        <v>0.21149999999999999</v>
      </c>
      <c r="M213" s="2">
        <v>-0.292879998683929</v>
      </c>
      <c r="N213" s="2">
        <f t="shared" si="30"/>
        <v>5.8000000000000005E-3</v>
      </c>
      <c r="P213" s="2">
        <v>473.39999389648398</v>
      </c>
      <c r="Q213" s="2">
        <f t="shared" si="31"/>
        <v>0.37929999999999997</v>
      </c>
      <c r="R213" s="2">
        <v>-1.0999999940395401E-3</v>
      </c>
      <c r="S213" s="2">
        <f t="shared" si="32"/>
        <v>5.8000000000000005E-3</v>
      </c>
      <c r="U213" s="2">
        <v>368.60000610351602</v>
      </c>
      <c r="V213" s="2">
        <f t="shared" si="33"/>
        <v>0.29549999999999998</v>
      </c>
      <c r="W213" s="2">
        <v>-0.15084999799728399</v>
      </c>
      <c r="X213" s="2">
        <f t="shared" si="34"/>
        <v>5.8000000000000005E-3</v>
      </c>
    </row>
    <row r="214" spans="1:24" x14ac:dyDescent="0.25">
      <c r="A214" s="2">
        <v>284.70001220703102</v>
      </c>
      <c r="B214" s="2">
        <f t="shared" si="25"/>
        <v>0.22839999999999999</v>
      </c>
      <c r="C214" s="2">
        <v>-0.386869996786118</v>
      </c>
      <c r="D214" s="2">
        <f t="shared" si="26"/>
        <v>5.8000000000000005E-3</v>
      </c>
      <c r="F214" s="2">
        <v>126.699996948242</v>
      </c>
      <c r="G214" s="2">
        <f t="shared" si="27"/>
        <v>0.10200000000000001</v>
      </c>
      <c r="H214" s="2">
        <v>-0.35113000869750999</v>
      </c>
      <c r="I214" s="2">
        <f t="shared" si="28"/>
        <v>5.8000000000000005E-3</v>
      </c>
      <c r="K214" s="2">
        <v>267.5</v>
      </c>
      <c r="L214" s="2">
        <f t="shared" si="29"/>
        <v>0.21459999999999999</v>
      </c>
      <c r="M214" s="2">
        <v>-0.29214000701904302</v>
      </c>
      <c r="N214" s="2">
        <f t="shared" si="30"/>
        <v>5.8000000000000005E-3</v>
      </c>
      <c r="P214" s="2">
        <v>474.60000610351602</v>
      </c>
      <c r="Q214" s="2">
        <f t="shared" si="31"/>
        <v>0.38029999999999997</v>
      </c>
      <c r="R214" s="2">
        <v>9.2999998014420303E-4</v>
      </c>
      <c r="S214" s="2">
        <f t="shared" si="32"/>
        <v>5.8000000000000005E-3</v>
      </c>
      <c r="U214" s="2">
        <v>372</v>
      </c>
      <c r="V214" s="2">
        <f t="shared" si="33"/>
        <v>0.29819999999999997</v>
      </c>
      <c r="W214" s="2">
        <v>-0.14880000054836301</v>
      </c>
      <c r="X214" s="2">
        <f t="shared" si="34"/>
        <v>5.8000000000000005E-3</v>
      </c>
    </row>
    <row r="215" spans="1:24" x14ac:dyDescent="0.25">
      <c r="A215" s="2">
        <v>287.29998779296898</v>
      </c>
      <c r="B215" s="2">
        <f t="shared" si="25"/>
        <v>0.23049999999999998</v>
      </c>
      <c r="C215" s="2">
        <v>-0.38611000776290899</v>
      </c>
      <c r="D215" s="2">
        <f t="shared" si="26"/>
        <v>5.8000000000000005E-3</v>
      </c>
      <c r="F215" s="2">
        <v>126.699996948242</v>
      </c>
      <c r="G215" s="2">
        <f t="shared" si="27"/>
        <v>0.10200000000000001</v>
      </c>
      <c r="H215" s="2">
        <v>-0.35113999247550998</v>
      </c>
      <c r="I215" s="2">
        <f t="shared" si="28"/>
        <v>5.8000000000000005E-3</v>
      </c>
      <c r="K215" s="2">
        <v>271.20001220703102</v>
      </c>
      <c r="L215" s="2">
        <f t="shared" si="29"/>
        <v>0.21759999999999999</v>
      </c>
      <c r="M215" s="2">
        <v>-0.291590005159378</v>
      </c>
      <c r="N215" s="2">
        <f t="shared" si="30"/>
        <v>5.8000000000000005E-3</v>
      </c>
      <c r="P215" s="2">
        <v>475.10000610351602</v>
      </c>
      <c r="Q215" s="2">
        <f t="shared" si="31"/>
        <v>0.38069999999999998</v>
      </c>
      <c r="R215" s="2">
        <v>2.2599999792873898E-3</v>
      </c>
      <c r="S215" s="2">
        <f t="shared" si="32"/>
        <v>5.8000000000000005E-3</v>
      </c>
      <c r="U215" s="2">
        <v>374.79998779296898</v>
      </c>
      <c r="V215" s="2">
        <f t="shared" si="33"/>
        <v>0.30049999999999999</v>
      </c>
      <c r="W215" s="2">
        <v>-0.14640000462531999</v>
      </c>
      <c r="X215" s="2">
        <f t="shared" si="34"/>
        <v>5.8000000000000005E-3</v>
      </c>
    </row>
    <row r="216" spans="1:24" x14ac:dyDescent="0.25">
      <c r="A216" s="2">
        <v>296.70001220703102</v>
      </c>
      <c r="B216" s="2">
        <f t="shared" si="25"/>
        <v>0.23799999999999999</v>
      </c>
      <c r="C216" s="2">
        <v>-0.382990002632141</v>
      </c>
      <c r="D216" s="2">
        <f t="shared" si="26"/>
        <v>5.8000000000000005E-3</v>
      </c>
      <c r="F216" s="2">
        <v>126.699996948242</v>
      </c>
      <c r="G216" s="2">
        <f t="shared" si="27"/>
        <v>0.10200000000000001</v>
      </c>
      <c r="H216" s="2">
        <v>-0.35113999247550998</v>
      </c>
      <c r="I216" s="2">
        <f t="shared" si="28"/>
        <v>5.8000000000000005E-3</v>
      </c>
      <c r="K216" s="2">
        <v>273.89999389648398</v>
      </c>
      <c r="L216" s="2">
        <f t="shared" si="29"/>
        <v>0.21969999999999998</v>
      </c>
      <c r="M216" s="2">
        <v>-0.291110008955002</v>
      </c>
      <c r="N216" s="2">
        <f t="shared" si="30"/>
        <v>5.8000000000000005E-3</v>
      </c>
      <c r="P216" s="2">
        <v>475.79998779296898</v>
      </c>
      <c r="Q216" s="2">
        <f t="shared" si="31"/>
        <v>0.38129999999999997</v>
      </c>
      <c r="R216" s="2">
        <v>4.67999977990985E-3</v>
      </c>
      <c r="S216" s="2">
        <f t="shared" si="32"/>
        <v>5.8000000000000005E-3</v>
      </c>
      <c r="U216" s="2">
        <v>376.5</v>
      </c>
      <c r="V216" s="2">
        <f t="shared" si="33"/>
        <v>0.30180000000000001</v>
      </c>
      <c r="W216" s="2">
        <v>-0.144909992814064</v>
      </c>
      <c r="X216" s="2">
        <f t="shared" si="34"/>
        <v>5.8000000000000005E-3</v>
      </c>
    </row>
    <row r="217" spans="1:24" x14ac:dyDescent="0.25">
      <c r="A217" s="2">
        <v>296.60000610351602</v>
      </c>
      <c r="B217" s="2">
        <f t="shared" si="25"/>
        <v>0.2379</v>
      </c>
      <c r="C217" s="2">
        <v>-0.382990002632141</v>
      </c>
      <c r="D217" s="2">
        <f t="shared" si="26"/>
        <v>5.8000000000000005E-3</v>
      </c>
      <c r="F217" s="2">
        <v>126.699996948242</v>
      </c>
      <c r="G217" s="2">
        <f t="shared" si="27"/>
        <v>0.10200000000000001</v>
      </c>
      <c r="H217" s="2">
        <v>-0.35115000605583202</v>
      </c>
      <c r="I217" s="2">
        <f t="shared" si="28"/>
        <v>5.8000000000000005E-3</v>
      </c>
      <c r="K217" s="2">
        <v>275.89999389648398</v>
      </c>
      <c r="L217" s="2">
        <f t="shared" si="29"/>
        <v>0.2213</v>
      </c>
      <c r="M217" s="2">
        <v>-0.290870010852814</v>
      </c>
      <c r="N217" s="2">
        <f t="shared" si="30"/>
        <v>5.8000000000000005E-3</v>
      </c>
      <c r="P217" s="2">
        <v>476.89999389648398</v>
      </c>
      <c r="Q217" s="2">
        <f t="shared" si="31"/>
        <v>0.3821</v>
      </c>
      <c r="R217" s="2">
        <v>9.1599998995661701E-3</v>
      </c>
      <c r="S217" s="2">
        <f t="shared" si="32"/>
        <v>5.8000000000000005E-3</v>
      </c>
      <c r="U217" s="2">
        <v>377.70001220703102</v>
      </c>
      <c r="V217" s="2">
        <f t="shared" si="33"/>
        <v>0.30280000000000001</v>
      </c>
      <c r="W217" s="2">
        <v>-0.14358000457286799</v>
      </c>
      <c r="X217" s="2">
        <f t="shared" si="34"/>
        <v>5.8000000000000005E-3</v>
      </c>
    </row>
    <row r="218" spans="1:24" x14ac:dyDescent="0.25">
      <c r="A218" s="2">
        <v>299.89999389648398</v>
      </c>
      <c r="B218" s="2">
        <f t="shared" si="25"/>
        <v>0.24049999999999999</v>
      </c>
      <c r="C218" s="2">
        <v>-0.38172000646591198</v>
      </c>
      <c r="D218" s="2">
        <f t="shared" si="26"/>
        <v>5.8000000000000005E-3</v>
      </c>
      <c r="F218" s="2">
        <v>126.699996948242</v>
      </c>
      <c r="G218" s="2">
        <f t="shared" si="27"/>
        <v>0.10200000000000001</v>
      </c>
      <c r="H218" s="2">
        <v>-0.35115000605583202</v>
      </c>
      <c r="I218" s="2">
        <f t="shared" si="28"/>
        <v>5.8000000000000005E-3</v>
      </c>
      <c r="K218" s="2">
        <v>281.20001220703102</v>
      </c>
      <c r="L218" s="2">
        <f t="shared" si="29"/>
        <v>0.22559999999999999</v>
      </c>
      <c r="M218" s="2">
        <v>-0.28957000374794001</v>
      </c>
      <c r="N218" s="2">
        <f t="shared" si="30"/>
        <v>5.8000000000000005E-3</v>
      </c>
      <c r="P218" s="2">
        <v>479.60000610351602</v>
      </c>
      <c r="Q218" s="2">
        <f t="shared" si="31"/>
        <v>0.38429999999999997</v>
      </c>
      <c r="R218" s="2">
        <v>1.7920000478625301E-2</v>
      </c>
      <c r="S218" s="2">
        <f t="shared" si="32"/>
        <v>5.8000000000000005E-3</v>
      </c>
      <c r="U218" s="2">
        <v>379.10000610351602</v>
      </c>
      <c r="V218" s="2">
        <f t="shared" si="33"/>
        <v>0.3039</v>
      </c>
      <c r="W218" s="2">
        <v>-0.14221000671386699</v>
      </c>
      <c r="X218" s="2">
        <f t="shared" si="34"/>
        <v>5.8000000000000005E-3</v>
      </c>
    </row>
    <row r="219" spans="1:24" x14ac:dyDescent="0.25">
      <c r="A219" s="2">
        <v>301.60000610351602</v>
      </c>
      <c r="B219" s="2">
        <f t="shared" si="25"/>
        <v>0.24189999999999998</v>
      </c>
      <c r="C219" s="2">
        <v>-0.38115000724792503</v>
      </c>
      <c r="D219" s="2">
        <f t="shared" si="26"/>
        <v>5.8000000000000005E-3</v>
      </c>
      <c r="F219" s="2">
        <v>126.699996948242</v>
      </c>
      <c r="G219" s="2">
        <f t="shared" si="27"/>
        <v>0.10200000000000001</v>
      </c>
      <c r="H219" s="2">
        <v>-0.35113999247550998</v>
      </c>
      <c r="I219" s="2">
        <f t="shared" si="28"/>
        <v>5.8000000000000005E-3</v>
      </c>
      <c r="K219" s="2">
        <v>284</v>
      </c>
      <c r="L219" s="2">
        <f t="shared" si="29"/>
        <v>0.2278</v>
      </c>
      <c r="M219" s="2">
        <v>-0.28896999359130898</v>
      </c>
      <c r="N219" s="2">
        <f t="shared" si="30"/>
        <v>5.8000000000000005E-3</v>
      </c>
      <c r="P219" s="2">
        <v>480.39999389648398</v>
      </c>
      <c r="Q219" s="2">
        <f t="shared" si="31"/>
        <v>0.38489999999999996</v>
      </c>
      <c r="R219" s="2">
        <v>1.94000005722046E-2</v>
      </c>
      <c r="S219" s="2">
        <f t="shared" si="32"/>
        <v>5.8000000000000005E-3</v>
      </c>
      <c r="U219" s="2">
        <v>379.10000610351602</v>
      </c>
      <c r="V219" s="2">
        <f t="shared" si="33"/>
        <v>0.3039</v>
      </c>
      <c r="W219" s="2">
        <v>-0.14221000671386699</v>
      </c>
      <c r="X219" s="2">
        <f t="shared" si="34"/>
        <v>5.8000000000000005E-3</v>
      </c>
    </row>
    <row r="220" spans="1:24" x14ac:dyDescent="0.25">
      <c r="A220" s="2">
        <v>303.10000610351602</v>
      </c>
      <c r="B220" s="2">
        <f t="shared" si="25"/>
        <v>0.24309999999999998</v>
      </c>
      <c r="C220" s="2">
        <v>-0.38045001029968301</v>
      </c>
      <c r="D220" s="2">
        <f t="shared" si="26"/>
        <v>5.8000000000000005E-3</v>
      </c>
      <c r="F220" s="2">
        <v>127.5</v>
      </c>
      <c r="G220" s="2">
        <f t="shared" si="27"/>
        <v>0.1026</v>
      </c>
      <c r="H220" s="2">
        <v>-0.35113000869750999</v>
      </c>
      <c r="I220" s="2">
        <f t="shared" si="28"/>
        <v>5.8000000000000005E-3</v>
      </c>
      <c r="K220" s="2">
        <v>285.20001220703102</v>
      </c>
      <c r="L220" s="2">
        <f t="shared" si="29"/>
        <v>0.22879999999999998</v>
      </c>
      <c r="M220" s="2">
        <v>-0.28876999020576499</v>
      </c>
      <c r="N220" s="2">
        <f t="shared" si="30"/>
        <v>5.8000000000000005E-3</v>
      </c>
      <c r="P220" s="2">
        <v>481.5</v>
      </c>
      <c r="Q220" s="2">
        <f t="shared" si="31"/>
        <v>0.38579999999999998</v>
      </c>
      <c r="R220" s="2">
        <v>2.3259999230504001E-2</v>
      </c>
      <c r="S220" s="2">
        <f t="shared" si="32"/>
        <v>5.8000000000000005E-3</v>
      </c>
      <c r="U220" s="2">
        <v>379.29998779296898</v>
      </c>
      <c r="V220" s="2">
        <f t="shared" si="33"/>
        <v>0.30409999999999998</v>
      </c>
      <c r="W220" s="2">
        <v>-0.14167000353336301</v>
      </c>
      <c r="X220" s="2">
        <f t="shared" si="34"/>
        <v>5.8000000000000005E-3</v>
      </c>
    </row>
    <row r="221" spans="1:24" x14ac:dyDescent="0.25">
      <c r="A221" s="2">
        <v>303.20001220703102</v>
      </c>
      <c r="B221" s="2">
        <f t="shared" si="25"/>
        <v>0.2432</v>
      </c>
      <c r="C221" s="2">
        <v>-0.38043999671936002</v>
      </c>
      <c r="D221" s="2">
        <f t="shared" si="26"/>
        <v>5.8000000000000005E-3</v>
      </c>
      <c r="F221" s="2">
        <v>127.40000152587901</v>
      </c>
      <c r="G221" s="2">
        <f t="shared" si="27"/>
        <v>0.10250000000000001</v>
      </c>
      <c r="H221" s="2">
        <v>-0.351119995117188</v>
      </c>
      <c r="I221" s="2">
        <f t="shared" si="28"/>
        <v>5.8000000000000005E-3</v>
      </c>
      <c r="K221" s="2">
        <v>290.39999389648398</v>
      </c>
      <c r="L221" s="2">
        <f t="shared" si="29"/>
        <v>0.2329</v>
      </c>
      <c r="M221" s="2">
        <v>-0.28744998574256903</v>
      </c>
      <c r="N221" s="2">
        <f t="shared" si="30"/>
        <v>5.8000000000000005E-3</v>
      </c>
      <c r="P221" s="2">
        <v>486.89999389648398</v>
      </c>
      <c r="Q221" s="2">
        <f t="shared" si="31"/>
        <v>0.3901</v>
      </c>
      <c r="R221" s="2">
        <v>4.1669998317956897E-2</v>
      </c>
      <c r="S221" s="2">
        <f t="shared" si="32"/>
        <v>5.8000000000000005E-3</v>
      </c>
      <c r="U221" s="2">
        <v>381.89999389648398</v>
      </c>
      <c r="V221" s="2">
        <f t="shared" si="33"/>
        <v>0.30609999999999998</v>
      </c>
      <c r="W221" s="2">
        <v>-0.139740005135536</v>
      </c>
      <c r="X221" s="2">
        <f t="shared" si="34"/>
        <v>5.8000000000000005E-3</v>
      </c>
    </row>
    <row r="222" spans="1:24" x14ac:dyDescent="0.25">
      <c r="A222" s="2">
        <v>306.39999389648398</v>
      </c>
      <c r="B222" s="2">
        <f t="shared" si="25"/>
        <v>0.2457</v>
      </c>
      <c r="C222" s="2">
        <v>-0.37909001111984297</v>
      </c>
      <c r="D222" s="2">
        <f t="shared" si="26"/>
        <v>5.8000000000000005E-3</v>
      </c>
      <c r="F222" s="2">
        <v>128.5</v>
      </c>
      <c r="G222" s="2">
        <f t="shared" si="27"/>
        <v>0.10340000000000001</v>
      </c>
      <c r="H222" s="2">
        <v>-0.35111001133918801</v>
      </c>
      <c r="I222" s="2">
        <f t="shared" si="28"/>
        <v>5.8000000000000005E-3</v>
      </c>
      <c r="K222" s="2">
        <v>292.89999389648398</v>
      </c>
      <c r="L222" s="2">
        <f t="shared" si="29"/>
        <v>0.2349</v>
      </c>
      <c r="M222" s="2">
        <v>-0.28668001294135997</v>
      </c>
      <c r="N222" s="2">
        <f t="shared" si="30"/>
        <v>5.8000000000000005E-3</v>
      </c>
      <c r="P222" s="2">
        <v>487.79998779296898</v>
      </c>
      <c r="Q222" s="2">
        <f t="shared" si="31"/>
        <v>0.39089999999999997</v>
      </c>
      <c r="R222" s="2">
        <v>4.6149998903274501E-2</v>
      </c>
      <c r="S222" s="2">
        <f t="shared" si="32"/>
        <v>5.8000000000000005E-3</v>
      </c>
      <c r="U222" s="2">
        <v>383.70001220703102</v>
      </c>
      <c r="V222" s="2">
        <f t="shared" si="33"/>
        <v>0.30759999999999998</v>
      </c>
      <c r="W222" s="2">
        <v>-0.13793000578880299</v>
      </c>
      <c r="X222" s="2">
        <f t="shared" si="34"/>
        <v>5.8000000000000005E-3</v>
      </c>
    </row>
    <row r="223" spans="1:24" x14ac:dyDescent="0.25">
      <c r="A223" s="2">
        <v>306.5</v>
      </c>
      <c r="B223" s="2">
        <f t="shared" si="25"/>
        <v>0.24579999999999999</v>
      </c>
      <c r="C223" s="2">
        <v>-0.37907001376152</v>
      </c>
      <c r="D223" s="2">
        <f t="shared" si="26"/>
        <v>5.8000000000000005E-3</v>
      </c>
      <c r="F223" s="2">
        <v>128.5</v>
      </c>
      <c r="G223" s="2">
        <f t="shared" si="27"/>
        <v>0.10340000000000001</v>
      </c>
      <c r="H223" s="2">
        <v>-0.35111001133918801</v>
      </c>
      <c r="I223" s="2">
        <f t="shared" si="28"/>
        <v>5.8000000000000005E-3</v>
      </c>
      <c r="K223" s="2">
        <v>294.60000610351602</v>
      </c>
      <c r="L223" s="2">
        <f t="shared" si="29"/>
        <v>0.23629999999999998</v>
      </c>
      <c r="M223" s="2">
        <v>-0.28637999296188399</v>
      </c>
      <c r="N223" s="2">
        <f t="shared" si="30"/>
        <v>5.8000000000000005E-3</v>
      </c>
      <c r="P223" s="2">
        <v>489.60000610351602</v>
      </c>
      <c r="Q223" s="2">
        <f t="shared" si="31"/>
        <v>0.39229999999999998</v>
      </c>
      <c r="R223" s="2">
        <v>4.9729999154806102E-2</v>
      </c>
      <c r="S223" s="2">
        <f t="shared" si="32"/>
        <v>5.8000000000000005E-3</v>
      </c>
      <c r="U223" s="2">
        <v>386.39999389648398</v>
      </c>
      <c r="V223" s="2">
        <f t="shared" si="33"/>
        <v>0.30969999999999998</v>
      </c>
      <c r="W223" s="2">
        <v>-0.13499000668525701</v>
      </c>
      <c r="X223" s="2">
        <f t="shared" si="34"/>
        <v>5.8000000000000005E-3</v>
      </c>
    </row>
    <row r="224" spans="1:24" x14ac:dyDescent="0.25">
      <c r="A224" s="2">
        <v>307.20001220703102</v>
      </c>
      <c r="B224" s="2">
        <f t="shared" si="25"/>
        <v>0.24639999999999998</v>
      </c>
      <c r="C224" s="2">
        <v>-0.378729999065399</v>
      </c>
      <c r="D224" s="2">
        <f t="shared" si="26"/>
        <v>5.8000000000000005E-3</v>
      </c>
      <c r="F224" s="2">
        <v>130.19999694824199</v>
      </c>
      <c r="G224" s="2">
        <f t="shared" si="27"/>
        <v>0.1048</v>
      </c>
      <c r="H224" s="2">
        <v>-0.35109999775886502</v>
      </c>
      <c r="I224" s="2">
        <f t="shared" si="28"/>
        <v>5.8000000000000005E-3</v>
      </c>
      <c r="K224" s="2">
        <v>297.20001220703102</v>
      </c>
      <c r="L224" s="2">
        <f t="shared" si="29"/>
        <v>0.2384</v>
      </c>
      <c r="M224" s="2">
        <v>-0.28558000922203097</v>
      </c>
      <c r="N224" s="2">
        <f t="shared" si="30"/>
        <v>5.8000000000000005E-3</v>
      </c>
      <c r="P224" s="2">
        <v>490.29998779296898</v>
      </c>
      <c r="Q224" s="2">
        <f t="shared" si="31"/>
        <v>0.39289999999999997</v>
      </c>
      <c r="R224" s="2">
        <v>5.3890001028776197E-2</v>
      </c>
      <c r="S224" s="2">
        <f t="shared" si="32"/>
        <v>5.8000000000000005E-3</v>
      </c>
      <c r="U224" s="2">
        <v>388.20001220703102</v>
      </c>
      <c r="V224" s="2">
        <f t="shared" si="33"/>
        <v>0.31119999999999998</v>
      </c>
      <c r="W224" s="2">
        <v>-0.13332000374794001</v>
      </c>
      <c r="X224" s="2">
        <f t="shared" si="34"/>
        <v>5.8000000000000005E-3</v>
      </c>
    </row>
    <row r="225" spans="1:24" x14ac:dyDescent="0.25">
      <c r="A225" s="2">
        <v>308</v>
      </c>
      <c r="B225" s="2">
        <f t="shared" si="25"/>
        <v>0.247</v>
      </c>
      <c r="C225" s="2">
        <v>-0.37847000360488903</v>
      </c>
      <c r="D225" s="2">
        <f t="shared" si="26"/>
        <v>5.8000000000000005E-3</v>
      </c>
      <c r="F225" s="2">
        <v>130.30000305175801</v>
      </c>
      <c r="G225" s="2">
        <f t="shared" si="27"/>
        <v>0.10490000000000001</v>
      </c>
      <c r="H225" s="2">
        <v>-0.35108000040054299</v>
      </c>
      <c r="I225" s="2">
        <f t="shared" si="28"/>
        <v>5.8000000000000005E-3</v>
      </c>
      <c r="K225" s="2">
        <v>298.79998779296898</v>
      </c>
      <c r="L225" s="2">
        <f t="shared" si="29"/>
        <v>0.2397</v>
      </c>
      <c r="M225" s="2">
        <v>-0.285129994153976</v>
      </c>
      <c r="N225" s="2">
        <f t="shared" si="30"/>
        <v>5.8000000000000005E-3</v>
      </c>
      <c r="P225" s="2">
        <v>490.10000610351602</v>
      </c>
      <c r="Q225" s="2">
        <f t="shared" si="31"/>
        <v>0.39269999999999999</v>
      </c>
      <c r="R225" s="2">
        <v>5.2949998527765302E-2</v>
      </c>
      <c r="S225" s="2">
        <f t="shared" si="32"/>
        <v>5.8000000000000005E-3</v>
      </c>
      <c r="U225" s="2">
        <v>388.29998779296898</v>
      </c>
      <c r="V225" s="2">
        <f t="shared" si="33"/>
        <v>0.31129999999999997</v>
      </c>
      <c r="W225" s="2">
        <v>-0.13276000320911399</v>
      </c>
      <c r="X225" s="2">
        <f t="shared" si="34"/>
        <v>5.8000000000000005E-3</v>
      </c>
    </row>
    <row r="226" spans="1:24" x14ac:dyDescent="0.25">
      <c r="A226" s="2">
        <v>308.10000610351602</v>
      </c>
      <c r="B226" s="2">
        <f t="shared" si="25"/>
        <v>0.24709999999999999</v>
      </c>
      <c r="C226" s="2">
        <v>-0.37843000888824502</v>
      </c>
      <c r="D226" s="2">
        <f t="shared" si="26"/>
        <v>5.8000000000000005E-3</v>
      </c>
      <c r="F226" s="2">
        <v>130.30000305175801</v>
      </c>
      <c r="G226" s="2">
        <f t="shared" si="27"/>
        <v>0.10490000000000001</v>
      </c>
      <c r="H226" s="2">
        <v>-0.351069986820221</v>
      </c>
      <c r="I226" s="2">
        <f t="shared" si="28"/>
        <v>5.8000000000000005E-3</v>
      </c>
      <c r="K226" s="2">
        <v>314.10000610351602</v>
      </c>
      <c r="L226" s="2">
        <f t="shared" si="29"/>
        <v>0.25190000000000001</v>
      </c>
      <c r="M226" s="2">
        <v>-0.27963998913764998</v>
      </c>
      <c r="N226" s="2">
        <f t="shared" si="30"/>
        <v>5.8000000000000005E-3</v>
      </c>
      <c r="P226" s="2">
        <v>490.60000610351602</v>
      </c>
      <c r="Q226" s="2">
        <f t="shared" si="31"/>
        <v>0.3931</v>
      </c>
      <c r="R226" s="2">
        <v>5.5819999426603303E-2</v>
      </c>
      <c r="S226" s="2">
        <f t="shared" si="32"/>
        <v>5.8000000000000005E-3</v>
      </c>
      <c r="U226" s="2">
        <v>389.60000610351602</v>
      </c>
      <c r="V226" s="2">
        <f t="shared" si="33"/>
        <v>0.31229999999999997</v>
      </c>
      <c r="W226" s="2">
        <v>-0.13134999573230699</v>
      </c>
      <c r="X226" s="2">
        <f t="shared" si="34"/>
        <v>5.8000000000000005E-3</v>
      </c>
    </row>
    <row r="227" spans="1:24" x14ac:dyDescent="0.25">
      <c r="A227" s="2">
        <v>308.10000610351602</v>
      </c>
      <c r="B227" s="2">
        <f t="shared" ref="B227:B290" si="37">ROUNDUP((0.08%*A227+0.001/(SQRT(3))),4)</f>
        <v>0.24709999999999999</v>
      </c>
      <c r="C227" s="2">
        <v>-0.37836998701095598</v>
      </c>
      <c r="D227" s="2">
        <f t="shared" ref="D227:D290" si="38">ROUNDUP((0.015%*C227+0.01/(SQRT(3))),4)</f>
        <v>5.8000000000000005E-3</v>
      </c>
      <c r="F227" s="2">
        <v>132</v>
      </c>
      <c r="G227" s="2">
        <f t="shared" ref="G227:G290" si="39">ROUNDUP((0.08%*F227+0.001/(SQRT(3))),4)</f>
        <v>0.1062</v>
      </c>
      <c r="H227" s="2">
        <v>-0.35104998946189903</v>
      </c>
      <c r="I227" s="2">
        <f t="shared" ref="I227:I290" si="40">ROUNDUP((0.015%*H227+0.01/(SQRT(3))),4)</f>
        <v>5.8000000000000005E-3</v>
      </c>
      <c r="K227" s="2">
        <v>316.70001220703102</v>
      </c>
      <c r="L227" s="2">
        <f t="shared" ref="L227:L290" si="41">ROUNDUP((0.08%*K227+0.001/(SQRT(3))),4)</f>
        <v>0.254</v>
      </c>
      <c r="M227" s="2">
        <v>-0.27849999070167503</v>
      </c>
      <c r="N227" s="2">
        <f t="shared" ref="N227:N290" si="42">ROUNDUP((0.015%*M227+0.01/(SQRT(3))),4)</f>
        <v>5.8000000000000005E-3</v>
      </c>
      <c r="P227" s="2">
        <v>490.20001220703102</v>
      </c>
      <c r="Q227" s="2">
        <f t="shared" ref="Q227:Q228" si="43">ROUNDUP((0.08%*P227+0.001/(SQRT(3))),4)</f>
        <v>0.39279999999999998</v>
      </c>
      <c r="R227" s="2">
        <v>5.3419999778270701E-2</v>
      </c>
      <c r="S227" s="2">
        <f t="shared" ref="S227:S228" si="44">ROUNDUP((0.015%*R227+0.01/(SQRT(3))),4)</f>
        <v>5.8000000000000005E-3</v>
      </c>
      <c r="U227" s="2">
        <v>392.39999389648398</v>
      </c>
      <c r="V227" s="2">
        <f t="shared" ref="V227:V273" si="45">ROUNDUP((0.08%*U227+0.001/(SQRT(3))),4)</f>
        <v>0.3145</v>
      </c>
      <c r="W227" s="2">
        <v>-0.12906000018119801</v>
      </c>
      <c r="X227" s="2">
        <f t="shared" ref="X227:X273" si="46">ROUNDUP((0.015%*W227+0.01/(SQRT(3))),4)</f>
        <v>5.8000000000000005E-3</v>
      </c>
    </row>
    <row r="228" spans="1:24" x14ac:dyDescent="0.25">
      <c r="A228" s="2">
        <v>310.60000610351602</v>
      </c>
      <c r="B228" s="2">
        <f t="shared" si="37"/>
        <v>0.24909999999999999</v>
      </c>
      <c r="C228" s="2">
        <v>-0.37724000215530401</v>
      </c>
      <c r="D228" s="2">
        <f t="shared" si="38"/>
        <v>5.8000000000000005E-3</v>
      </c>
      <c r="F228" s="2">
        <v>133.19999694824199</v>
      </c>
      <c r="G228" s="2">
        <f t="shared" si="39"/>
        <v>0.1072</v>
      </c>
      <c r="H228" s="2">
        <v>-0.351020008325577</v>
      </c>
      <c r="I228" s="2">
        <f t="shared" si="40"/>
        <v>5.8000000000000005E-3</v>
      </c>
      <c r="K228" s="2">
        <v>321.79998779296898</v>
      </c>
      <c r="L228" s="2">
        <f t="shared" si="41"/>
        <v>0.2581</v>
      </c>
      <c r="M228" s="2">
        <v>-0.27691999077796903</v>
      </c>
      <c r="N228" s="2">
        <f t="shared" si="42"/>
        <v>5.8000000000000005E-3</v>
      </c>
      <c r="P228" s="2">
        <v>490.20001220703102</v>
      </c>
      <c r="Q228" s="2">
        <f t="shared" si="43"/>
        <v>0.39279999999999998</v>
      </c>
      <c r="R228" s="2">
        <v>5.3169999271631199E-2</v>
      </c>
      <c r="S228" s="2">
        <f t="shared" si="44"/>
        <v>5.8000000000000005E-3</v>
      </c>
      <c r="U228" s="2">
        <v>394.29998779296898</v>
      </c>
      <c r="V228" s="2">
        <f t="shared" si="45"/>
        <v>0.31609999999999999</v>
      </c>
      <c r="W228" s="2">
        <v>-0.12678000330924999</v>
      </c>
      <c r="X228" s="2">
        <f t="shared" si="46"/>
        <v>5.8000000000000005E-3</v>
      </c>
    </row>
    <row r="229" spans="1:24" x14ac:dyDescent="0.25">
      <c r="A229" s="2">
        <v>312.89999389648398</v>
      </c>
      <c r="B229" s="2">
        <f t="shared" si="37"/>
        <v>0.25090000000000001</v>
      </c>
      <c r="C229" s="2">
        <v>-0.376150012016296</v>
      </c>
      <c r="D229" s="2">
        <f t="shared" si="38"/>
        <v>5.8000000000000005E-3</v>
      </c>
      <c r="F229" s="2">
        <v>134.10000610351599</v>
      </c>
      <c r="G229" s="2">
        <f t="shared" si="39"/>
        <v>0.10790000000000001</v>
      </c>
      <c r="H229" s="2">
        <v>-0.35100001096725503</v>
      </c>
      <c r="I229" s="2">
        <f t="shared" si="40"/>
        <v>5.8000000000000005E-3</v>
      </c>
      <c r="K229" s="2">
        <v>324.29998779296898</v>
      </c>
      <c r="L229" s="2">
        <f t="shared" si="41"/>
        <v>0.2601</v>
      </c>
      <c r="M229" s="2">
        <v>-0.27573001384735102</v>
      </c>
      <c r="N229" s="2">
        <f t="shared" si="42"/>
        <v>5.8000000000000005E-3</v>
      </c>
      <c r="U229" s="2">
        <v>402.89999389648398</v>
      </c>
      <c r="V229" s="2">
        <f t="shared" si="45"/>
        <v>0.32289999999999996</v>
      </c>
      <c r="W229" s="2">
        <v>-0.116049997508526</v>
      </c>
      <c r="X229" s="2">
        <f t="shared" si="46"/>
        <v>5.8000000000000005E-3</v>
      </c>
    </row>
    <row r="230" spans="1:24" x14ac:dyDescent="0.25">
      <c r="A230" s="2">
        <v>313</v>
      </c>
      <c r="B230" s="2">
        <f t="shared" si="37"/>
        <v>0.251</v>
      </c>
      <c r="C230" s="2">
        <v>-0.37613001465797402</v>
      </c>
      <c r="D230" s="2">
        <f t="shared" si="38"/>
        <v>5.8000000000000005E-3</v>
      </c>
      <c r="F230" s="2">
        <v>135.5</v>
      </c>
      <c r="G230" s="2">
        <f t="shared" si="39"/>
        <v>0.109</v>
      </c>
      <c r="H230" s="2">
        <v>-0.35097000002861001</v>
      </c>
      <c r="I230" s="2">
        <f t="shared" si="40"/>
        <v>5.8000000000000005E-3</v>
      </c>
      <c r="K230" s="2">
        <v>326</v>
      </c>
      <c r="L230" s="2">
        <f t="shared" si="41"/>
        <v>0.26139999999999997</v>
      </c>
      <c r="M230" s="2">
        <v>-0.27470999956130998</v>
      </c>
      <c r="N230" s="2">
        <f t="shared" si="42"/>
        <v>5.8000000000000005E-3</v>
      </c>
      <c r="U230" s="2">
        <v>402.79998779296898</v>
      </c>
      <c r="V230" s="2">
        <f t="shared" si="45"/>
        <v>0.32289999999999996</v>
      </c>
      <c r="W230" s="2">
        <v>-0.116049997508526</v>
      </c>
      <c r="X230" s="2">
        <f t="shared" si="46"/>
        <v>5.8000000000000005E-3</v>
      </c>
    </row>
    <row r="231" spans="1:24" x14ac:dyDescent="0.25">
      <c r="A231" s="2">
        <v>314.5</v>
      </c>
      <c r="B231" s="2">
        <f t="shared" si="37"/>
        <v>0.25219999999999998</v>
      </c>
      <c r="C231" s="2">
        <v>-0.375380009412766</v>
      </c>
      <c r="D231" s="2">
        <f t="shared" si="38"/>
        <v>5.8000000000000005E-3</v>
      </c>
      <c r="F231" s="2">
        <v>136.39999389648401</v>
      </c>
      <c r="G231" s="2">
        <f t="shared" si="39"/>
        <v>0.10970000000000001</v>
      </c>
      <c r="H231" s="2">
        <v>-0.35095000267028797</v>
      </c>
      <c r="I231" s="2">
        <f t="shared" si="40"/>
        <v>5.8000000000000005E-3</v>
      </c>
      <c r="K231" s="2">
        <v>329.60000610351602</v>
      </c>
      <c r="L231" s="2">
        <f t="shared" si="41"/>
        <v>0.26429999999999998</v>
      </c>
      <c r="M231" s="2">
        <v>-0.27314999699592601</v>
      </c>
      <c r="N231" s="2">
        <f t="shared" si="42"/>
        <v>5.8000000000000005E-3</v>
      </c>
      <c r="U231" s="2">
        <v>405.29998779296898</v>
      </c>
      <c r="V231" s="2">
        <f t="shared" si="45"/>
        <v>0.32489999999999997</v>
      </c>
      <c r="W231" s="2">
        <v>-0.11345999687910099</v>
      </c>
      <c r="X231" s="2">
        <f t="shared" si="46"/>
        <v>5.8000000000000005E-3</v>
      </c>
    </row>
    <row r="232" spans="1:24" x14ac:dyDescent="0.25">
      <c r="A232" s="2">
        <v>314.60000610351602</v>
      </c>
      <c r="B232" s="2">
        <f t="shared" si="37"/>
        <v>0.25229999999999997</v>
      </c>
      <c r="C232" s="2">
        <v>-0.37536001205444303</v>
      </c>
      <c r="D232" s="2">
        <f t="shared" si="38"/>
        <v>5.8000000000000005E-3</v>
      </c>
      <c r="F232" s="2">
        <v>137.30000305175801</v>
      </c>
      <c r="G232" s="2">
        <f t="shared" si="39"/>
        <v>0.1105</v>
      </c>
      <c r="H232" s="2">
        <v>-0.35091999173164401</v>
      </c>
      <c r="I232" s="2">
        <f t="shared" si="40"/>
        <v>5.8000000000000005E-3</v>
      </c>
      <c r="K232" s="2">
        <v>331.10000610351602</v>
      </c>
      <c r="L232" s="2">
        <f t="shared" si="41"/>
        <v>0.26550000000000001</v>
      </c>
      <c r="M232" s="2">
        <v>-0.271389991044998</v>
      </c>
      <c r="N232" s="2">
        <f t="shared" si="42"/>
        <v>5.8000000000000005E-3</v>
      </c>
      <c r="U232" s="2">
        <v>405.89999389648398</v>
      </c>
      <c r="V232" s="2">
        <f t="shared" si="45"/>
        <v>0.32529999999999998</v>
      </c>
      <c r="W232" s="2">
        <v>-0.11223000288009601</v>
      </c>
      <c r="X232" s="2">
        <f t="shared" si="46"/>
        <v>5.8000000000000005E-3</v>
      </c>
    </row>
    <row r="233" spans="1:24" x14ac:dyDescent="0.25">
      <c r="A233" s="2">
        <v>318</v>
      </c>
      <c r="B233" s="2">
        <f t="shared" si="37"/>
        <v>0.255</v>
      </c>
      <c r="C233" s="2">
        <v>-0.37367999553680398</v>
      </c>
      <c r="D233" s="2">
        <f t="shared" si="38"/>
        <v>5.8000000000000005E-3</v>
      </c>
      <c r="F233" s="2">
        <v>139.10000610351599</v>
      </c>
      <c r="G233" s="2">
        <f t="shared" si="39"/>
        <v>0.1119</v>
      </c>
      <c r="H233" s="2">
        <v>-0.35085999965667702</v>
      </c>
      <c r="I233" s="2">
        <f t="shared" si="40"/>
        <v>5.8000000000000005E-3</v>
      </c>
      <c r="K233" s="2">
        <v>331.60000610351602</v>
      </c>
      <c r="L233" s="2">
        <f t="shared" si="41"/>
        <v>0.26589999999999997</v>
      </c>
      <c r="M233" s="2">
        <v>-0.27136999368667603</v>
      </c>
      <c r="N233" s="2">
        <f t="shared" si="42"/>
        <v>5.8000000000000005E-3</v>
      </c>
      <c r="U233" s="2">
        <v>420</v>
      </c>
      <c r="V233" s="2">
        <f t="shared" si="45"/>
        <v>0.33660000000000001</v>
      </c>
      <c r="W233" s="2">
        <v>-9.0810000896453899E-2</v>
      </c>
      <c r="X233" s="2">
        <f t="shared" si="46"/>
        <v>5.8000000000000005E-3</v>
      </c>
    </row>
    <row r="234" spans="1:24" x14ac:dyDescent="0.25">
      <c r="A234" s="2">
        <v>318.10000610351602</v>
      </c>
      <c r="B234" s="2">
        <f t="shared" si="37"/>
        <v>0.25509999999999999</v>
      </c>
      <c r="C234" s="2">
        <v>-0.373659998178482</v>
      </c>
      <c r="D234" s="2">
        <f t="shared" si="38"/>
        <v>5.8000000000000005E-3</v>
      </c>
      <c r="F234" s="2">
        <v>139.69999694824199</v>
      </c>
      <c r="G234" s="2">
        <f t="shared" si="39"/>
        <v>0.1124</v>
      </c>
      <c r="H234" s="2">
        <v>-0.35084998607635498</v>
      </c>
      <c r="I234" s="2">
        <f t="shared" si="40"/>
        <v>5.8000000000000005E-3</v>
      </c>
      <c r="K234" s="2">
        <v>331.89999389648398</v>
      </c>
      <c r="L234" s="2">
        <f t="shared" si="41"/>
        <v>0.2661</v>
      </c>
      <c r="M234" s="2">
        <v>-0.27138000726699801</v>
      </c>
      <c r="N234" s="2">
        <f t="shared" si="42"/>
        <v>5.8000000000000005E-3</v>
      </c>
      <c r="U234" s="2">
        <v>425.5</v>
      </c>
      <c r="V234" s="2">
        <f t="shared" si="45"/>
        <v>0.34099999999999997</v>
      </c>
      <c r="W234" s="2">
        <v>-8.0799996852874797E-2</v>
      </c>
      <c r="X234" s="2">
        <f t="shared" si="46"/>
        <v>5.8000000000000005E-3</v>
      </c>
    </row>
    <row r="235" spans="1:24" x14ac:dyDescent="0.25">
      <c r="A235" s="2">
        <v>319.5</v>
      </c>
      <c r="B235" s="2">
        <f t="shared" si="37"/>
        <v>0.25619999999999998</v>
      </c>
      <c r="C235" s="2">
        <v>-0.37288001179695102</v>
      </c>
      <c r="D235" s="2">
        <f t="shared" si="38"/>
        <v>5.8000000000000005E-3</v>
      </c>
      <c r="F235" s="2">
        <v>140.39999389648401</v>
      </c>
      <c r="G235" s="2">
        <f t="shared" si="39"/>
        <v>0.1129</v>
      </c>
      <c r="H235" s="2">
        <v>-0.350829988718033</v>
      </c>
      <c r="I235" s="2">
        <f t="shared" si="40"/>
        <v>5.8000000000000005E-3</v>
      </c>
      <c r="K235" s="2">
        <v>331.79998779296898</v>
      </c>
      <c r="L235" s="2">
        <f t="shared" si="41"/>
        <v>0.2661</v>
      </c>
      <c r="M235" s="2">
        <v>-0.27140000462531999</v>
      </c>
      <c r="N235" s="2">
        <f t="shared" si="42"/>
        <v>5.8000000000000005E-3</v>
      </c>
      <c r="U235" s="2">
        <v>431.29998779296898</v>
      </c>
      <c r="V235" s="2">
        <f t="shared" si="45"/>
        <v>0.34570000000000001</v>
      </c>
      <c r="W235" s="2">
        <v>-7.1910001337528201E-2</v>
      </c>
      <c r="X235" s="2">
        <f t="shared" si="46"/>
        <v>5.8000000000000005E-3</v>
      </c>
    </row>
    <row r="236" spans="1:24" x14ac:dyDescent="0.25">
      <c r="A236" s="2">
        <v>319.5</v>
      </c>
      <c r="B236" s="2">
        <f t="shared" si="37"/>
        <v>0.25619999999999998</v>
      </c>
      <c r="C236" s="2">
        <v>-0.37286001443862898</v>
      </c>
      <c r="D236" s="2">
        <f t="shared" si="38"/>
        <v>5.8000000000000005E-3</v>
      </c>
      <c r="F236" s="2">
        <v>140.80000305175801</v>
      </c>
      <c r="G236" s="2">
        <f t="shared" si="39"/>
        <v>0.1133</v>
      </c>
      <c r="H236" s="2">
        <v>-0.35080999135971103</v>
      </c>
      <c r="I236" s="2">
        <f t="shared" si="40"/>
        <v>5.8000000000000005E-3</v>
      </c>
      <c r="K236" s="2">
        <v>331.39999389648398</v>
      </c>
      <c r="L236" s="2">
        <f t="shared" si="41"/>
        <v>0.26569999999999999</v>
      </c>
      <c r="M236" s="2">
        <v>-0.27142998576164201</v>
      </c>
      <c r="N236" s="2">
        <f t="shared" si="42"/>
        <v>5.8000000000000005E-3</v>
      </c>
      <c r="U236" s="2">
        <v>432.60000610351602</v>
      </c>
      <c r="V236" s="2">
        <f t="shared" si="45"/>
        <v>0.34670000000000001</v>
      </c>
      <c r="W236" s="2">
        <v>-6.9239996373653398E-2</v>
      </c>
      <c r="X236" s="2">
        <f t="shared" si="46"/>
        <v>5.8000000000000005E-3</v>
      </c>
    </row>
    <row r="237" spans="1:24" x14ac:dyDescent="0.25">
      <c r="A237" s="2">
        <v>324.5</v>
      </c>
      <c r="B237" s="2">
        <f t="shared" si="37"/>
        <v>0.26019999999999999</v>
      </c>
      <c r="C237" s="2">
        <v>-0.37022998929023698</v>
      </c>
      <c r="D237" s="2">
        <f t="shared" si="38"/>
        <v>5.8000000000000005E-3</v>
      </c>
      <c r="F237" s="2">
        <v>141.30000305175801</v>
      </c>
      <c r="G237" s="2">
        <f t="shared" si="39"/>
        <v>0.11370000000000001</v>
      </c>
      <c r="H237" s="2">
        <v>-0.35080000758171098</v>
      </c>
      <c r="I237" s="2">
        <f t="shared" si="40"/>
        <v>5.8000000000000005E-3</v>
      </c>
      <c r="K237" s="2">
        <v>336.10000610351602</v>
      </c>
      <c r="L237" s="2">
        <f t="shared" si="41"/>
        <v>0.26949999999999996</v>
      </c>
      <c r="M237" s="2">
        <v>-0.26925000548362699</v>
      </c>
      <c r="N237" s="2">
        <f t="shared" si="42"/>
        <v>5.8000000000000005E-3</v>
      </c>
      <c r="U237" s="2">
        <v>433.70001220703102</v>
      </c>
      <c r="V237" s="2">
        <f t="shared" si="45"/>
        <v>0.34759999999999996</v>
      </c>
      <c r="W237" s="2">
        <v>-6.7249998450279194E-2</v>
      </c>
      <c r="X237" s="2">
        <f t="shared" si="46"/>
        <v>5.8000000000000005E-3</v>
      </c>
    </row>
    <row r="238" spans="1:24" x14ac:dyDescent="0.25">
      <c r="A238" s="2">
        <v>326.10000610351602</v>
      </c>
      <c r="B238" s="2">
        <f t="shared" si="37"/>
        <v>0.26150000000000001</v>
      </c>
      <c r="C238" s="2">
        <v>-0.36921998858451799</v>
      </c>
      <c r="D238" s="2">
        <f t="shared" si="38"/>
        <v>5.8000000000000005E-3</v>
      </c>
      <c r="F238" s="2">
        <v>142.60000610351599</v>
      </c>
      <c r="G238" s="2">
        <f t="shared" si="39"/>
        <v>0.1147</v>
      </c>
      <c r="H238" s="2">
        <v>-0.35078999400138899</v>
      </c>
      <c r="I238" s="2">
        <f t="shared" si="40"/>
        <v>5.8000000000000005E-3</v>
      </c>
      <c r="K238" s="2">
        <v>337.60000610351602</v>
      </c>
      <c r="L238" s="2">
        <f t="shared" si="41"/>
        <v>0.2707</v>
      </c>
      <c r="M238" s="2">
        <v>-0.26879999041557301</v>
      </c>
      <c r="N238" s="2">
        <f t="shared" si="42"/>
        <v>5.8000000000000005E-3</v>
      </c>
      <c r="U238" s="2">
        <v>434.10000610351602</v>
      </c>
      <c r="V238" s="2">
        <f t="shared" si="45"/>
        <v>0.34789999999999999</v>
      </c>
      <c r="W238" s="2">
        <v>-6.6200003027915996E-2</v>
      </c>
      <c r="X238" s="2">
        <f t="shared" si="46"/>
        <v>5.8000000000000005E-3</v>
      </c>
    </row>
    <row r="239" spans="1:24" x14ac:dyDescent="0.25">
      <c r="A239" s="2">
        <v>327.20001220703102</v>
      </c>
      <c r="B239" s="2">
        <f t="shared" si="37"/>
        <v>0.26239999999999997</v>
      </c>
      <c r="C239" s="2">
        <v>-0.36851000785827598</v>
      </c>
      <c r="D239" s="2">
        <f t="shared" si="38"/>
        <v>5.8000000000000005E-3</v>
      </c>
      <c r="F239" s="2">
        <v>142.80000305175801</v>
      </c>
      <c r="G239" s="2">
        <f t="shared" si="39"/>
        <v>0.1149</v>
      </c>
      <c r="H239" s="2">
        <v>-0.35076999664306602</v>
      </c>
      <c r="I239" s="2">
        <f t="shared" si="40"/>
        <v>5.8000000000000005E-3</v>
      </c>
      <c r="K239" s="2">
        <v>337.60000610351602</v>
      </c>
      <c r="L239" s="2">
        <f t="shared" si="41"/>
        <v>0.2707</v>
      </c>
      <c r="M239" s="2">
        <v>-0.26879000663757302</v>
      </c>
      <c r="N239" s="2">
        <f t="shared" si="42"/>
        <v>5.8000000000000005E-3</v>
      </c>
      <c r="U239" s="2">
        <v>435.79998779296898</v>
      </c>
      <c r="V239" s="2">
        <f t="shared" si="45"/>
        <v>0.3493</v>
      </c>
      <c r="W239" s="2">
        <v>-6.1919998377561597E-2</v>
      </c>
      <c r="X239" s="2">
        <f t="shared" si="46"/>
        <v>5.8000000000000005E-3</v>
      </c>
    </row>
    <row r="240" spans="1:24" x14ac:dyDescent="0.25">
      <c r="A240" s="2">
        <v>327.70001220703102</v>
      </c>
      <c r="B240" s="2">
        <f t="shared" si="37"/>
        <v>0.26279999999999998</v>
      </c>
      <c r="C240" s="2">
        <v>-0.36827999353408802</v>
      </c>
      <c r="D240" s="2">
        <f t="shared" si="38"/>
        <v>5.8000000000000005E-3</v>
      </c>
      <c r="F240" s="2">
        <v>144.39999389648401</v>
      </c>
      <c r="G240" s="2">
        <f t="shared" si="39"/>
        <v>0.11610000000000001</v>
      </c>
      <c r="H240" s="2">
        <v>-0.35073000192642201</v>
      </c>
      <c r="I240" s="2">
        <f t="shared" si="40"/>
        <v>5.8000000000000005E-3</v>
      </c>
      <c r="K240" s="2">
        <v>337.60000610351602</v>
      </c>
      <c r="L240" s="2">
        <f t="shared" si="41"/>
        <v>0.2707</v>
      </c>
      <c r="M240" s="2">
        <v>-0.26877999305725098</v>
      </c>
      <c r="N240" s="2">
        <f t="shared" si="42"/>
        <v>5.8000000000000005E-3</v>
      </c>
      <c r="U240" s="2">
        <v>437.20001220703102</v>
      </c>
      <c r="V240" s="2">
        <f t="shared" si="45"/>
        <v>0.35039999999999999</v>
      </c>
      <c r="W240" s="2">
        <v>-5.9399999678134897E-2</v>
      </c>
      <c r="X240" s="2">
        <f t="shared" si="46"/>
        <v>5.8000000000000005E-3</v>
      </c>
    </row>
    <row r="241" spans="1:24" x14ac:dyDescent="0.25">
      <c r="A241" s="2">
        <v>329.39999389648398</v>
      </c>
      <c r="B241" s="2">
        <f t="shared" si="37"/>
        <v>0.2641</v>
      </c>
      <c r="C241" s="2">
        <v>-0.36726000905036899</v>
      </c>
      <c r="D241" s="2">
        <f t="shared" si="38"/>
        <v>5.8000000000000005E-3</v>
      </c>
      <c r="F241" s="2">
        <v>144.30000305175801</v>
      </c>
      <c r="G241" s="2">
        <f t="shared" si="39"/>
        <v>0.11610000000000001</v>
      </c>
      <c r="H241" s="2">
        <v>-0.35071000456809998</v>
      </c>
      <c r="I241" s="2">
        <f t="shared" si="40"/>
        <v>5.8000000000000005E-3</v>
      </c>
      <c r="K241" s="2">
        <v>338.70001220703102</v>
      </c>
      <c r="L241" s="2">
        <f t="shared" si="41"/>
        <v>0.27160000000000001</v>
      </c>
      <c r="M241" s="2">
        <v>-0.26820001006126398</v>
      </c>
      <c r="N241" s="2">
        <f t="shared" si="42"/>
        <v>5.8000000000000005E-3</v>
      </c>
      <c r="U241" s="2">
        <v>439.70001220703102</v>
      </c>
      <c r="V241" s="2">
        <f t="shared" si="45"/>
        <v>0.35239999999999999</v>
      </c>
      <c r="W241" s="2">
        <v>-5.3589999675750698E-2</v>
      </c>
      <c r="X241" s="2">
        <f t="shared" si="46"/>
        <v>5.8000000000000005E-3</v>
      </c>
    </row>
    <row r="242" spans="1:24" x14ac:dyDescent="0.25">
      <c r="A242" s="2">
        <v>329.39999389648398</v>
      </c>
      <c r="B242" s="2">
        <f t="shared" si="37"/>
        <v>0.2641</v>
      </c>
      <c r="C242" s="2">
        <v>-0.36726000905036899</v>
      </c>
      <c r="D242" s="2">
        <f t="shared" si="38"/>
        <v>5.8000000000000005E-3</v>
      </c>
      <c r="F242" s="2">
        <v>146.10000610351599</v>
      </c>
      <c r="G242" s="2">
        <f t="shared" si="39"/>
        <v>0.11750000000000001</v>
      </c>
      <c r="H242" s="2">
        <v>-0.350690007209778</v>
      </c>
      <c r="I242" s="2">
        <f t="shared" si="40"/>
        <v>5.8000000000000005E-3</v>
      </c>
      <c r="K242" s="2">
        <v>340.79998779296898</v>
      </c>
      <c r="L242" s="2">
        <f t="shared" si="41"/>
        <v>0.27329999999999999</v>
      </c>
      <c r="M242" s="2">
        <v>-0.266939997673035</v>
      </c>
      <c r="N242" s="2">
        <f t="shared" si="42"/>
        <v>5.8000000000000005E-3</v>
      </c>
      <c r="U242" s="2">
        <v>441.5</v>
      </c>
      <c r="V242" s="2">
        <f t="shared" si="45"/>
        <v>0.3538</v>
      </c>
      <c r="W242" s="2">
        <v>-5.0930000841617598E-2</v>
      </c>
      <c r="X242" s="2">
        <f t="shared" si="46"/>
        <v>5.8000000000000005E-3</v>
      </c>
    </row>
    <row r="243" spans="1:24" x14ac:dyDescent="0.25">
      <c r="A243" s="2">
        <v>329.70001220703102</v>
      </c>
      <c r="B243" s="2">
        <f t="shared" si="37"/>
        <v>0.26439999999999997</v>
      </c>
      <c r="C243" s="2">
        <v>-0.367060005664825</v>
      </c>
      <c r="D243" s="2">
        <f t="shared" si="38"/>
        <v>5.8000000000000005E-3</v>
      </c>
      <c r="F243" s="2">
        <v>146.10000610351599</v>
      </c>
      <c r="G243" s="2">
        <f t="shared" si="39"/>
        <v>0.11750000000000001</v>
      </c>
      <c r="H243" s="2">
        <v>-0.35067000985145602</v>
      </c>
      <c r="I243" s="2">
        <f t="shared" si="40"/>
        <v>5.8000000000000005E-3</v>
      </c>
      <c r="K243" s="2">
        <v>341.39999389648398</v>
      </c>
      <c r="L243" s="2">
        <f t="shared" si="41"/>
        <v>0.2737</v>
      </c>
      <c r="M243" s="2">
        <v>-0.26614001393318198</v>
      </c>
      <c r="N243" s="2">
        <f t="shared" si="42"/>
        <v>5.8000000000000005E-3</v>
      </c>
      <c r="U243" s="2">
        <v>441.70001220703102</v>
      </c>
      <c r="V243" s="2">
        <f t="shared" si="45"/>
        <v>0.35399999999999998</v>
      </c>
      <c r="W243" s="2">
        <v>-4.9959998577833203E-2</v>
      </c>
      <c r="X243" s="2">
        <f t="shared" si="46"/>
        <v>5.8000000000000005E-3</v>
      </c>
    </row>
    <row r="244" spans="1:24" x14ac:dyDescent="0.25">
      <c r="A244" s="2">
        <v>334</v>
      </c>
      <c r="B244" s="2">
        <f t="shared" si="37"/>
        <v>0.26779999999999998</v>
      </c>
      <c r="C244" s="2">
        <v>-0.36421000957489003</v>
      </c>
      <c r="D244" s="2">
        <f t="shared" si="38"/>
        <v>5.8000000000000005E-3</v>
      </c>
      <c r="F244" s="2">
        <v>150</v>
      </c>
      <c r="G244" s="2">
        <f t="shared" si="39"/>
        <v>0.1206</v>
      </c>
      <c r="H244" s="2">
        <v>-0.350589990615845</v>
      </c>
      <c r="I244" s="2">
        <f t="shared" si="40"/>
        <v>5.8000000000000005E-3</v>
      </c>
      <c r="K244" s="2">
        <v>342.39999389648398</v>
      </c>
      <c r="L244" s="2">
        <f t="shared" si="41"/>
        <v>0.27449999999999997</v>
      </c>
      <c r="M244" s="2">
        <v>-0.26589998602867099</v>
      </c>
      <c r="N244" s="2">
        <f t="shared" si="42"/>
        <v>5.8000000000000005E-3</v>
      </c>
      <c r="U244" s="2">
        <v>448</v>
      </c>
      <c r="V244" s="2">
        <f t="shared" si="45"/>
        <v>0.35899999999999999</v>
      </c>
      <c r="W244" s="2">
        <v>-3.5250000655651099E-2</v>
      </c>
      <c r="X244" s="2">
        <f t="shared" si="46"/>
        <v>5.8000000000000005E-3</v>
      </c>
    </row>
    <row r="245" spans="1:24" x14ac:dyDescent="0.25">
      <c r="A245" s="2">
        <v>337.20001220703102</v>
      </c>
      <c r="B245" s="2">
        <f t="shared" si="37"/>
        <v>0.27039999999999997</v>
      </c>
      <c r="C245" s="2">
        <v>-0.36206999421119701</v>
      </c>
      <c r="D245" s="2">
        <f t="shared" si="38"/>
        <v>5.8000000000000005E-3</v>
      </c>
      <c r="F245" s="2">
        <v>151.39999389648401</v>
      </c>
      <c r="G245" s="2">
        <f t="shared" si="39"/>
        <v>0.1217</v>
      </c>
      <c r="H245" s="2">
        <v>-0.35054001212120101</v>
      </c>
      <c r="I245" s="2">
        <f t="shared" si="40"/>
        <v>5.8000000000000005E-3</v>
      </c>
      <c r="K245" s="2">
        <v>342.39999389648398</v>
      </c>
      <c r="L245" s="2">
        <f t="shared" si="41"/>
        <v>0.27449999999999997</v>
      </c>
      <c r="M245" s="2">
        <v>-0.265890002250671</v>
      </c>
      <c r="N245" s="2">
        <f t="shared" si="42"/>
        <v>5.8000000000000005E-3</v>
      </c>
      <c r="U245" s="2">
        <v>450.60000610351602</v>
      </c>
      <c r="V245" s="2">
        <f t="shared" si="45"/>
        <v>0.36109999999999998</v>
      </c>
      <c r="W245" s="2">
        <v>-3.0120000243186999E-2</v>
      </c>
      <c r="X245" s="2">
        <f t="shared" si="46"/>
        <v>5.8000000000000005E-3</v>
      </c>
    </row>
    <row r="246" spans="1:24" x14ac:dyDescent="0.25">
      <c r="A246" s="2">
        <v>345.20001220703102</v>
      </c>
      <c r="B246" s="2">
        <f t="shared" si="37"/>
        <v>0.27679999999999999</v>
      </c>
      <c r="C246" s="2">
        <v>-0.35616999864578203</v>
      </c>
      <c r="D246" s="2">
        <f t="shared" si="38"/>
        <v>5.8000000000000005E-3</v>
      </c>
      <c r="F246" s="2">
        <v>155.10000610351599</v>
      </c>
      <c r="G246" s="2">
        <f t="shared" si="39"/>
        <v>0.12470000000000001</v>
      </c>
      <c r="H246" s="2">
        <v>-0.35047999024391202</v>
      </c>
      <c r="I246" s="2">
        <f t="shared" si="40"/>
        <v>5.8000000000000005E-3</v>
      </c>
      <c r="K246" s="2">
        <v>344</v>
      </c>
      <c r="L246" s="2">
        <f t="shared" si="41"/>
        <v>0.27579999999999999</v>
      </c>
      <c r="M246" s="2">
        <v>-0.26491999626159701</v>
      </c>
      <c r="N246" s="2">
        <f t="shared" si="42"/>
        <v>5.8000000000000005E-3</v>
      </c>
      <c r="U246" s="2">
        <v>452</v>
      </c>
      <c r="V246" s="2">
        <f t="shared" si="45"/>
        <v>0.36219999999999997</v>
      </c>
      <c r="W246" s="2">
        <v>-2.7230000123381601E-2</v>
      </c>
      <c r="X246" s="2">
        <f t="shared" si="46"/>
        <v>5.8000000000000005E-3</v>
      </c>
    </row>
    <row r="247" spans="1:24" x14ac:dyDescent="0.25">
      <c r="A247" s="2">
        <v>345.20001220703102</v>
      </c>
      <c r="B247" s="2">
        <f t="shared" si="37"/>
        <v>0.27679999999999999</v>
      </c>
      <c r="C247" s="2">
        <v>-0.35616999864578203</v>
      </c>
      <c r="D247" s="2">
        <f t="shared" si="38"/>
        <v>5.8000000000000005E-3</v>
      </c>
      <c r="F247" s="2">
        <v>160.69999694824199</v>
      </c>
      <c r="G247" s="2">
        <f t="shared" si="39"/>
        <v>0.12919999999999998</v>
      </c>
      <c r="H247" s="2">
        <v>-0.35021999478340099</v>
      </c>
      <c r="I247" s="2">
        <f t="shared" si="40"/>
        <v>5.8000000000000005E-3</v>
      </c>
      <c r="K247" s="2">
        <v>345.5</v>
      </c>
      <c r="L247" s="2">
        <f t="shared" si="41"/>
        <v>0.27699999999999997</v>
      </c>
      <c r="M247" s="2">
        <v>-0.26399001479148898</v>
      </c>
      <c r="N247" s="2">
        <f t="shared" si="42"/>
        <v>5.8000000000000005E-3</v>
      </c>
      <c r="U247" s="2">
        <v>453.20001220703102</v>
      </c>
      <c r="V247" s="2">
        <f t="shared" si="45"/>
        <v>0.36319999999999997</v>
      </c>
      <c r="W247" s="2">
        <v>-2.4049999192357101E-2</v>
      </c>
      <c r="X247" s="2">
        <f t="shared" si="46"/>
        <v>5.8000000000000005E-3</v>
      </c>
    </row>
    <row r="248" spans="1:24" x14ac:dyDescent="0.25">
      <c r="A248" s="2">
        <v>345.20001220703102</v>
      </c>
      <c r="B248" s="2">
        <f t="shared" si="37"/>
        <v>0.27679999999999999</v>
      </c>
      <c r="C248" s="2">
        <v>-0.35616999864578203</v>
      </c>
      <c r="D248" s="2">
        <f t="shared" si="38"/>
        <v>5.8000000000000005E-3</v>
      </c>
      <c r="F248" s="2">
        <v>161.80000305175801</v>
      </c>
      <c r="G248" s="2">
        <f t="shared" si="39"/>
        <v>0.13009999999999999</v>
      </c>
      <c r="H248" s="2">
        <v>-0.35019001364707902</v>
      </c>
      <c r="I248" s="2">
        <f t="shared" si="40"/>
        <v>5.8000000000000005E-3</v>
      </c>
      <c r="K248" s="2">
        <v>347.20001220703102</v>
      </c>
      <c r="L248" s="2">
        <f t="shared" si="41"/>
        <v>0.27839999999999998</v>
      </c>
      <c r="M248" s="2">
        <v>-0.26289001107215898</v>
      </c>
      <c r="N248" s="2">
        <f t="shared" si="42"/>
        <v>5.8000000000000005E-3</v>
      </c>
      <c r="U248" s="2">
        <v>455.10000610351602</v>
      </c>
      <c r="V248" s="2">
        <f t="shared" si="45"/>
        <v>0.36469999999999997</v>
      </c>
      <c r="W248" s="2">
        <v>-1.6529999673366502E-2</v>
      </c>
      <c r="X248" s="2">
        <f t="shared" si="46"/>
        <v>5.8000000000000005E-3</v>
      </c>
    </row>
    <row r="249" spans="1:24" x14ac:dyDescent="0.25">
      <c r="A249" s="2">
        <v>346.79998779296898</v>
      </c>
      <c r="B249" s="2">
        <f t="shared" si="37"/>
        <v>0.27810000000000001</v>
      </c>
      <c r="C249" s="2">
        <v>-0.35493001341819802</v>
      </c>
      <c r="D249" s="2">
        <f t="shared" si="38"/>
        <v>5.8000000000000005E-3</v>
      </c>
      <c r="F249" s="2">
        <v>163.60000610351599</v>
      </c>
      <c r="G249" s="2">
        <f t="shared" si="39"/>
        <v>0.13149999999999998</v>
      </c>
      <c r="H249" s="2">
        <v>-0.35012999176979098</v>
      </c>
      <c r="I249" s="2">
        <f t="shared" si="40"/>
        <v>5.8000000000000005E-3</v>
      </c>
      <c r="K249" s="2">
        <v>347.5</v>
      </c>
      <c r="L249" s="2">
        <f t="shared" si="41"/>
        <v>0.27860000000000001</v>
      </c>
      <c r="M249" s="2">
        <v>-0.26227000355720498</v>
      </c>
      <c r="N249" s="2">
        <f t="shared" si="42"/>
        <v>5.8000000000000005E-3</v>
      </c>
      <c r="U249" s="2">
        <v>456.79998779296898</v>
      </c>
      <c r="V249" s="2">
        <f t="shared" si="45"/>
        <v>0.36609999999999998</v>
      </c>
      <c r="W249" s="2">
        <v>-1.4809999614954E-2</v>
      </c>
      <c r="X249" s="2">
        <f t="shared" si="46"/>
        <v>5.8000000000000005E-3</v>
      </c>
    </row>
    <row r="250" spans="1:24" x14ac:dyDescent="0.25">
      <c r="A250" s="2">
        <v>348.39999389648398</v>
      </c>
      <c r="B250" s="2">
        <f t="shared" si="37"/>
        <v>0.27929999999999999</v>
      </c>
      <c r="C250" s="2">
        <v>-0.353659987449646</v>
      </c>
      <c r="D250" s="2">
        <f t="shared" si="38"/>
        <v>5.8000000000000005E-3</v>
      </c>
      <c r="F250" s="2">
        <v>165.19999694824199</v>
      </c>
      <c r="G250" s="2">
        <f t="shared" si="39"/>
        <v>0.1328</v>
      </c>
      <c r="H250" s="2">
        <v>-0.35005998611450201</v>
      </c>
      <c r="I250" s="2">
        <f t="shared" si="40"/>
        <v>5.8000000000000005E-3</v>
      </c>
      <c r="K250" s="2">
        <v>348.70001220703102</v>
      </c>
      <c r="L250" s="2">
        <f t="shared" si="41"/>
        <v>0.27960000000000002</v>
      </c>
      <c r="M250" s="2">
        <v>-0.26183000206947299</v>
      </c>
      <c r="N250" s="2">
        <f t="shared" si="42"/>
        <v>5.8000000000000005E-3</v>
      </c>
      <c r="U250" s="2">
        <v>458.20001220703102</v>
      </c>
      <c r="V250" s="2">
        <f t="shared" si="45"/>
        <v>0.36719999999999997</v>
      </c>
      <c r="W250" s="2">
        <v>-9.9799996241927095E-3</v>
      </c>
      <c r="X250" s="2">
        <f t="shared" si="46"/>
        <v>5.8000000000000005E-3</v>
      </c>
    </row>
    <row r="251" spans="1:24" x14ac:dyDescent="0.25">
      <c r="A251" s="2">
        <v>348.29998779296898</v>
      </c>
      <c r="B251" s="2">
        <f t="shared" si="37"/>
        <v>0.27929999999999999</v>
      </c>
      <c r="C251" s="2">
        <v>-0.353610008955002</v>
      </c>
      <c r="D251" s="2">
        <f t="shared" si="38"/>
        <v>5.8000000000000005E-3</v>
      </c>
      <c r="F251" s="2">
        <v>167.19999694824199</v>
      </c>
      <c r="G251" s="2">
        <f t="shared" si="39"/>
        <v>0.13439999999999999</v>
      </c>
      <c r="H251" s="2">
        <v>-0.34999999403953602</v>
      </c>
      <c r="I251" s="2">
        <f t="shared" si="40"/>
        <v>5.8000000000000005E-3</v>
      </c>
      <c r="K251" s="2">
        <v>350.39999389648398</v>
      </c>
      <c r="L251" s="2">
        <f t="shared" si="41"/>
        <v>0.28089999999999998</v>
      </c>
      <c r="M251" s="2">
        <v>-0.260769993066788</v>
      </c>
      <c r="N251" s="2">
        <f t="shared" si="42"/>
        <v>5.8000000000000005E-3</v>
      </c>
      <c r="U251" s="2">
        <v>458.70001220703102</v>
      </c>
      <c r="V251" s="2">
        <f t="shared" si="45"/>
        <v>0.36759999999999998</v>
      </c>
      <c r="W251" s="2">
        <v>-8.6000002920627594E-3</v>
      </c>
      <c r="X251" s="2">
        <f t="shared" si="46"/>
        <v>5.8000000000000005E-3</v>
      </c>
    </row>
    <row r="252" spans="1:24" x14ac:dyDescent="0.25">
      <c r="A252" s="2">
        <v>349</v>
      </c>
      <c r="B252" s="2">
        <f t="shared" si="37"/>
        <v>0.27979999999999999</v>
      </c>
      <c r="C252" s="2">
        <v>-0.352990001440048</v>
      </c>
      <c r="D252" s="2">
        <f t="shared" si="38"/>
        <v>5.8000000000000005E-3</v>
      </c>
      <c r="F252" s="2">
        <v>168.19999694824199</v>
      </c>
      <c r="G252" s="2">
        <f t="shared" si="39"/>
        <v>0.13519999999999999</v>
      </c>
      <c r="H252" s="2">
        <v>-0.34994998574256903</v>
      </c>
      <c r="I252" s="2">
        <f t="shared" si="40"/>
        <v>5.8000000000000005E-3</v>
      </c>
      <c r="K252" s="2">
        <v>352.10000610351602</v>
      </c>
      <c r="L252" s="2">
        <f t="shared" si="41"/>
        <v>0.2823</v>
      </c>
      <c r="M252" s="2">
        <v>-0.259519994258881</v>
      </c>
      <c r="N252" s="2">
        <f t="shared" si="42"/>
        <v>5.8000000000000005E-3</v>
      </c>
      <c r="U252" s="2">
        <v>458.79998779296898</v>
      </c>
      <c r="V252" s="2">
        <f t="shared" si="45"/>
        <v>0.36769999999999997</v>
      </c>
      <c r="W252" s="2">
        <v>-7.1200001984834697E-3</v>
      </c>
      <c r="X252" s="2">
        <f t="shared" si="46"/>
        <v>5.8000000000000005E-3</v>
      </c>
    </row>
    <row r="253" spans="1:24" x14ac:dyDescent="0.25">
      <c r="A253" s="2">
        <v>351.60000610351602</v>
      </c>
      <c r="B253" s="2">
        <f t="shared" si="37"/>
        <v>0.28189999999999998</v>
      </c>
      <c r="C253" s="2">
        <v>-0.35106000304222101</v>
      </c>
      <c r="D253" s="2">
        <f t="shared" si="38"/>
        <v>5.8000000000000005E-3</v>
      </c>
      <c r="F253" s="2">
        <v>170.69999694824199</v>
      </c>
      <c r="G253" s="2">
        <f t="shared" si="39"/>
        <v>0.13719999999999999</v>
      </c>
      <c r="H253" s="2">
        <v>-0.34986999630928001</v>
      </c>
      <c r="I253" s="2">
        <f t="shared" si="40"/>
        <v>5.8000000000000005E-3</v>
      </c>
      <c r="K253" s="2">
        <v>353.60000610351602</v>
      </c>
      <c r="L253" s="2">
        <f t="shared" si="41"/>
        <v>0.28349999999999997</v>
      </c>
      <c r="M253" s="2">
        <v>-0.258419990539551</v>
      </c>
      <c r="N253" s="2">
        <f t="shared" si="42"/>
        <v>5.8000000000000005E-3</v>
      </c>
      <c r="U253" s="2">
        <v>459.10000610351602</v>
      </c>
      <c r="V253" s="2">
        <f t="shared" si="45"/>
        <v>0.3679</v>
      </c>
      <c r="W253" s="2">
        <v>-5.4100002162158498E-3</v>
      </c>
      <c r="X253" s="2">
        <f t="shared" si="46"/>
        <v>5.8000000000000005E-3</v>
      </c>
    </row>
    <row r="254" spans="1:24" x14ac:dyDescent="0.25">
      <c r="A254" s="2">
        <v>351.5</v>
      </c>
      <c r="B254" s="2">
        <f t="shared" si="37"/>
        <v>0.28179999999999999</v>
      </c>
      <c r="C254" s="2">
        <v>-0.35102999210357699</v>
      </c>
      <c r="D254" s="2">
        <f t="shared" si="38"/>
        <v>5.8000000000000005E-3</v>
      </c>
      <c r="F254" s="2">
        <v>170.69999694824199</v>
      </c>
      <c r="G254" s="2">
        <f t="shared" si="39"/>
        <v>0.13719999999999999</v>
      </c>
      <c r="H254" s="2">
        <v>-0.34981000423431402</v>
      </c>
      <c r="I254" s="2">
        <f t="shared" si="40"/>
        <v>5.8000000000000005E-3</v>
      </c>
      <c r="K254" s="2">
        <v>355.20001220703102</v>
      </c>
      <c r="L254" s="2">
        <f t="shared" si="41"/>
        <v>0.2848</v>
      </c>
      <c r="M254" s="2">
        <v>-0.25718998908996599</v>
      </c>
      <c r="N254" s="2">
        <f t="shared" si="42"/>
        <v>5.8000000000000005E-3</v>
      </c>
      <c r="U254" s="2">
        <v>459.29998779296898</v>
      </c>
      <c r="V254" s="2">
        <f t="shared" si="45"/>
        <v>0.36809999999999998</v>
      </c>
      <c r="W254" s="2">
        <v>-5.3500002250075297E-3</v>
      </c>
      <c r="X254" s="2">
        <f t="shared" si="46"/>
        <v>5.8000000000000005E-3</v>
      </c>
    </row>
    <row r="255" spans="1:24" x14ac:dyDescent="0.25">
      <c r="A255" s="2">
        <v>351.60000610351602</v>
      </c>
      <c r="B255" s="2">
        <f t="shared" si="37"/>
        <v>0.28189999999999998</v>
      </c>
      <c r="C255" s="2">
        <v>-0.35100001096725503</v>
      </c>
      <c r="D255" s="2">
        <f t="shared" si="38"/>
        <v>5.8000000000000005E-3</v>
      </c>
      <c r="F255" s="2">
        <v>172.39999389648401</v>
      </c>
      <c r="G255" s="2">
        <f t="shared" si="39"/>
        <v>0.13849999999999998</v>
      </c>
      <c r="H255" s="2">
        <v>-0.34975001215934798</v>
      </c>
      <c r="I255" s="2">
        <f t="shared" si="40"/>
        <v>5.8000000000000005E-3</v>
      </c>
      <c r="K255" s="2">
        <v>356.29998779296898</v>
      </c>
      <c r="L255" s="2">
        <f t="shared" si="41"/>
        <v>0.28570000000000001</v>
      </c>
      <c r="M255" s="2">
        <v>-0.25633001327514598</v>
      </c>
      <c r="N255" s="2">
        <f t="shared" si="42"/>
        <v>5.8000000000000005E-3</v>
      </c>
      <c r="U255" s="2">
        <v>459.10000610351602</v>
      </c>
      <c r="V255" s="2">
        <f t="shared" si="45"/>
        <v>0.3679</v>
      </c>
      <c r="W255" s="2">
        <v>-4.69999993219972E-3</v>
      </c>
      <c r="X255" s="2">
        <f t="shared" si="46"/>
        <v>5.8000000000000005E-3</v>
      </c>
    </row>
    <row r="256" spans="1:24" x14ac:dyDescent="0.25">
      <c r="A256" s="2">
        <v>351.5</v>
      </c>
      <c r="B256" s="2">
        <f t="shared" si="37"/>
        <v>0.28179999999999999</v>
      </c>
      <c r="C256" s="2">
        <v>-0.350980013608932</v>
      </c>
      <c r="D256" s="2">
        <f t="shared" si="38"/>
        <v>5.8000000000000005E-3</v>
      </c>
      <c r="F256" s="2">
        <v>174</v>
      </c>
      <c r="G256" s="2">
        <f t="shared" si="39"/>
        <v>0.13979999999999998</v>
      </c>
      <c r="H256" s="2">
        <v>-0.34968999028205899</v>
      </c>
      <c r="I256" s="2">
        <f t="shared" si="40"/>
        <v>5.8000000000000005E-3</v>
      </c>
      <c r="K256" s="2">
        <v>356.79998779296898</v>
      </c>
      <c r="L256" s="2">
        <f t="shared" si="41"/>
        <v>0.28609999999999997</v>
      </c>
      <c r="M256" s="2">
        <v>-0.25595000386238098</v>
      </c>
      <c r="N256" s="2">
        <f t="shared" si="42"/>
        <v>5.8000000000000005E-3</v>
      </c>
      <c r="U256" s="2">
        <v>460.89999389648398</v>
      </c>
      <c r="V256" s="2">
        <f t="shared" si="45"/>
        <v>0.36929999999999996</v>
      </c>
      <c r="W256" s="2">
        <v>-2.0099999383091901E-3</v>
      </c>
      <c r="X256" s="2">
        <f t="shared" si="46"/>
        <v>5.8000000000000005E-3</v>
      </c>
    </row>
    <row r="257" spans="1:24" x14ac:dyDescent="0.25">
      <c r="A257" s="2">
        <v>351.5</v>
      </c>
      <c r="B257" s="2">
        <f t="shared" si="37"/>
        <v>0.28179999999999999</v>
      </c>
      <c r="C257" s="2">
        <v>-0.350980013608932</v>
      </c>
      <c r="D257" s="2">
        <f t="shared" si="38"/>
        <v>5.8000000000000005E-3</v>
      </c>
      <c r="F257" s="2">
        <v>174.19999694824199</v>
      </c>
      <c r="G257" s="2">
        <f t="shared" si="39"/>
        <v>0.13999999999999999</v>
      </c>
      <c r="H257" s="2">
        <v>-0.34964001178741499</v>
      </c>
      <c r="I257" s="2">
        <f t="shared" si="40"/>
        <v>5.8000000000000005E-3</v>
      </c>
      <c r="K257" s="2">
        <v>358.79998779296898</v>
      </c>
      <c r="L257" s="2">
        <f t="shared" si="41"/>
        <v>0.28770000000000001</v>
      </c>
      <c r="M257" s="2">
        <v>-0.25466999411582902</v>
      </c>
      <c r="N257" s="2">
        <f t="shared" si="42"/>
        <v>5.8000000000000005E-3</v>
      </c>
      <c r="U257" s="2">
        <v>461</v>
      </c>
      <c r="V257" s="2">
        <f t="shared" si="45"/>
        <v>0.36940000000000001</v>
      </c>
      <c r="W257" s="2">
        <v>-2.0099999383091901E-3</v>
      </c>
      <c r="X257" s="2">
        <f t="shared" si="46"/>
        <v>5.8000000000000005E-3</v>
      </c>
    </row>
    <row r="258" spans="1:24" x14ac:dyDescent="0.25">
      <c r="A258" s="2">
        <v>351.5</v>
      </c>
      <c r="B258" s="2">
        <f t="shared" si="37"/>
        <v>0.28179999999999999</v>
      </c>
      <c r="C258" s="2">
        <v>-0.35097000002861001</v>
      </c>
      <c r="D258" s="2">
        <f t="shared" si="38"/>
        <v>5.8000000000000005E-3</v>
      </c>
      <c r="F258" s="2">
        <v>175.89999389648401</v>
      </c>
      <c r="G258" s="2">
        <f t="shared" si="39"/>
        <v>0.14129999999999998</v>
      </c>
      <c r="H258" s="2">
        <v>-0.34957000613212602</v>
      </c>
      <c r="I258" s="2">
        <f t="shared" si="40"/>
        <v>5.8000000000000005E-3</v>
      </c>
      <c r="K258" s="2">
        <v>360.60000610351602</v>
      </c>
      <c r="L258" s="2">
        <f t="shared" si="41"/>
        <v>0.28909999999999997</v>
      </c>
      <c r="M258" s="2">
        <v>-0.25306999683380099</v>
      </c>
      <c r="N258" s="2">
        <f t="shared" si="42"/>
        <v>5.8000000000000005E-3</v>
      </c>
      <c r="U258" s="2">
        <v>461.10000610351602</v>
      </c>
      <c r="V258" s="2">
        <f t="shared" si="45"/>
        <v>0.3695</v>
      </c>
      <c r="W258" s="2">
        <v>-1.47999997716397E-3</v>
      </c>
      <c r="X258" s="2">
        <f t="shared" si="46"/>
        <v>5.8000000000000005E-3</v>
      </c>
    </row>
    <row r="259" spans="1:24" x14ac:dyDescent="0.25">
      <c r="A259" s="2">
        <v>351.60000610351602</v>
      </c>
      <c r="B259" s="2">
        <f t="shared" si="37"/>
        <v>0.28189999999999998</v>
      </c>
      <c r="C259" s="2">
        <v>-0.35095000267028797</v>
      </c>
      <c r="D259" s="2">
        <f t="shared" si="38"/>
        <v>5.8000000000000005E-3</v>
      </c>
      <c r="F259" s="2">
        <v>177.69999694824199</v>
      </c>
      <c r="G259" s="2">
        <f t="shared" si="39"/>
        <v>0.14279999999999998</v>
      </c>
      <c r="H259" s="2">
        <v>-0.34953001141548201</v>
      </c>
      <c r="I259" s="2">
        <f t="shared" si="40"/>
        <v>5.8000000000000005E-3</v>
      </c>
      <c r="K259" s="2">
        <v>363.10000610351602</v>
      </c>
      <c r="L259" s="2">
        <f t="shared" si="41"/>
        <v>0.29109999999999997</v>
      </c>
      <c r="M259" s="2">
        <v>-0.25084999203681901</v>
      </c>
      <c r="N259" s="2">
        <f t="shared" si="42"/>
        <v>5.8000000000000005E-3</v>
      </c>
      <c r="U259" s="2">
        <v>460.5</v>
      </c>
      <c r="V259" s="2">
        <f t="shared" si="45"/>
        <v>0.36899999999999999</v>
      </c>
      <c r="W259" s="2">
        <v>-5.6000001495704098E-4</v>
      </c>
      <c r="X259" s="2">
        <f t="shared" si="46"/>
        <v>5.8000000000000005E-3</v>
      </c>
    </row>
    <row r="260" spans="1:24" x14ac:dyDescent="0.25">
      <c r="A260" s="2">
        <v>356.10000610351602</v>
      </c>
      <c r="B260" s="2">
        <f t="shared" si="37"/>
        <v>0.28549999999999998</v>
      </c>
      <c r="C260" s="2">
        <v>-0.34698000550270103</v>
      </c>
      <c r="D260" s="2">
        <f t="shared" si="38"/>
        <v>5.8000000000000005E-3</v>
      </c>
      <c r="F260" s="2">
        <v>177.69999694824199</v>
      </c>
      <c r="G260" s="2">
        <f t="shared" si="39"/>
        <v>0.14279999999999998</v>
      </c>
      <c r="H260" s="2">
        <v>-0.349489986896515</v>
      </c>
      <c r="I260" s="2">
        <f t="shared" si="40"/>
        <v>5.8000000000000005E-3</v>
      </c>
      <c r="K260" s="2">
        <v>369.29998779296898</v>
      </c>
      <c r="L260" s="2">
        <f t="shared" si="41"/>
        <v>0.29609999999999997</v>
      </c>
      <c r="M260" s="2">
        <v>-0.24521000683307601</v>
      </c>
      <c r="N260" s="2">
        <f t="shared" si="42"/>
        <v>5.8000000000000005E-3</v>
      </c>
      <c r="U260" s="2">
        <v>462.10000610351602</v>
      </c>
      <c r="V260" s="2">
        <f t="shared" si="45"/>
        <v>0.37029999999999996</v>
      </c>
      <c r="W260" s="2">
        <v>3.1500000040978202E-3</v>
      </c>
      <c r="X260" s="2">
        <f t="shared" si="46"/>
        <v>5.8000000000000005E-3</v>
      </c>
    </row>
    <row r="261" spans="1:24" x14ac:dyDescent="0.25">
      <c r="A261" s="2">
        <v>356.20001220703102</v>
      </c>
      <c r="B261" s="2">
        <f t="shared" si="37"/>
        <v>0.28559999999999997</v>
      </c>
      <c r="C261" s="2">
        <v>-0.34678000211715698</v>
      </c>
      <c r="D261" s="2">
        <f t="shared" si="38"/>
        <v>5.8000000000000005E-3</v>
      </c>
      <c r="F261" s="2">
        <v>180</v>
      </c>
      <c r="G261" s="2">
        <f t="shared" si="39"/>
        <v>0.14459999999999998</v>
      </c>
      <c r="H261" s="2">
        <v>-0.34942999482154802</v>
      </c>
      <c r="I261" s="2">
        <f t="shared" si="40"/>
        <v>5.8000000000000005E-3</v>
      </c>
      <c r="K261" s="2">
        <v>370.79998779296898</v>
      </c>
      <c r="L261" s="2">
        <f t="shared" si="41"/>
        <v>0.29730000000000001</v>
      </c>
      <c r="M261" s="2">
        <v>-0.24375000596046401</v>
      </c>
      <c r="N261" s="2">
        <f t="shared" si="42"/>
        <v>5.8000000000000005E-3</v>
      </c>
      <c r="U261" s="2">
        <v>463.79998779296898</v>
      </c>
      <c r="V261" s="2">
        <f t="shared" si="45"/>
        <v>0.37169999999999997</v>
      </c>
      <c r="W261" s="2">
        <v>4.4900001958012598E-3</v>
      </c>
      <c r="X261" s="2">
        <f t="shared" si="46"/>
        <v>5.8000000000000005E-3</v>
      </c>
    </row>
    <row r="262" spans="1:24" x14ac:dyDescent="0.25">
      <c r="A262" s="2">
        <v>356.29998779296898</v>
      </c>
      <c r="B262" s="2">
        <f t="shared" si="37"/>
        <v>0.28570000000000001</v>
      </c>
      <c r="C262" s="2">
        <v>-0.34676998853683499</v>
      </c>
      <c r="D262" s="2">
        <f t="shared" si="38"/>
        <v>5.8000000000000005E-3</v>
      </c>
      <c r="F262" s="2">
        <v>182.69999694824199</v>
      </c>
      <c r="G262" s="2">
        <f t="shared" si="39"/>
        <v>0.14679999999999999</v>
      </c>
      <c r="H262" s="2">
        <v>-0.349159985780716</v>
      </c>
      <c r="I262" s="2">
        <f t="shared" si="40"/>
        <v>5.8000000000000005E-3</v>
      </c>
      <c r="K262" s="2">
        <v>371.60000610351602</v>
      </c>
      <c r="L262" s="2">
        <f t="shared" si="41"/>
        <v>0.2979</v>
      </c>
      <c r="M262" s="2">
        <v>-0.24300000071525599</v>
      </c>
      <c r="N262" s="2">
        <f t="shared" si="42"/>
        <v>5.8000000000000005E-3</v>
      </c>
      <c r="U262" s="2">
        <v>464.20001220703102</v>
      </c>
      <c r="V262" s="2">
        <f t="shared" si="45"/>
        <v>0.372</v>
      </c>
      <c r="W262" s="2">
        <v>4.7699999995529704E-3</v>
      </c>
      <c r="X262" s="2">
        <f t="shared" si="46"/>
        <v>5.8000000000000005E-3</v>
      </c>
    </row>
    <row r="263" spans="1:24" x14ac:dyDescent="0.25">
      <c r="A263" s="2">
        <v>356.20001220703102</v>
      </c>
      <c r="B263" s="2">
        <f t="shared" si="37"/>
        <v>0.28559999999999997</v>
      </c>
      <c r="C263" s="2">
        <v>-0.34676000475883501</v>
      </c>
      <c r="D263" s="2">
        <f t="shared" si="38"/>
        <v>5.8000000000000005E-3</v>
      </c>
      <c r="F263" s="2">
        <v>188.19999694824199</v>
      </c>
      <c r="G263" s="2">
        <f t="shared" si="39"/>
        <v>0.1512</v>
      </c>
      <c r="H263" s="2">
        <v>-0.34891000390052801</v>
      </c>
      <c r="I263" s="2">
        <f t="shared" si="40"/>
        <v>5.8000000000000005E-3</v>
      </c>
      <c r="K263" s="2">
        <v>372.20001220703102</v>
      </c>
      <c r="L263" s="2">
        <f t="shared" si="41"/>
        <v>0.2984</v>
      </c>
      <c r="M263" s="2">
        <v>-0.242249995470047</v>
      </c>
      <c r="N263" s="2">
        <f t="shared" si="42"/>
        <v>5.8000000000000005E-3</v>
      </c>
      <c r="U263" s="2">
        <v>464.70001220703102</v>
      </c>
      <c r="V263" s="2">
        <f t="shared" si="45"/>
        <v>0.37240000000000001</v>
      </c>
      <c r="W263" s="2">
        <v>7.6899998821318098E-3</v>
      </c>
      <c r="X263" s="2">
        <f t="shared" si="46"/>
        <v>5.8000000000000005E-3</v>
      </c>
    </row>
    <row r="264" spans="1:24" x14ac:dyDescent="0.25">
      <c r="A264" s="2">
        <v>356.20001220703102</v>
      </c>
      <c r="B264" s="2">
        <f t="shared" si="37"/>
        <v>0.28559999999999997</v>
      </c>
      <c r="C264" s="2">
        <v>-0.34674999117851302</v>
      </c>
      <c r="D264" s="2">
        <f t="shared" si="38"/>
        <v>5.8000000000000005E-3</v>
      </c>
      <c r="F264" s="2">
        <v>188.39999389648401</v>
      </c>
      <c r="G264" s="2">
        <f t="shared" si="39"/>
        <v>0.15129999999999999</v>
      </c>
      <c r="H264" s="2">
        <v>-0.34889000654220598</v>
      </c>
      <c r="I264" s="2">
        <f t="shared" si="40"/>
        <v>5.8000000000000005E-3</v>
      </c>
      <c r="K264" s="2">
        <v>374.79998779296898</v>
      </c>
      <c r="L264" s="2">
        <f t="shared" si="41"/>
        <v>0.30049999999999999</v>
      </c>
      <c r="M264" s="2">
        <v>-0.23968000710010501</v>
      </c>
      <c r="N264" s="2">
        <f t="shared" si="42"/>
        <v>5.8000000000000005E-3</v>
      </c>
      <c r="U264" s="2">
        <v>465.60000610351602</v>
      </c>
      <c r="V264" s="2">
        <f t="shared" si="45"/>
        <v>0.37309999999999999</v>
      </c>
      <c r="W264" s="2">
        <v>9.4400001689791697E-3</v>
      </c>
      <c r="X264" s="2">
        <f t="shared" si="46"/>
        <v>5.8000000000000005E-3</v>
      </c>
    </row>
    <row r="265" spans="1:24" x14ac:dyDescent="0.25">
      <c r="A265" s="2">
        <v>357.70001220703102</v>
      </c>
      <c r="B265" s="2">
        <f t="shared" si="37"/>
        <v>0.2868</v>
      </c>
      <c r="C265" s="2">
        <v>-0.34531000256538402</v>
      </c>
      <c r="D265" s="2">
        <f t="shared" si="38"/>
        <v>5.8000000000000005E-3</v>
      </c>
      <c r="F265" s="2">
        <v>188.5</v>
      </c>
      <c r="G265" s="2">
        <f t="shared" si="39"/>
        <v>0.15139999999999998</v>
      </c>
      <c r="H265" s="2">
        <v>-0.34887999296188399</v>
      </c>
      <c r="I265" s="2">
        <f t="shared" si="40"/>
        <v>5.8000000000000005E-3</v>
      </c>
      <c r="K265" s="2">
        <v>375.70001220703102</v>
      </c>
      <c r="L265" s="2">
        <f t="shared" si="41"/>
        <v>0.30119999999999997</v>
      </c>
      <c r="M265" s="2">
        <v>-0.238440006971359</v>
      </c>
      <c r="N265" s="2">
        <f t="shared" si="42"/>
        <v>5.8000000000000005E-3</v>
      </c>
      <c r="U265" s="2">
        <v>467.29998779296898</v>
      </c>
      <c r="V265" s="2">
        <f t="shared" si="45"/>
        <v>0.3745</v>
      </c>
      <c r="W265" s="2">
        <v>1.47599996998906E-2</v>
      </c>
      <c r="X265" s="2">
        <f t="shared" si="46"/>
        <v>5.8000000000000005E-3</v>
      </c>
    </row>
    <row r="266" spans="1:24" x14ac:dyDescent="0.25">
      <c r="A266" s="2">
        <v>359.29998779296898</v>
      </c>
      <c r="B266" s="2">
        <f t="shared" si="37"/>
        <v>0.28809999999999997</v>
      </c>
      <c r="C266" s="2">
        <v>-0.34391000866889998</v>
      </c>
      <c r="D266" s="2">
        <f t="shared" si="38"/>
        <v>5.8000000000000005E-3</v>
      </c>
      <c r="F266" s="2">
        <v>189.80000305175801</v>
      </c>
      <c r="G266" s="2">
        <f t="shared" si="39"/>
        <v>0.1525</v>
      </c>
      <c r="H266" s="2">
        <v>-0.34883999824523898</v>
      </c>
      <c r="I266" s="2">
        <f t="shared" si="40"/>
        <v>5.8000000000000005E-3</v>
      </c>
      <c r="K266" s="2">
        <v>378</v>
      </c>
      <c r="L266" s="2">
        <f t="shared" si="41"/>
        <v>0.30299999999999999</v>
      </c>
      <c r="M266" s="2">
        <v>-0.23486000299453699</v>
      </c>
      <c r="N266" s="2">
        <f t="shared" si="42"/>
        <v>5.8000000000000005E-3</v>
      </c>
      <c r="U266" s="2">
        <v>468.70001220703102</v>
      </c>
      <c r="V266" s="2">
        <f t="shared" si="45"/>
        <v>0.37559999999999999</v>
      </c>
      <c r="W266" s="2">
        <v>1.7790000885725001E-2</v>
      </c>
      <c r="X266" s="2">
        <f t="shared" si="46"/>
        <v>5.8000000000000005E-3</v>
      </c>
    </row>
    <row r="267" spans="1:24" x14ac:dyDescent="0.25">
      <c r="A267" s="2">
        <v>361.89999389648398</v>
      </c>
      <c r="B267" s="2">
        <f t="shared" si="37"/>
        <v>0.29009999999999997</v>
      </c>
      <c r="C267" s="2">
        <v>-0.34143000841140703</v>
      </c>
      <c r="D267" s="2">
        <f t="shared" si="38"/>
        <v>5.8000000000000005E-3</v>
      </c>
      <c r="F267" s="2">
        <v>194.60000610351599</v>
      </c>
      <c r="G267" s="2">
        <f t="shared" si="39"/>
        <v>0.15629999999999999</v>
      </c>
      <c r="H267" s="2">
        <v>-0.34850999712943997</v>
      </c>
      <c r="I267" s="2">
        <f t="shared" si="40"/>
        <v>5.8000000000000005E-3</v>
      </c>
      <c r="K267" s="2">
        <v>378.20001220703102</v>
      </c>
      <c r="L267" s="2">
        <f t="shared" si="41"/>
        <v>0.30319999999999997</v>
      </c>
      <c r="M267" s="2">
        <v>-0.23533999919891399</v>
      </c>
      <c r="N267" s="2">
        <f t="shared" si="42"/>
        <v>5.8000000000000005E-3</v>
      </c>
      <c r="U267" s="2">
        <v>469.79998779296898</v>
      </c>
      <c r="V267" s="2">
        <f t="shared" si="45"/>
        <v>0.3765</v>
      </c>
      <c r="W267" s="2">
        <v>2.1190000697970401E-2</v>
      </c>
      <c r="X267" s="2">
        <f t="shared" si="46"/>
        <v>5.8000000000000005E-3</v>
      </c>
    </row>
    <row r="268" spans="1:24" x14ac:dyDescent="0.25">
      <c r="A268" s="2">
        <v>362.5</v>
      </c>
      <c r="B268" s="2">
        <f t="shared" si="37"/>
        <v>0.29059999999999997</v>
      </c>
      <c r="C268" s="2">
        <v>-0.34086999297142001</v>
      </c>
      <c r="D268" s="2">
        <f t="shared" si="38"/>
        <v>5.8000000000000005E-3</v>
      </c>
      <c r="F268" s="2">
        <v>194.80000305175801</v>
      </c>
      <c r="G268" s="2">
        <f t="shared" si="39"/>
        <v>0.1565</v>
      </c>
      <c r="H268" s="2">
        <v>-0.34847998619079601</v>
      </c>
      <c r="I268" s="2">
        <f t="shared" si="40"/>
        <v>5.8000000000000005E-3</v>
      </c>
      <c r="K268" s="2">
        <v>378.10000610351602</v>
      </c>
      <c r="L268" s="2">
        <f t="shared" si="41"/>
        <v>0.30309999999999998</v>
      </c>
      <c r="M268" s="2">
        <v>-0.235860005021095</v>
      </c>
      <c r="N268" s="2">
        <f t="shared" si="42"/>
        <v>5.8000000000000005E-3</v>
      </c>
      <c r="U268" s="2">
        <v>469.89999389648398</v>
      </c>
      <c r="V268" s="2">
        <f t="shared" si="45"/>
        <v>0.3765</v>
      </c>
      <c r="W268" s="2">
        <v>2.1229999139905E-2</v>
      </c>
      <c r="X268" s="2">
        <f t="shared" si="46"/>
        <v>5.8000000000000005E-3</v>
      </c>
    </row>
    <row r="269" spans="1:24" x14ac:dyDescent="0.25">
      <c r="A269" s="2">
        <v>362.5</v>
      </c>
      <c r="B269" s="2">
        <f t="shared" si="37"/>
        <v>0.29059999999999997</v>
      </c>
      <c r="C269" s="2">
        <v>-0.340829998254776</v>
      </c>
      <c r="D269" s="2">
        <f t="shared" si="38"/>
        <v>5.8000000000000005E-3</v>
      </c>
      <c r="F269" s="2">
        <v>192.60000610351599</v>
      </c>
      <c r="G269" s="2">
        <f t="shared" si="39"/>
        <v>0.15469999999999998</v>
      </c>
      <c r="H269" s="2">
        <v>-0.34865000844001798</v>
      </c>
      <c r="I269" s="2">
        <f t="shared" si="40"/>
        <v>5.8000000000000005E-3</v>
      </c>
      <c r="K269" s="2">
        <v>379.89999389648398</v>
      </c>
      <c r="L269" s="2">
        <f t="shared" si="41"/>
        <v>0.30449999999999999</v>
      </c>
      <c r="M269" s="2">
        <v>-0.233799993991852</v>
      </c>
      <c r="N269" s="2">
        <f t="shared" si="42"/>
        <v>5.8000000000000005E-3</v>
      </c>
      <c r="U269" s="2">
        <v>470.60000610351602</v>
      </c>
      <c r="V269" s="2">
        <f t="shared" si="45"/>
        <v>0.37709999999999999</v>
      </c>
      <c r="W269" s="2">
        <v>2.3259999230504001E-2</v>
      </c>
      <c r="X269" s="2">
        <f t="shared" si="46"/>
        <v>5.8000000000000005E-3</v>
      </c>
    </row>
    <row r="270" spans="1:24" x14ac:dyDescent="0.25">
      <c r="A270" s="2">
        <v>362.39999389648398</v>
      </c>
      <c r="B270" s="2">
        <f t="shared" si="37"/>
        <v>0.29049999999999998</v>
      </c>
      <c r="C270" s="2">
        <v>-0.34077000617981001</v>
      </c>
      <c r="D270" s="2">
        <f t="shared" si="38"/>
        <v>5.8000000000000005E-3</v>
      </c>
      <c r="F270" s="2">
        <v>191.89999389648401</v>
      </c>
      <c r="G270" s="2">
        <f t="shared" si="39"/>
        <v>0.15409999999999999</v>
      </c>
      <c r="H270" s="2">
        <v>-0.34863999485969499</v>
      </c>
      <c r="I270" s="2">
        <f t="shared" si="40"/>
        <v>5.8000000000000005E-3</v>
      </c>
      <c r="K270" s="2">
        <v>381</v>
      </c>
      <c r="L270" s="2">
        <f t="shared" si="41"/>
        <v>0.3054</v>
      </c>
      <c r="M270" s="2">
        <v>-0.232649996876717</v>
      </c>
      <c r="N270" s="2">
        <f t="shared" si="42"/>
        <v>5.8000000000000005E-3</v>
      </c>
      <c r="U270" s="2">
        <v>471.20001220703102</v>
      </c>
      <c r="V270" s="2">
        <f t="shared" si="45"/>
        <v>0.37759999999999999</v>
      </c>
      <c r="W270" s="2">
        <v>2.4709999561309801E-2</v>
      </c>
      <c r="X270" s="2">
        <f t="shared" si="46"/>
        <v>5.8000000000000005E-3</v>
      </c>
    </row>
    <row r="271" spans="1:24" x14ac:dyDescent="0.25">
      <c r="A271" s="2">
        <v>364</v>
      </c>
      <c r="B271" s="2">
        <f t="shared" si="37"/>
        <v>0.2918</v>
      </c>
      <c r="C271" s="2">
        <v>-0.33913999795913702</v>
      </c>
      <c r="D271" s="2">
        <f t="shared" si="38"/>
        <v>5.8000000000000005E-3</v>
      </c>
      <c r="F271" s="2">
        <v>191.89999389648401</v>
      </c>
      <c r="G271" s="2">
        <f t="shared" si="39"/>
        <v>0.15409999999999999</v>
      </c>
      <c r="H271" s="2">
        <v>-0.34863999485969499</v>
      </c>
      <c r="I271" s="2">
        <f t="shared" si="40"/>
        <v>5.8000000000000005E-3</v>
      </c>
      <c r="K271" s="2">
        <v>381.29998779296898</v>
      </c>
      <c r="L271" s="2">
        <f t="shared" si="41"/>
        <v>0.30569999999999997</v>
      </c>
      <c r="M271" s="2">
        <v>-0.23187999427318601</v>
      </c>
      <c r="N271" s="2">
        <f t="shared" si="42"/>
        <v>5.8000000000000005E-3</v>
      </c>
      <c r="U271" s="2">
        <v>472.20001220703102</v>
      </c>
      <c r="V271" s="2">
        <f t="shared" si="45"/>
        <v>0.37840000000000001</v>
      </c>
      <c r="W271" s="2">
        <v>2.8200000524520898E-2</v>
      </c>
      <c r="X271" s="2">
        <f t="shared" si="46"/>
        <v>5.8000000000000005E-3</v>
      </c>
    </row>
    <row r="272" spans="1:24" x14ac:dyDescent="0.25">
      <c r="A272" s="2">
        <v>365.5</v>
      </c>
      <c r="B272" s="2">
        <f t="shared" si="37"/>
        <v>0.29299999999999998</v>
      </c>
      <c r="C272" s="2">
        <v>-0.33759000897407498</v>
      </c>
      <c r="D272" s="2">
        <f t="shared" si="38"/>
        <v>5.8000000000000005E-3</v>
      </c>
      <c r="F272" s="2">
        <v>192.5</v>
      </c>
      <c r="G272" s="2">
        <f t="shared" si="39"/>
        <v>0.15459999999999999</v>
      </c>
      <c r="H272" s="2">
        <v>-0.348630011081696</v>
      </c>
      <c r="I272" s="2">
        <f t="shared" si="40"/>
        <v>5.8000000000000005E-3</v>
      </c>
      <c r="K272" s="2">
        <v>383.5</v>
      </c>
      <c r="L272" s="2">
        <f t="shared" si="41"/>
        <v>0.30740000000000001</v>
      </c>
      <c r="M272" s="2">
        <v>-0.22908000648021701</v>
      </c>
      <c r="N272" s="2">
        <f t="shared" si="42"/>
        <v>5.8000000000000005E-3</v>
      </c>
      <c r="U272" s="2">
        <v>471.70001220703102</v>
      </c>
      <c r="V272" s="2">
        <f t="shared" si="45"/>
        <v>0.378</v>
      </c>
      <c r="W272" s="2">
        <v>2.6399999856948901E-2</v>
      </c>
      <c r="X272" s="2">
        <f t="shared" si="46"/>
        <v>5.8000000000000005E-3</v>
      </c>
    </row>
    <row r="273" spans="1:24" x14ac:dyDescent="0.25">
      <c r="A273" s="2">
        <v>365.39999389648398</v>
      </c>
      <c r="B273" s="2">
        <f t="shared" si="37"/>
        <v>0.29289999999999999</v>
      </c>
      <c r="C273" s="2">
        <v>-0.33759000897407498</v>
      </c>
      <c r="D273" s="2">
        <f t="shared" si="38"/>
        <v>5.8000000000000005E-3</v>
      </c>
      <c r="F273" s="2">
        <v>193.60000610351599</v>
      </c>
      <c r="G273" s="2">
        <f t="shared" si="39"/>
        <v>0.1555</v>
      </c>
      <c r="H273" s="2">
        <v>-0.34861001372337302</v>
      </c>
      <c r="I273" s="2">
        <f t="shared" si="40"/>
        <v>5.8000000000000005E-3</v>
      </c>
      <c r="K273" s="2">
        <v>383.89999389648398</v>
      </c>
      <c r="L273" s="2">
        <f t="shared" si="41"/>
        <v>0.30769999999999997</v>
      </c>
      <c r="M273" s="2">
        <v>-0.22902999818325001</v>
      </c>
      <c r="N273" s="2">
        <f t="shared" si="42"/>
        <v>5.8000000000000005E-3</v>
      </c>
      <c r="U273" s="2">
        <v>471.79998779296898</v>
      </c>
      <c r="V273" s="2">
        <f t="shared" si="45"/>
        <v>0.37809999999999999</v>
      </c>
      <c r="W273" s="2">
        <v>2.6790000498294799E-2</v>
      </c>
      <c r="X273" s="2">
        <f t="shared" si="46"/>
        <v>5.8000000000000005E-3</v>
      </c>
    </row>
    <row r="274" spans="1:24" x14ac:dyDescent="0.25">
      <c r="A274" s="2">
        <v>365.5</v>
      </c>
      <c r="B274" s="2">
        <f t="shared" si="37"/>
        <v>0.29299999999999998</v>
      </c>
      <c r="C274" s="2">
        <v>-0.33759000897407498</v>
      </c>
      <c r="D274" s="2">
        <f t="shared" si="38"/>
        <v>5.8000000000000005E-3</v>
      </c>
      <c r="F274" s="2">
        <v>194.80000305175801</v>
      </c>
      <c r="G274" s="2">
        <f t="shared" si="39"/>
        <v>0.1565</v>
      </c>
      <c r="H274" s="2">
        <v>-0.34856998920440702</v>
      </c>
      <c r="I274" s="2">
        <f t="shared" si="40"/>
        <v>5.8000000000000005E-3</v>
      </c>
      <c r="K274" s="2">
        <v>384.89999389648398</v>
      </c>
      <c r="L274" s="2">
        <f t="shared" si="41"/>
        <v>0.3085</v>
      </c>
      <c r="M274" s="2">
        <v>-0.22792999446392101</v>
      </c>
      <c r="N274" s="2">
        <f t="shared" si="42"/>
        <v>5.8000000000000005E-3</v>
      </c>
    </row>
    <row r="275" spans="1:24" x14ac:dyDescent="0.25">
      <c r="A275" s="2">
        <v>367.89999389648398</v>
      </c>
      <c r="B275" s="2">
        <f t="shared" si="37"/>
        <v>0.2949</v>
      </c>
      <c r="C275" s="2">
        <v>-0.334899991750717</v>
      </c>
      <c r="D275" s="2">
        <f t="shared" si="38"/>
        <v>5.8000000000000005E-3</v>
      </c>
      <c r="F275" s="2">
        <v>195.39999389648401</v>
      </c>
      <c r="G275" s="2">
        <f t="shared" si="39"/>
        <v>0.15689999999999998</v>
      </c>
      <c r="H275" s="2">
        <v>-0.34850999712943997</v>
      </c>
      <c r="I275" s="2">
        <f t="shared" si="40"/>
        <v>5.8000000000000005E-3</v>
      </c>
      <c r="K275" s="2">
        <v>385.39999389648398</v>
      </c>
      <c r="L275" s="2">
        <f t="shared" si="41"/>
        <v>0.30890000000000001</v>
      </c>
      <c r="M275" s="2">
        <v>-0.227170005440712</v>
      </c>
      <c r="N275" s="2">
        <f t="shared" si="42"/>
        <v>5.8000000000000005E-3</v>
      </c>
    </row>
    <row r="276" spans="1:24" x14ac:dyDescent="0.25">
      <c r="A276" s="2">
        <v>370</v>
      </c>
      <c r="B276" s="2">
        <f t="shared" si="37"/>
        <v>0.29659999999999997</v>
      </c>
      <c r="C276" s="2">
        <v>-0.33254000544548001</v>
      </c>
      <c r="D276" s="2">
        <f t="shared" si="38"/>
        <v>5.8000000000000005E-3</v>
      </c>
      <c r="F276" s="2">
        <v>196.39999389648401</v>
      </c>
      <c r="G276" s="2">
        <f t="shared" si="39"/>
        <v>0.15769999999999998</v>
      </c>
      <c r="H276" s="2">
        <v>-0.34845000505447399</v>
      </c>
      <c r="I276" s="2">
        <f t="shared" si="40"/>
        <v>5.8000000000000005E-3</v>
      </c>
      <c r="K276" s="2">
        <v>387.10000610351602</v>
      </c>
      <c r="L276" s="2">
        <f t="shared" si="41"/>
        <v>0.31029999999999996</v>
      </c>
      <c r="M276" s="2">
        <v>-0.22543999552726701</v>
      </c>
      <c r="N276" s="2">
        <f t="shared" si="42"/>
        <v>5.8000000000000005E-3</v>
      </c>
    </row>
    <row r="277" spans="1:24" x14ac:dyDescent="0.25">
      <c r="A277" s="2">
        <v>370.10000610351602</v>
      </c>
      <c r="B277" s="2">
        <f t="shared" si="37"/>
        <v>0.29669999999999996</v>
      </c>
      <c r="C277" s="2">
        <v>-0.33252000808715798</v>
      </c>
      <c r="D277" s="2">
        <f t="shared" si="38"/>
        <v>5.8000000000000005E-3</v>
      </c>
      <c r="F277" s="2">
        <v>196.5</v>
      </c>
      <c r="G277" s="2">
        <f t="shared" si="39"/>
        <v>0.1578</v>
      </c>
      <c r="H277" s="2">
        <v>-0.34839999675750699</v>
      </c>
      <c r="I277" s="2">
        <f t="shared" si="40"/>
        <v>5.8000000000000005E-3</v>
      </c>
      <c r="K277" s="2">
        <v>387</v>
      </c>
      <c r="L277" s="2">
        <f t="shared" si="41"/>
        <v>0.31019999999999998</v>
      </c>
      <c r="M277" s="2">
        <v>-0.22541999816894501</v>
      </c>
      <c r="N277" s="2">
        <f t="shared" si="42"/>
        <v>5.8000000000000005E-3</v>
      </c>
    </row>
    <row r="278" spans="1:24" x14ac:dyDescent="0.25">
      <c r="A278" s="2">
        <v>370</v>
      </c>
      <c r="B278" s="2">
        <f t="shared" si="37"/>
        <v>0.29659999999999997</v>
      </c>
      <c r="C278" s="2">
        <v>-0.33248999714851402</v>
      </c>
      <c r="D278" s="2">
        <f t="shared" si="38"/>
        <v>5.8000000000000005E-3</v>
      </c>
      <c r="F278" s="2">
        <v>197.30000305175801</v>
      </c>
      <c r="G278" s="2">
        <f t="shared" si="39"/>
        <v>0.1585</v>
      </c>
      <c r="H278" s="2">
        <v>-0.34832000732421903</v>
      </c>
      <c r="I278" s="2">
        <f t="shared" si="40"/>
        <v>5.8000000000000005E-3</v>
      </c>
      <c r="K278" s="2">
        <v>388.39999389648398</v>
      </c>
      <c r="L278" s="2">
        <f t="shared" si="41"/>
        <v>0.31129999999999997</v>
      </c>
      <c r="M278" s="2">
        <v>-0.22363999485969499</v>
      </c>
      <c r="N278" s="2">
        <f t="shared" si="42"/>
        <v>5.8000000000000005E-3</v>
      </c>
    </row>
    <row r="279" spans="1:24" x14ac:dyDescent="0.25">
      <c r="A279" s="2">
        <v>371.89999389648398</v>
      </c>
      <c r="B279" s="2">
        <f t="shared" si="37"/>
        <v>0.29809999999999998</v>
      </c>
      <c r="C279" s="2">
        <v>-0.33028998970985401</v>
      </c>
      <c r="D279" s="2">
        <f t="shared" si="38"/>
        <v>5.8000000000000005E-3</v>
      </c>
      <c r="F279" s="2">
        <v>197.10000610351599</v>
      </c>
      <c r="G279" s="2">
        <f t="shared" si="39"/>
        <v>0.1583</v>
      </c>
      <c r="H279" s="2">
        <v>-0.348300009965897</v>
      </c>
      <c r="I279" s="2">
        <f t="shared" si="40"/>
        <v>5.8000000000000005E-3</v>
      </c>
      <c r="K279" s="2">
        <v>388.29998779296898</v>
      </c>
      <c r="L279" s="2">
        <f t="shared" si="41"/>
        <v>0.31129999999999997</v>
      </c>
      <c r="M279" s="2">
        <v>-0.22364999353885701</v>
      </c>
      <c r="N279" s="2">
        <f t="shared" si="42"/>
        <v>5.8000000000000005E-3</v>
      </c>
    </row>
    <row r="280" spans="1:24" x14ac:dyDescent="0.25">
      <c r="A280" s="2">
        <v>372.89999389648398</v>
      </c>
      <c r="B280" s="2">
        <f t="shared" si="37"/>
        <v>0.2989</v>
      </c>
      <c r="C280" s="2">
        <v>-0.32903000712394698</v>
      </c>
      <c r="D280" s="2">
        <f t="shared" si="38"/>
        <v>5.8000000000000005E-3</v>
      </c>
      <c r="F280" s="2">
        <v>197.10000610351599</v>
      </c>
      <c r="G280" s="2">
        <f t="shared" si="39"/>
        <v>0.1583</v>
      </c>
      <c r="H280" s="2">
        <v>-0.34830999374389598</v>
      </c>
      <c r="I280" s="2">
        <f t="shared" si="40"/>
        <v>5.8000000000000005E-3</v>
      </c>
      <c r="K280" s="2">
        <v>389.5</v>
      </c>
      <c r="L280" s="2">
        <f t="shared" si="41"/>
        <v>0.31219999999999998</v>
      </c>
      <c r="M280" s="2">
        <v>-0.22227999567985501</v>
      </c>
      <c r="N280" s="2">
        <f t="shared" si="42"/>
        <v>5.8000000000000005E-3</v>
      </c>
    </row>
    <row r="281" spans="1:24" x14ac:dyDescent="0.25">
      <c r="A281" s="2">
        <v>373.20001220703102</v>
      </c>
      <c r="B281" s="2">
        <f t="shared" si="37"/>
        <v>0.29919999999999997</v>
      </c>
      <c r="C281" s="2">
        <v>-0.328770011663437</v>
      </c>
      <c r="D281" s="2">
        <f t="shared" si="38"/>
        <v>5.8000000000000005E-3</v>
      </c>
      <c r="F281" s="2">
        <v>197.10000610351599</v>
      </c>
      <c r="G281" s="2">
        <f t="shared" si="39"/>
        <v>0.1583</v>
      </c>
      <c r="H281" s="2">
        <v>-0.34830999374389598</v>
      </c>
      <c r="I281" s="2">
        <f t="shared" si="40"/>
        <v>5.8000000000000005E-3</v>
      </c>
      <c r="K281" s="2">
        <v>389.60000610351602</v>
      </c>
      <c r="L281" s="2">
        <f t="shared" si="41"/>
        <v>0.31229999999999997</v>
      </c>
      <c r="M281" s="2">
        <v>-0.22163000702857999</v>
      </c>
      <c r="N281" s="2">
        <f t="shared" si="42"/>
        <v>5.8000000000000005E-3</v>
      </c>
    </row>
    <row r="282" spans="1:24" x14ac:dyDescent="0.25">
      <c r="A282" s="2">
        <v>373.10000610351602</v>
      </c>
      <c r="B282" s="2">
        <f t="shared" si="37"/>
        <v>0.29909999999999998</v>
      </c>
      <c r="C282" s="2">
        <v>-0.32875001430511502</v>
      </c>
      <c r="D282" s="2">
        <f t="shared" si="38"/>
        <v>5.8000000000000005E-3</v>
      </c>
      <c r="F282" s="2">
        <v>197.10000610351599</v>
      </c>
      <c r="G282" s="2">
        <f t="shared" si="39"/>
        <v>0.1583</v>
      </c>
      <c r="H282" s="2">
        <v>-0.34832000732421903</v>
      </c>
      <c r="I282" s="2">
        <f t="shared" si="40"/>
        <v>5.8000000000000005E-3</v>
      </c>
      <c r="K282" s="2">
        <v>391.20001220703102</v>
      </c>
      <c r="L282" s="2">
        <f t="shared" si="41"/>
        <v>0.31359999999999999</v>
      </c>
      <c r="M282" s="2">
        <v>-0.21984000504016901</v>
      </c>
      <c r="N282" s="2">
        <f t="shared" si="42"/>
        <v>5.8000000000000005E-3</v>
      </c>
    </row>
    <row r="283" spans="1:24" x14ac:dyDescent="0.25">
      <c r="A283" s="2">
        <v>374.20001220703102</v>
      </c>
      <c r="B283" s="2">
        <f t="shared" si="37"/>
        <v>0.3</v>
      </c>
      <c r="C283" s="2">
        <v>-0.32732000946998602</v>
      </c>
      <c r="D283" s="2">
        <f t="shared" si="38"/>
        <v>5.8000000000000005E-3</v>
      </c>
      <c r="F283" s="2">
        <v>197.10000610351599</v>
      </c>
      <c r="G283" s="2">
        <f t="shared" si="39"/>
        <v>0.1583</v>
      </c>
      <c r="H283" s="2">
        <v>-0.34832000732421903</v>
      </c>
      <c r="I283" s="2">
        <f t="shared" si="40"/>
        <v>5.8000000000000005E-3</v>
      </c>
      <c r="K283" s="2">
        <v>394.20001220703102</v>
      </c>
      <c r="L283" s="2">
        <f t="shared" si="41"/>
        <v>0.316</v>
      </c>
      <c r="M283" s="2">
        <v>-0.216020002961159</v>
      </c>
      <c r="N283" s="2">
        <f t="shared" si="42"/>
        <v>5.8000000000000005E-3</v>
      </c>
    </row>
    <row r="284" spans="1:24" x14ac:dyDescent="0.25">
      <c r="A284" s="2">
        <v>374.29998779296898</v>
      </c>
      <c r="B284" s="2">
        <f t="shared" si="37"/>
        <v>0.30009999999999998</v>
      </c>
      <c r="C284" s="2">
        <v>-0.32730999588966397</v>
      </c>
      <c r="D284" s="2">
        <f t="shared" si="38"/>
        <v>5.8000000000000005E-3</v>
      </c>
      <c r="F284" s="2">
        <v>197.10000610351599</v>
      </c>
      <c r="G284" s="2">
        <f t="shared" si="39"/>
        <v>0.1583</v>
      </c>
      <c r="H284" s="2">
        <v>-0.34832000732421903</v>
      </c>
      <c r="I284" s="2">
        <f t="shared" si="40"/>
        <v>5.8000000000000005E-3</v>
      </c>
      <c r="K284" s="2">
        <v>394.29998779296898</v>
      </c>
      <c r="L284" s="2">
        <f t="shared" si="41"/>
        <v>0.31609999999999999</v>
      </c>
      <c r="M284" s="2">
        <v>-0.21610000729560899</v>
      </c>
      <c r="N284" s="2">
        <f t="shared" si="42"/>
        <v>5.8000000000000005E-3</v>
      </c>
    </row>
    <row r="285" spans="1:24" x14ac:dyDescent="0.25">
      <c r="A285" s="2">
        <v>375.60000610351602</v>
      </c>
      <c r="B285" s="2">
        <f t="shared" si="37"/>
        <v>0.30109999999999998</v>
      </c>
      <c r="C285" s="2">
        <v>-0.32565000653266901</v>
      </c>
      <c r="D285" s="2">
        <f t="shared" si="38"/>
        <v>5.8000000000000005E-3</v>
      </c>
      <c r="F285" s="2">
        <v>197.10000610351599</v>
      </c>
      <c r="G285" s="2">
        <f t="shared" si="39"/>
        <v>0.1583</v>
      </c>
      <c r="H285" s="2">
        <v>-0.34832000732421903</v>
      </c>
      <c r="I285" s="2">
        <f t="shared" si="40"/>
        <v>5.8000000000000005E-3</v>
      </c>
      <c r="K285" s="2">
        <v>394.39999389648398</v>
      </c>
      <c r="L285" s="2">
        <f t="shared" si="41"/>
        <v>0.31609999999999999</v>
      </c>
      <c r="M285" s="2">
        <v>-0.215900003910065</v>
      </c>
      <c r="N285" s="2">
        <f t="shared" si="42"/>
        <v>5.8000000000000005E-3</v>
      </c>
    </row>
    <row r="286" spans="1:24" x14ac:dyDescent="0.25">
      <c r="A286" s="2">
        <v>375.70001220703102</v>
      </c>
      <c r="B286" s="2">
        <f t="shared" si="37"/>
        <v>0.30119999999999997</v>
      </c>
      <c r="C286" s="2">
        <v>-0.32543998956680298</v>
      </c>
      <c r="D286" s="2">
        <f t="shared" si="38"/>
        <v>5.8000000000000005E-3</v>
      </c>
      <c r="F286" s="2">
        <v>197.10000610351599</v>
      </c>
      <c r="G286" s="2">
        <f t="shared" si="39"/>
        <v>0.1583</v>
      </c>
      <c r="H286" s="2">
        <v>-0.34832000732421903</v>
      </c>
      <c r="I286" s="2">
        <f t="shared" si="40"/>
        <v>5.8000000000000005E-3</v>
      </c>
      <c r="K286" s="2">
        <v>395.5</v>
      </c>
      <c r="L286" s="2">
        <f t="shared" si="41"/>
        <v>0.317</v>
      </c>
      <c r="M286" s="2">
        <v>-0.21390999853611001</v>
      </c>
      <c r="N286" s="2">
        <f t="shared" si="42"/>
        <v>5.8000000000000005E-3</v>
      </c>
    </row>
    <row r="287" spans="1:24" x14ac:dyDescent="0.25">
      <c r="A287" s="2">
        <v>375.79998779296898</v>
      </c>
      <c r="B287" s="2">
        <f t="shared" si="37"/>
        <v>0.30130000000000001</v>
      </c>
      <c r="C287" s="2">
        <v>-0.32543000578880299</v>
      </c>
      <c r="D287" s="2">
        <f t="shared" si="38"/>
        <v>5.8000000000000005E-3</v>
      </c>
      <c r="F287" s="2">
        <v>197.19999694824199</v>
      </c>
      <c r="G287" s="2">
        <f t="shared" si="39"/>
        <v>0.15839999999999999</v>
      </c>
      <c r="H287" s="2">
        <v>-0.34832000732421903</v>
      </c>
      <c r="I287" s="2">
        <f t="shared" si="40"/>
        <v>5.8000000000000005E-3</v>
      </c>
      <c r="K287" s="2">
        <v>397.39999389648398</v>
      </c>
      <c r="L287" s="2">
        <f t="shared" si="41"/>
        <v>0.31850000000000001</v>
      </c>
      <c r="M287" s="2">
        <v>-0.21191999316215501</v>
      </c>
      <c r="N287" s="2">
        <f t="shared" si="42"/>
        <v>5.8000000000000005E-3</v>
      </c>
    </row>
    <row r="288" spans="1:24" x14ac:dyDescent="0.25">
      <c r="A288" s="2">
        <v>378.89999389648398</v>
      </c>
      <c r="B288" s="2">
        <f t="shared" si="37"/>
        <v>0.30369999999999997</v>
      </c>
      <c r="C288" s="2">
        <v>-0.32135999202728299</v>
      </c>
      <c r="D288" s="2">
        <f t="shared" si="38"/>
        <v>5.8000000000000005E-3</v>
      </c>
      <c r="F288" s="2">
        <v>197.39999389648401</v>
      </c>
      <c r="G288" s="2">
        <f t="shared" si="39"/>
        <v>0.1585</v>
      </c>
      <c r="H288" s="2">
        <v>-0.34830999374389598</v>
      </c>
      <c r="I288" s="2">
        <f t="shared" si="40"/>
        <v>5.8000000000000005E-3</v>
      </c>
      <c r="K288" s="2">
        <v>399.89999389648398</v>
      </c>
      <c r="L288" s="2">
        <f t="shared" si="41"/>
        <v>0.32050000000000001</v>
      </c>
      <c r="M288" s="2">
        <v>-0.20776000618934601</v>
      </c>
      <c r="N288" s="2">
        <f t="shared" si="42"/>
        <v>5.8000000000000005E-3</v>
      </c>
    </row>
    <row r="289" spans="1:14" x14ac:dyDescent="0.25">
      <c r="A289" s="2">
        <v>379.89999389648398</v>
      </c>
      <c r="B289" s="2">
        <f t="shared" si="37"/>
        <v>0.30449999999999999</v>
      </c>
      <c r="C289" s="2">
        <v>-0.31962001323700001</v>
      </c>
      <c r="D289" s="2">
        <f t="shared" si="38"/>
        <v>5.8000000000000005E-3</v>
      </c>
      <c r="F289" s="2">
        <v>198</v>
      </c>
      <c r="G289" s="2">
        <f t="shared" si="39"/>
        <v>0.159</v>
      </c>
      <c r="H289" s="2">
        <v>-0.34828999638557401</v>
      </c>
      <c r="I289" s="2">
        <f t="shared" si="40"/>
        <v>5.8000000000000005E-3</v>
      </c>
      <c r="K289" s="2">
        <v>401.29998779296898</v>
      </c>
      <c r="L289" s="2">
        <f t="shared" si="41"/>
        <v>0.32169999999999999</v>
      </c>
      <c r="M289" s="2">
        <v>-0.205730006098747</v>
      </c>
      <c r="N289" s="2">
        <f t="shared" si="42"/>
        <v>5.8000000000000005E-3</v>
      </c>
    </row>
    <row r="290" spans="1:14" x14ac:dyDescent="0.25">
      <c r="A290" s="2">
        <v>382.79998779296898</v>
      </c>
      <c r="B290" s="2">
        <f t="shared" si="37"/>
        <v>0.30690000000000001</v>
      </c>
      <c r="C290" s="2">
        <v>-0.3158999979496</v>
      </c>
      <c r="D290" s="2">
        <f t="shared" si="38"/>
        <v>5.8000000000000005E-3</v>
      </c>
      <c r="F290" s="2">
        <v>198.5</v>
      </c>
      <c r="G290" s="2">
        <f t="shared" si="39"/>
        <v>0.15939999999999999</v>
      </c>
      <c r="H290" s="2">
        <v>-0.34826999902725198</v>
      </c>
      <c r="I290" s="2">
        <f t="shared" si="40"/>
        <v>5.8000000000000005E-3</v>
      </c>
      <c r="K290" s="2">
        <v>402.89999389648398</v>
      </c>
      <c r="L290" s="2">
        <f t="shared" si="41"/>
        <v>0.32289999999999996</v>
      </c>
      <c r="M290" s="2">
        <v>-0.20351999998092701</v>
      </c>
      <c r="N290" s="2">
        <f t="shared" si="42"/>
        <v>5.8000000000000005E-3</v>
      </c>
    </row>
    <row r="291" spans="1:14" x14ac:dyDescent="0.25">
      <c r="A291" s="2">
        <v>385.39999389648398</v>
      </c>
      <c r="B291" s="2">
        <f t="shared" ref="B291:B354" si="47">ROUNDUP((0.08%*A291+0.001/(SQRT(3))),4)</f>
        <v>0.30890000000000001</v>
      </c>
      <c r="C291" s="2">
        <v>-0.31205001473426802</v>
      </c>
      <c r="D291" s="2">
        <f t="shared" ref="D291:D354" si="48">ROUNDUP((0.015%*C291+0.01/(SQRT(3))),4)</f>
        <v>5.8000000000000005E-3</v>
      </c>
      <c r="F291" s="2">
        <v>198.89999389648401</v>
      </c>
      <c r="G291" s="2">
        <f t="shared" ref="G291:G354" si="49">ROUNDUP((0.08%*F291+0.001/(SQRT(3))),4)</f>
        <v>0.15969999999999998</v>
      </c>
      <c r="H291" s="2">
        <v>-0.34823998808860801</v>
      </c>
      <c r="I291" s="2">
        <f t="shared" ref="I291:I354" si="50">ROUNDUP((0.015%*H291+0.01/(SQRT(3))),4)</f>
        <v>5.8000000000000005E-3</v>
      </c>
      <c r="K291" s="2">
        <v>402.60000610351602</v>
      </c>
      <c r="L291" s="2">
        <f t="shared" ref="L291:L354" si="51">ROUNDUP((0.08%*K291+0.001/(SQRT(3))),4)</f>
        <v>0.32269999999999999</v>
      </c>
      <c r="M291" s="2">
        <v>-0.203480005264282</v>
      </c>
      <c r="N291" s="2">
        <f t="shared" ref="N291:N354" si="52">ROUNDUP((0.015%*M291+0.01/(SQRT(3))),4)</f>
        <v>5.8000000000000005E-3</v>
      </c>
    </row>
    <row r="292" spans="1:14" x14ac:dyDescent="0.25">
      <c r="A292" s="2">
        <v>387</v>
      </c>
      <c r="B292" s="2">
        <f t="shared" si="47"/>
        <v>0.31019999999999998</v>
      </c>
      <c r="C292" s="2">
        <v>-0.30994999408721902</v>
      </c>
      <c r="D292" s="2">
        <f t="shared" si="48"/>
        <v>5.8000000000000005E-3</v>
      </c>
      <c r="F292" s="2">
        <v>199</v>
      </c>
      <c r="G292" s="2">
        <f t="shared" si="49"/>
        <v>0.1598</v>
      </c>
      <c r="H292" s="2">
        <v>-0.34821999073028598</v>
      </c>
      <c r="I292" s="2">
        <f t="shared" si="50"/>
        <v>5.8000000000000005E-3</v>
      </c>
      <c r="K292" s="2">
        <v>402.79998779296898</v>
      </c>
      <c r="L292" s="2">
        <f t="shared" si="51"/>
        <v>0.32289999999999996</v>
      </c>
      <c r="M292" s="2">
        <v>-0.20347000658512099</v>
      </c>
      <c r="N292" s="2">
        <f t="shared" si="52"/>
        <v>5.8000000000000005E-3</v>
      </c>
    </row>
    <row r="293" spans="1:14" x14ac:dyDescent="0.25">
      <c r="A293" s="2">
        <v>392.20001220703102</v>
      </c>
      <c r="B293" s="2">
        <f t="shared" si="47"/>
        <v>0.31440000000000001</v>
      </c>
      <c r="C293" s="2">
        <v>-0.29969999194145203</v>
      </c>
      <c r="D293" s="2">
        <f t="shared" si="48"/>
        <v>5.8000000000000005E-3</v>
      </c>
      <c r="F293" s="2">
        <v>200.69999694824199</v>
      </c>
      <c r="G293" s="2">
        <f t="shared" si="49"/>
        <v>0.16119999999999998</v>
      </c>
      <c r="H293" s="2">
        <v>-0.34817001223564098</v>
      </c>
      <c r="I293" s="2">
        <f t="shared" si="50"/>
        <v>5.8000000000000005E-3</v>
      </c>
      <c r="K293" s="2">
        <v>404.39999389648398</v>
      </c>
      <c r="L293" s="2">
        <f t="shared" si="51"/>
        <v>0.3241</v>
      </c>
      <c r="M293" s="2">
        <v>-0.20119999349117301</v>
      </c>
      <c r="N293" s="2">
        <f t="shared" si="52"/>
        <v>5.8000000000000005E-3</v>
      </c>
    </row>
    <row r="294" spans="1:14" x14ac:dyDescent="0.25">
      <c r="A294" s="2">
        <v>396.89999389648398</v>
      </c>
      <c r="B294" s="2">
        <f t="shared" si="47"/>
        <v>0.31809999999999999</v>
      </c>
      <c r="C294" s="2">
        <v>-0.29475998878478998</v>
      </c>
      <c r="D294" s="2">
        <f t="shared" si="48"/>
        <v>5.8000000000000005E-3</v>
      </c>
      <c r="F294" s="2">
        <v>200.69999694824199</v>
      </c>
      <c r="G294" s="2">
        <f t="shared" si="49"/>
        <v>0.16119999999999998</v>
      </c>
      <c r="H294" s="2">
        <v>-0.34812998771667503</v>
      </c>
      <c r="I294" s="2">
        <f t="shared" si="50"/>
        <v>5.8000000000000005E-3</v>
      </c>
      <c r="K294" s="2">
        <v>411.20001220703102</v>
      </c>
      <c r="L294" s="2">
        <f t="shared" si="51"/>
        <v>0.3296</v>
      </c>
      <c r="M294" s="2">
        <v>-0.189940005540848</v>
      </c>
      <c r="N294" s="2">
        <f t="shared" si="52"/>
        <v>5.8000000000000005E-3</v>
      </c>
    </row>
    <row r="295" spans="1:14" x14ac:dyDescent="0.25">
      <c r="A295" s="2">
        <v>397.29998779296898</v>
      </c>
      <c r="B295" s="2">
        <f t="shared" si="47"/>
        <v>0.31850000000000001</v>
      </c>
      <c r="C295" s="2">
        <v>-0.294120013713837</v>
      </c>
      <c r="D295" s="2">
        <f t="shared" si="48"/>
        <v>5.8000000000000005E-3</v>
      </c>
      <c r="F295" s="2">
        <v>200.39999389648401</v>
      </c>
      <c r="G295" s="2">
        <f t="shared" si="49"/>
        <v>0.16089999999999999</v>
      </c>
      <c r="H295" s="2">
        <v>-0.34808999300003102</v>
      </c>
      <c r="I295" s="2">
        <f t="shared" si="50"/>
        <v>5.8000000000000005E-3</v>
      </c>
      <c r="K295" s="2">
        <v>411.79998779296898</v>
      </c>
      <c r="L295" s="2">
        <f t="shared" si="51"/>
        <v>0.3301</v>
      </c>
      <c r="M295" s="2">
        <v>-0.188979998230934</v>
      </c>
      <c r="N295" s="2">
        <f t="shared" si="52"/>
        <v>5.8000000000000005E-3</v>
      </c>
    </row>
    <row r="296" spans="1:14" x14ac:dyDescent="0.25">
      <c r="A296" s="2">
        <v>399.39999389648398</v>
      </c>
      <c r="B296" s="2">
        <f t="shared" si="47"/>
        <v>0.3201</v>
      </c>
      <c r="C296" s="2">
        <v>-0.29078999161720298</v>
      </c>
      <c r="D296" s="2">
        <f t="shared" si="48"/>
        <v>5.8000000000000005E-3</v>
      </c>
      <c r="F296" s="2">
        <v>200.60000610351599</v>
      </c>
      <c r="G296" s="2">
        <f t="shared" si="49"/>
        <v>0.16109999999999999</v>
      </c>
      <c r="H296" s="2">
        <v>-0.34808000922203097</v>
      </c>
      <c r="I296" s="2">
        <f t="shared" si="50"/>
        <v>5.8000000000000005E-3</v>
      </c>
      <c r="K296" s="2">
        <v>412.79998779296898</v>
      </c>
      <c r="L296" s="2">
        <f t="shared" si="51"/>
        <v>0.33089999999999997</v>
      </c>
      <c r="M296" s="2">
        <v>-0.187570005655289</v>
      </c>
      <c r="N296" s="2">
        <f t="shared" si="52"/>
        <v>5.8000000000000005E-3</v>
      </c>
    </row>
    <row r="297" spans="1:14" x14ac:dyDescent="0.25">
      <c r="A297" s="2">
        <v>401.10000610351602</v>
      </c>
      <c r="B297" s="2">
        <f t="shared" si="47"/>
        <v>0.32150000000000001</v>
      </c>
      <c r="C297" s="2">
        <v>-0.28775000572204601</v>
      </c>
      <c r="D297" s="2">
        <f t="shared" si="48"/>
        <v>5.8000000000000005E-3</v>
      </c>
      <c r="F297" s="2">
        <v>200</v>
      </c>
      <c r="G297" s="2">
        <f t="shared" si="49"/>
        <v>0.16059999999999999</v>
      </c>
      <c r="H297" s="2">
        <v>-0.34808999300003102</v>
      </c>
      <c r="I297" s="2">
        <f t="shared" si="50"/>
        <v>5.8000000000000005E-3</v>
      </c>
      <c r="K297" s="2">
        <v>412.89999389648398</v>
      </c>
      <c r="L297" s="2">
        <f t="shared" si="51"/>
        <v>0.33089999999999997</v>
      </c>
      <c r="M297" s="2">
        <v>-0.18737000226974501</v>
      </c>
      <c r="N297" s="2">
        <f t="shared" si="52"/>
        <v>5.8000000000000005E-3</v>
      </c>
    </row>
    <row r="298" spans="1:14" x14ac:dyDescent="0.25">
      <c r="A298" s="2">
        <v>402.79998779296898</v>
      </c>
      <c r="B298" s="2">
        <f t="shared" si="47"/>
        <v>0.32289999999999996</v>
      </c>
      <c r="C298" s="2">
        <v>-0.28453001379966703</v>
      </c>
      <c r="D298" s="2">
        <f t="shared" si="48"/>
        <v>5.8000000000000005E-3</v>
      </c>
      <c r="F298" s="2">
        <v>200.60000610351599</v>
      </c>
      <c r="G298" s="2">
        <f t="shared" si="49"/>
        <v>0.16109999999999999</v>
      </c>
      <c r="H298" s="2">
        <v>-0.34808999300003102</v>
      </c>
      <c r="I298" s="2">
        <f t="shared" si="50"/>
        <v>5.8000000000000005E-3</v>
      </c>
      <c r="K298" s="2">
        <v>416.70001220703102</v>
      </c>
      <c r="L298" s="2">
        <f t="shared" si="51"/>
        <v>0.33399999999999996</v>
      </c>
      <c r="M298" s="2">
        <v>-0.18028999865055101</v>
      </c>
      <c r="N298" s="2">
        <f t="shared" si="52"/>
        <v>5.8000000000000005E-3</v>
      </c>
    </row>
    <row r="299" spans="1:14" x14ac:dyDescent="0.25">
      <c r="A299" s="2">
        <v>402.89999389648398</v>
      </c>
      <c r="B299" s="2">
        <f t="shared" si="47"/>
        <v>0.32289999999999996</v>
      </c>
      <c r="C299" s="2">
        <v>-0.28409999608993503</v>
      </c>
      <c r="D299" s="2">
        <f t="shared" si="48"/>
        <v>5.8000000000000005E-3</v>
      </c>
      <c r="F299" s="2">
        <v>201.69999694824199</v>
      </c>
      <c r="G299" s="2">
        <f t="shared" si="49"/>
        <v>0.16199999999999998</v>
      </c>
      <c r="H299" s="2">
        <v>-0.34808999300003102</v>
      </c>
      <c r="I299" s="2">
        <f t="shared" si="50"/>
        <v>5.8000000000000005E-3</v>
      </c>
      <c r="K299" s="2">
        <v>418.10000610351602</v>
      </c>
      <c r="L299" s="2">
        <f t="shared" si="51"/>
        <v>0.33510000000000001</v>
      </c>
      <c r="M299" s="2">
        <v>-0.17763000726699801</v>
      </c>
      <c r="N299" s="2">
        <f t="shared" si="52"/>
        <v>5.8000000000000005E-3</v>
      </c>
    </row>
    <row r="300" spans="1:14" x14ac:dyDescent="0.25">
      <c r="A300" s="2">
        <v>404.29998779296898</v>
      </c>
      <c r="B300" s="2">
        <f t="shared" si="47"/>
        <v>0.3241</v>
      </c>
      <c r="C300" s="2">
        <v>-0.28213998675346402</v>
      </c>
      <c r="D300" s="2">
        <f t="shared" si="48"/>
        <v>5.8000000000000005E-3</v>
      </c>
      <c r="F300" s="2">
        <v>202.39999389648401</v>
      </c>
      <c r="G300" s="2">
        <f t="shared" si="49"/>
        <v>0.16249999999999998</v>
      </c>
      <c r="H300" s="2">
        <v>-0.34804001450538602</v>
      </c>
      <c r="I300" s="2">
        <f t="shared" si="50"/>
        <v>5.8000000000000005E-3</v>
      </c>
      <c r="K300" s="2">
        <v>418.20001220703102</v>
      </c>
      <c r="L300" s="2">
        <f t="shared" si="51"/>
        <v>0.3352</v>
      </c>
      <c r="M300" s="2">
        <v>-0.17759999632835399</v>
      </c>
      <c r="N300" s="2">
        <f t="shared" si="52"/>
        <v>5.8000000000000005E-3</v>
      </c>
    </row>
    <row r="301" spans="1:14" x14ac:dyDescent="0.25">
      <c r="A301" s="2">
        <v>408.29998779296898</v>
      </c>
      <c r="B301" s="2">
        <f t="shared" si="47"/>
        <v>0.32729999999999998</v>
      </c>
      <c r="C301" s="2">
        <v>-0.27465999126434298</v>
      </c>
      <c r="D301" s="2">
        <f t="shared" si="48"/>
        <v>5.8000000000000005E-3</v>
      </c>
      <c r="F301" s="2">
        <v>209.19999694824199</v>
      </c>
      <c r="G301" s="2">
        <f t="shared" si="49"/>
        <v>0.16799999999999998</v>
      </c>
      <c r="H301" s="2">
        <v>-0.34760999679565402</v>
      </c>
      <c r="I301" s="2">
        <f t="shared" si="50"/>
        <v>5.8000000000000005E-3</v>
      </c>
      <c r="K301" s="2">
        <v>418.20001220703102</v>
      </c>
      <c r="L301" s="2">
        <f t="shared" si="51"/>
        <v>0.3352</v>
      </c>
      <c r="M301" s="2">
        <v>-0.17759999632835399</v>
      </c>
      <c r="N301" s="2">
        <f t="shared" si="52"/>
        <v>5.8000000000000005E-3</v>
      </c>
    </row>
    <row r="302" spans="1:14" x14ac:dyDescent="0.25">
      <c r="A302" s="2">
        <v>408.39999389648398</v>
      </c>
      <c r="B302" s="2">
        <f t="shared" si="47"/>
        <v>0.32729999999999998</v>
      </c>
      <c r="C302" s="2">
        <v>-0.2744500041008</v>
      </c>
      <c r="D302" s="2">
        <f t="shared" si="48"/>
        <v>5.8000000000000005E-3</v>
      </c>
      <c r="F302" s="2">
        <v>209.30000305175801</v>
      </c>
      <c r="G302" s="2">
        <f t="shared" si="49"/>
        <v>0.1681</v>
      </c>
      <c r="H302" s="2">
        <v>-0.34753999114036599</v>
      </c>
      <c r="I302" s="2">
        <f t="shared" si="50"/>
        <v>5.8000000000000005E-3</v>
      </c>
      <c r="K302" s="2">
        <v>418.89999389648398</v>
      </c>
      <c r="L302" s="2">
        <f t="shared" si="51"/>
        <v>0.3357</v>
      </c>
      <c r="M302" s="2">
        <v>-0.176369994878769</v>
      </c>
      <c r="N302" s="2">
        <f t="shared" si="52"/>
        <v>5.8000000000000005E-3</v>
      </c>
    </row>
    <row r="303" spans="1:14" x14ac:dyDescent="0.25">
      <c r="A303" s="2">
        <v>409.70001220703102</v>
      </c>
      <c r="B303" s="2">
        <f t="shared" si="47"/>
        <v>0.32839999999999997</v>
      </c>
      <c r="C303" s="2">
        <v>-0.27199000120163003</v>
      </c>
      <c r="D303" s="2">
        <f t="shared" si="48"/>
        <v>5.8000000000000005E-3</v>
      </c>
      <c r="F303" s="2">
        <v>211</v>
      </c>
      <c r="G303" s="2">
        <f t="shared" si="49"/>
        <v>0.1694</v>
      </c>
      <c r="H303" s="2">
        <v>-0.34731999039650002</v>
      </c>
      <c r="I303" s="2">
        <f t="shared" si="50"/>
        <v>5.8000000000000005E-3</v>
      </c>
      <c r="K303" s="2">
        <v>421.70001220703102</v>
      </c>
      <c r="L303" s="2">
        <f t="shared" si="51"/>
        <v>0.33799999999999997</v>
      </c>
      <c r="M303" s="2">
        <v>-0.169960007071495</v>
      </c>
      <c r="N303" s="2">
        <f t="shared" si="52"/>
        <v>5.8000000000000005E-3</v>
      </c>
    </row>
    <row r="304" spans="1:14" x14ac:dyDescent="0.25">
      <c r="A304" s="2">
        <v>409.79998779296898</v>
      </c>
      <c r="B304" s="2">
        <f t="shared" si="47"/>
        <v>0.32850000000000001</v>
      </c>
      <c r="C304" s="2">
        <v>-0.27193999290466297</v>
      </c>
      <c r="D304" s="2">
        <f t="shared" si="48"/>
        <v>5.8000000000000005E-3</v>
      </c>
      <c r="F304" s="2">
        <v>212.80000305175801</v>
      </c>
      <c r="G304" s="2">
        <f t="shared" si="49"/>
        <v>0.1709</v>
      </c>
      <c r="H304" s="2">
        <v>-0.347290009260178</v>
      </c>
      <c r="I304" s="2">
        <f t="shared" si="50"/>
        <v>5.8000000000000005E-3</v>
      </c>
      <c r="K304" s="2">
        <v>424.89999389648398</v>
      </c>
      <c r="L304" s="2">
        <f t="shared" si="51"/>
        <v>0.34049999999999997</v>
      </c>
      <c r="M304" s="2">
        <v>-0.16457000374794001</v>
      </c>
      <c r="N304" s="2">
        <f t="shared" si="52"/>
        <v>5.8000000000000005E-3</v>
      </c>
    </row>
    <row r="305" spans="1:14" x14ac:dyDescent="0.25">
      <c r="A305" s="2">
        <v>410.70001220703102</v>
      </c>
      <c r="B305" s="2">
        <f t="shared" si="47"/>
        <v>0.32919999999999999</v>
      </c>
      <c r="C305" s="2">
        <v>-0.269190013408661</v>
      </c>
      <c r="D305" s="2">
        <f t="shared" si="48"/>
        <v>5.8000000000000005E-3</v>
      </c>
      <c r="F305" s="2">
        <v>214.60000610351599</v>
      </c>
      <c r="G305" s="2">
        <f t="shared" si="49"/>
        <v>0.17229999999999998</v>
      </c>
      <c r="H305" s="2">
        <v>-0.34702000021934498</v>
      </c>
      <c r="I305" s="2">
        <f t="shared" si="50"/>
        <v>5.8000000000000005E-3</v>
      </c>
      <c r="K305" s="2">
        <v>426.29998779296898</v>
      </c>
      <c r="L305" s="2">
        <f t="shared" si="51"/>
        <v>0.3417</v>
      </c>
      <c r="M305" s="2">
        <v>-0.16176000237464899</v>
      </c>
      <c r="N305" s="2">
        <f t="shared" si="52"/>
        <v>5.8000000000000005E-3</v>
      </c>
    </row>
    <row r="306" spans="1:14" x14ac:dyDescent="0.25">
      <c r="A306" s="2">
        <v>411.10000610351602</v>
      </c>
      <c r="B306" s="2">
        <f t="shared" si="47"/>
        <v>0.32950000000000002</v>
      </c>
      <c r="C306" s="2">
        <v>-0.26917999982833901</v>
      </c>
      <c r="D306" s="2">
        <f t="shared" si="48"/>
        <v>5.8000000000000005E-3</v>
      </c>
      <c r="F306" s="2">
        <v>216.30000305175801</v>
      </c>
      <c r="G306" s="2">
        <f t="shared" si="49"/>
        <v>0.17369999999999999</v>
      </c>
      <c r="H306" s="2">
        <v>-0.346960008144379</v>
      </c>
      <c r="I306" s="2">
        <f t="shared" si="50"/>
        <v>5.8000000000000005E-3</v>
      </c>
      <c r="K306" s="2">
        <v>428.20001220703102</v>
      </c>
      <c r="L306" s="2">
        <f t="shared" si="51"/>
        <v>0.34320000000000001</v>
      </c>
      <c r="M306" s="2">
        <v>-0.157659992575645</v>
      </c>
      <c r="N306" s="2">
        <f t="shared" si="52"/>
        <v>5.8000000000000005E-3</v>
      </c>
    </row>
    <row r="307" spans="1:14" x14ac:dyDescent="0.25">
      <c r="A307" s="2">
        <v>411.10000610351602</v>
      </c>
      <c r="B307" s="2">
        <f t="shared" si="47"/>
        <v>0.32950000000000002</v>
      </c>
      <c r="C307" s="2">
        <v>-0.26917999982833901</v>
      </c>
      <c r="D307" s="2">
        <f t="shared" si="48"/>
        <v>5.8000000000000005E-3</v>
      </c>
      <c r="F307" s="2">
        <v>220.19999694824199</v>
      </c>
      <c r="G307" s="2">
        <f t="shared" si="49"/>
        <v>0.17679999999999998</v>
      </c>
      <c r="H307" s="2">
        <v>-0.34663000702857999</v>
      </c>
      <c r="I307" s="2">
        <f t="shared" si="50"/>
        <v>5.8000000000000005E-3</v>
      </c>
      <c r="K307" s="2">
        <v>429.79998779296898</v>
      </c>
      <c r="L307" s="2">
        <f t="shared" si="51"/>
        <v>0.34449999999999997</v>
      </c>
      <c r="M307" s="2">
        <v>-0.15454000234603901</v>
      </c>
      <c r="N307" s="2">
        <f t="shared" si="52"/>
        <v>5.8000000000000005E-3</v>
      </c>
    </row>
    <row r="308" spans="1:14" x14ac:dyDescent="0.25">
      <c r="A308" s="2">
        <v>411.10000610351602</v>
      </c>
      <c r="B308" s="2">
        <f t="shared" si="47"/>
        <v>0.32950000000000002</v>
      </c>
      <c r="C308" s="2">
        <v>-0.26917999982833901</v>
      </c>
      <c r="D308" s="2">
        <f t="shared" si="48"/>
        <v>5.8000000000000005E-3</v>
      </c>
      <c r="F308" s="2">
        <v>223.10000610351599</v>
      </c>
      <c r="G308" s="2">
        <f t="shared" si="49"/>
        <v>0.17909999999999998</v>
      </c>
      <c r="H308" s="2">
        <v>-0.34621998667717002</v>
      </c>
      <c r="I308" s="2">
        <f t="shared" si="50"/>
        <v>5.8000000000000005E-3</v>
      </c>
      <c r="K308" s="2">
        <v>430.39999389648398</v>
      </c>
      <c r="L308" s="2">
        <f t="shared" si="51"/>
        <v>0.34489999999999998</v>
      </c>
      <c r="M308" s="2">
        <v>-0.15288999676704401</v>
      </c>
      <c r="N308" s="2">
        <f t="shared" si="52"/>
        <v>5.8000000000000005E-3</v>
      </c>
    </row>
    <row r="309" spans="1:14" x14ac:dyDescent="0.25">
      <c r="A309" s="2">
        <v>411.70001220703102</v>
      </c>
      <c r="B309" s="2">
        <f t="shared" si="47"/>
        <v>0.33</v>
      </c>
      <c r="C309" s="2">
        <v>-0.26796999573707603</v>
      </c>
      <c r="D309" s="2">
        <f t="shared" si="48"/>
        <v>5.8000000000000005E-3</v>
      </c>
      <c r="F309" s="2">
        <v>225.10000610351599</v>
      </c>
      <c r="G309" s="2">
        <f t="shared" si="49"/>
        <v>0.1807</v>
      </c>
      <c r="H309" s="2">
        <v>-0.34593001008033802</v>
      </c>
      <c r="I309" s="2">
        <f t="shared" si="50"/>
        <v>5.8000000000000005E-3</v>
      </c>
      <c r="K309" s="2">
        <v>432.60000610351602</v>
      </c>
      <c r="L309" s="2">
        <f t="shared" si="51"/>
        <v>0.34670000000000001</v>
      </c>
      <c r="M309" s="2">
        <v>-0.14745000004768399</v>
      </c>
      <c r="N309" s="2">
        <f t="shared" si="52"/>
        <v>5.8000000000000005E-3</v>
      </c>
    </row>
    <row r="310" spans="1:14" x14ac:dyDescent="0.25">
      <c r="A310" s="2">
        <v>413.70001220703102</v>
      </c>
      <c r="B310" s="2">
        <f t="shared" si="47"/>
        <v>0.33160000000000001</v>
      </c>
      <c r="C310" s="2">
        <v>-0.26387000083923301</v>
      </c>
      <c r="D310" s="2">
        <f t="shared" si="48"/>
        <v>5.8000000000000005E-3</v>
      </c>
      <c r="F310" s="2">
        <v>225.80000305175801</v>
      </c>
      <c r="G310" s="2">
        <f t="shared" si="49"/>
        <v>0.18129999999999999</v>
      </c>
      <c r="H310" s="2">
        <v>-0.34595000743866</v>
      </c>
      <c r="I310" s="2">
        <f t="shared" si="50"/>
        <v>5.8000000000000005E-3</v>
      </c>
      <c r="K310" s="2">
        <v>433.70001220703102</v>
      </c>
      <c r="L310" s="2">
        <f t="shared" si="51"/>
        <v>0.34759999999999996</v>
      </c>
      <c r="M310" s="2">
        <v>-0.14559000730514501</v>
      </c>
      <c r="N310" s="2">
        <f t="shared" si="52"/>
        <v>5.8000000000000005E-3</v>
      </c>
    </row>
    <row r="311" spans="1:14" x14ac:dyDescent="0.25">
      <c r="A311" s="2">
        <v>427.89999389648398</v>
      </c>
      <c r="B311" s="2">
        <f t="shared" si="47"/>
        <v>0.34289999999999998</v>
      </c>
      <c r="C311" s="2">
        <v>-0.23253999650478399</v>
      </c>
      <c r="D311" s="2">
        <f t="shared" si="48"/>
        <v>5.8000000000000005E-3</v>
      </c>
      <c r="F311" s="2">
        <v>225.5</v>
      </c>
      <c r="G311" s="2">
        <f t="shared" si="49"/>
        <v>0.18099999999999999</v>
      </c>
      <c r="H311" s="2">
        <v>-0.34597998857498202</v>
      </c>
      <c r="I311" s="2">
        <f t="shared" si="50"/>
        <v>5.8000000000000005E-3</v>
      </c>
      <c r="K311" s="2">
        <v>433.20001220703102</v>
      </c>
      <c r="L311" s="2">
        <f t="shared" si="51"/>
        <v>0.34720000000000001</v>
      </c>
      <c r="M311" s="2">
        <v>-0.146320000290871</v>
      </c>
      <c r="N311" s="2">
        <f t="shared" si="52"/>
        <v>5.8000000000000005E-3</v>
      </c>
    </row>
    <row r="312" spans="1:14" x14ac:dyDescent="0.25">
      <c r="A312" s="2">
        <v>429.39999389648398</v>
      </c>
      <c r="B312" s="2">
        <f t="shared" si="47"/>
        <v>0.34409999999999996</v>
      </c>
      <c r="C312" s="2">
        <v>-0.22893999516964</v>
      </c>
      <c r="D312" s="2">
        <f t="shared" si="48"/>
        <v>5.8000000000000005E-3</v>
      </c>
      <c r="F312" s="2">
        <v>225.80000305175801</v>
      </c>
      <c r="G312" s="2">
        <f t="shared" si="49"/>
        <v>0.18129999999999999</v>
      </c>
      <c r="H312" s="2">
        <v>-0.34597998857498202</v>
      </c>
      <c r="I312" s="2">
        <f t="shared" si="50"/>
        <v>5.8000000000000005E-3</v>
      </c>
      <c r="K312" s="2">
        <v>434.5</v>
      </c>
      <c r="L312" s="2">
        <f t="shared" si="51"/>
        <v>0.34820000000000001</v>
      </c>
      <c r="M312" s="2">
        <v>-0.14326000213623</v>
      </c>
      <c r="N312" s="2">
        <f t="shared" si="52"/>
        <v>5.8000000000000005E-3</v>
      </c>
    </row>
    <row r="313" spans="1:14" x14ac:dyDescent="0.25">
      <c r="A313" s="2">
        <v>429.39999389648398</v>
      </c>
      <c r="B313" s="2">
        <f t="shared" si="47"/>
        <v>0.34409999999999996</v>
      </c>
      <c r="C313" s="2">
        <v>-0.22893999516964</v>
      </c>
      <c r="D313" s="2">
        <f t="shared" si="48"/>
        <v>5.8000000000000005E-3</v>
      </c>
      <c r="F313" s="2">
        <v>225.19999694824199</v>
      </c>
      <c r="G313" s="2">
        <f t="shared" si="49"/>
        <v>0.18079999999999999</v>
      </c>
      <c r="H313" s="2">
        <v>-0.34597000479698198</v>
      </c>
      <c r="I313" s="2">
        <f t="shared" si="50"/>
        <v>5.8000000000000005E-3</v>
      </c>
      <c r="K313" s="2">
        <v>435.39999389648398</v>
      </c>
      <c r="L313" s="2">
        <f t="shared" si="51"/>
        <v>0.34889999999999999</v>
      </c>
      <c r="M313" s="2">
        <v>-0.14063000679016099</v>
      </c>
      <c r="N313" s="2">
        <f t="shared" si="52"/>
        <v>5.8000000000000005E-3</v>
      </c>
    </row>
    <row r="314" spans="1:14" x14ac:dyDescent="0.25">
      <c r="A314" s="2">
        <v>430.70001220703102</v>
      </c>
      <c r="B314" s="2">
        <f t="shared" si="47"/>
        <v>0.34520000000000001</v>
      </c>
      <c r="C314" s="2">
        <v>-0.225859999656677</v>
      </c>
      <c r="D314" s="2">
        <f t="shared" si="48"/>
        <v>5.8000000000000005E-3</v>
      </c>
      <c r="F314" s="2">
        <v>225.60000610351599</v>
      </c>
      <c r="G314" s="2">
        <f t="shared" si="49"/>
        <v>0.18109999999999998</v>
      </c>
      <c r="H314" s="2">
        <v>-0.34597998857498202</v>
      </c>
      <c r="I314" s="2">
        <f t="shared" si="50"/>
        <v>5.8000000000000005E-3</v>
      </c>
      <c r="K314" s="2">
        <v>436.29998779296898</v>
      </c>
      <c r="L314" s="2">
        <f t="shared" si="51"/>
        <v>0.34970000000000001</v>
      </c>
      <c r="M314" s="2">
        <v>-0.13890999555587799</v>
      </c>
      <c r="N314" s="2">
        <f t="shared" si="52"/>
        <v>5.8000000000000005E-3</v>
      </c>
    </row>
    <row r="315" spans="1:14" x14ac:dyDescent="0.25">
      <c r="A315" s="2">
        <v>430.60000610351602</v>
      </c>
      <c r="B315" s="2">
        <f t="shared" si="47"/>
        <v>0.34509999999999996</v>
      </c>
      <c r="C315" s="2">
        <v>-0.22584000229835499</v>
      </c>
      <c r="D315" s="2">
        <f t="shared" si="48"/>
        <v>5.8000000000000005E-3</v>
      </c>
      <c r="F315" s="2">
        <v>226.39999389648401</v>
      </c>
      <c r="G315" s="2">
        <f t="shared" si="49"/>
        <v>0.1817</v>
      </c>
      <c r="H315" s="2">
        <v>-0.34597000479698198</v>
      </c>
      <c r="I315" s="2">
        <f t="shared" si="50"/>
        <v>5.8000000000000005E-3</v>
      </c>
      <c r="K315" s="2">
        <v>437.60000610351602</v>
      </c>
      <c r="L315" s="2">
        <f t="shared" si="51"/>
        <v>0.35070000000000001</v>
      </c>
      <c r="M315" s="2">
        <v>-0.13594000041484799</v>
      </c>
      <c r="N315" s="2">
        <f t="shared" si="52"/>
        <v>5.8000000000000005E-3</v>
      </c>
    </row>
    <row r="316" spans="1:14" x14ac:dyDescent="0.25">
      <c r="A316" s="2">
        <v>430.79998779296898</v>
      </c>
      <c r="B316" s="2">
        <f t="shared" si="47"/>
        <v>0.3453</v>
      </c>
      <c r="C316" s="2">
        <v>-0.224089995026588</v>
      </c>
      <c r="D316" s="2">
        <f t="shared" si="48"/>
        <v>5.8000000000000005E-3</v>
      </c>
      <c r="F316" s="2">
        <v>227</v>
      </c>
      <c r="G316" s="2">
        <f t="shared" si="49"/>
        <v>0.1822</v>
      </c>
      <c r="H316" s="2">
        <v>-0.34593999385833701</v>
      </c>
      <c r="I316" s="2">
        <f t="shared" si="50"/>
        <v>5.8000000000000005E-3</v>
      </c>
      <c r="K316" s="2">
        <v>437.60000610351602</v>
      </c>
      <c r="L316" s="2">
        <f t="shared" si="51"/>
        <v>0.35070000000000001</v>
      </c>
      <c r="M316" s="2">
        <v>-0.13592000305652599</v>
      </c>
      <c r="N316" s="2">
        <f t="shared" si="52"/>
        <v>5.8000000000000005E-3</v>
      </c>
    </row>
    <row r="317" spans="1:14" x14ac:dyDescent="0.25">
      <c r="A317" s="2">
        <v>433.10000610351602</v>
      </c>
      <c r="B317" s="2">
        <f t="shared" si="47"/>
        <v>0.34709999999999996</v>
      </c>
      <c r="C317" s="2">
        <v>-0.219539999961853</v>
      </c>
      <c r="D317" s="2">
        <f t="shared" si="48"/>
        <v>5.8000000000000005E-3</v>
      </c>
      <c r="F317" s="2">
        <v>228.5</v>
      </c>
      <c r="G317" s="2">
        <f t="shared" si="49"/>
        <v>0.18339999999999998</v>
      </c>
      <c r="H317" s="2">
        <v>-0.34569001197814903</v>
      </c>
      <c r="I317" s="2">
        <f t="shared" si="50"/>
        <v>5.8000000000000005E-3</v>
      </c>
      <c r="K317" s="2">
        <v>438.79998779296898</v>
      </c>
      <c r="L317" s="2">
        <f t="shared" si="51"/>
        <v>0.35170000000000001</v>
      </c>
      <c r="M317" s="2">
        <v>-0.13290999829769101</v>
      </c>
      <c r="N317" s="2">
        <f t="shared" si="52"/>
        <v>5.8000000000000005E-3</v>
      </c>
    </row>
    <row r="318" spans="1:14" x14ac:dyDescent="0.25">
      <c r="A318" s="2">
        <v>433.10000610351602</v>
      </c>
      <c r="B318" s="2">
        <f t="shared" si="47"/>
        <v>0.34709999999999996</v>
      </c>
      <c r="C318" s="2">
        <v>-0.219539999961853</v>
      </c>
      <c r="D318" s="2">
        <f t="shared" si="48"/>
        <v>5.8000000000000005E-3</v>
      </c>
      <c r="F318" s="2">
        <v>228.5</v>
      </c>
      <c r="G318" s="2">
        <f t="shared" si="49"/>
        <v>0.18339999999999998</v>
      </c>
      <c r="H318" s="2">
        <v>-0.34569001197814903</v>
      </c>
      <c r="I318" s="2">
        <f t="shared" si="50"/>
        <v>5.8000000000000005E-3</v>
      </c>
      <c r="K318" s="2">
        <v>441.79998779296898</v>
      </c>
      <c r="L318" s="2">
        <f t="shared" si="51"/>
        <v>0.35409999999999997</v>
      </c>
      <c r="M318" s="2">
        <v>-0.12559999525547</v>
      </c>
      <c r="N318" s="2">
        <f t="shared" si="52"/>
        <v>5.8000000000000005E-3</v>
      </c>
    </row>
    <row r="319" spans="1:14" x14ac:dyDescent="0.25">
      <c r="A319" s="2">
        <v>434.39999389648398</v>
      </c>
      <c r="B319" s="2">
        <f t="shared" si="47"/>
        <v>0.34809999999999997</v>
      </c>
      <c r="C319" s="2">
        <v>-0.216360002756119</v>
      </c>
      <c r="D319" s="2">
        <f t="shared" si="48"/>
        <v>5.8000000000000005E-3</v>
      </c>
      <c r="F319" s="2">
        <v>230.19999694824199</v>
      </c>
      <c r="G319" s="2">
        <f t="shared" si="49"/>
        <v>0.18479999999999999</v>
      </c>
      <c r="H319" s="2">
        <v>-0.34564998745918302</v>
      </c>
      <c r="I319" s="2">
        <f t="shared" si="50"/>
        <v>5.8000000000000005E-3</v>
      </c>
      <c r="K319" s="2">
        <v>442.5</v>
      </c>
      <c r="L319" s="2">
        <f t="shared" si="51"/>
        <v>0.35459999999999997</v>
      </c>
      <c r="M319" s="2">
        <v>-0.123779997229576</v>
      </c>
      <c r="N319" s="2">
        <f t="shared" si="52"/>
        <v>5.8000000000000005E-3</v>
      </c>
    </row>
    <row r="320" spans="1:14" x14ac:dyDescent="0.25">
      <c r="A320" s="2">
        <v>434.39999389648398</v>
      </c>
      <c r="B320" s="2">
        <f t="shared" si="47"/>
        <v>0.34809999999999997</v>
      </c>
      <c r="C320" s="2">
        <v>-0.21615000069141399</v>
      </c>
      <c r="D320" s="2">
        <f t="shared" si="48"/>
        <v>5.8000000000000005E-3</v>
      </c>
      <c r="F320" s="2">
        <v>233.69999694824199</v>
      </c>
      <c r="G320" s="2">
        <f t="shared" si="49"/>
        <v>0.18759999999999999</v>
      </c>
      <c r="H320" s="2">
        <v>-0.34510999917983998</v>
      </c>
      <c r="I320" s="2">
        <f t="shared" si="50"/>
        <v>5.8000000000000005E-3</v>
      </c>
      <c r="K320" s="2">
        <v>443.89999389648398</v>
      </c>
      <c r="L320" s="2">
        <f t="shared" si="51"/>
        <v>0.35570000000000002</v>
      </c>
      <c r="M320" s="2">
        <v>-0.120800003409386</v>
      </c>
      <c r="N320" s="2">
        <f t="shared" si="52"/>
        <v>5.8000000000000005E-3</v>
      </c>
    </row>
    <row r="321" spans="1:14" x14ac:dyDescent="0.25">
      <c r="A321" s="2">
        <v>435.39999389648398</v>
      </c>
      <c r="B321" s="2">
        <f t="shared" si="47"/>
        <v>0.34889999999999999</v>
      </c>
      <c r="C321" s="2">
        <v>-0.21355000138282801</v>
      </c>
      <c r="D321" s="2">
        <f t="shared" si="48"/>
        <v>5.8000000000000005E-3</v>
      </c>
      <c r="F321" s="2">
        <v>235.39999389648401</v>
      </c>
      <c r="G321" s="2">
        <f t="shared" si="49"/>
        <v>0.18889999999999998</v>
      </c>
      <c r="H321" s="2">
        <v>-0.34492000937461897</v>
      </c>
      <c r="I321" s="2">
        <f t="shared" si="50"/>
        <v>5.8000000000000005E-3</v>
      </c>
      <c r="K321" s="2">
        <v>445.10000610351602</v>
      </c>
      <c r="L321" s="2">
        <f t="shared" si="51"/>
        <v>0.35669999999999996</v>
      </c>
      <c r="M321" s="2">
        <v>-0.117449998855591</v>
      </c>
      <c r="N321" s="2">
        <f t="shared" si="52"/>
        <v>5.8000000000000005E-3</v>
      </c>
    </row>
    <row r="322" spans="1:14" x14ac:dyDescent="0.25">
      <c r="A322" s="2">
        <v>436.79998779296898</v>
      </c>
      <c r="B322" s="2">
        <f t="shared" si="47"/>
        <v>0.35009999999999997</v>
      </c>
      <c r="C322" s="2">
        <v>-0.20995999872684501</v>
      </c>
      <c r="D322" s="2">
        <f t="shared" si="48"/>
        <v>5.8000000000000005E-3</v>
      </c>
      <c r="F322" s="2">
        <v>235.80000305175801</v>
      </c>
      <c r="G322" s="2">
        <f t="shared" si="49"/>
        <v>0.1893</v>
      </c>
      <c r="H322" s="2">
        <v>-0.34492000937461897</v>
      </c>
      <c r="I322" s="2">
        <f t="shared" si="50"/>
        <v>5.8000000000000005E-3</v>
      </c>
      <c r="K322" s="2">
        <v>445.20001220703102</v>
      </c>
      <c r="L322" s="2">
        <f t="shared" si="51"/>
        <v>0.35680000000000001</v>
      </c>
      <c r="M322" s="2">
        <v>-0.117430001497269</v>
      </c>
      <c r="N322" s="2">
        <f t="shared" si="52"/>
        <v>5.8000000000000005E-3</v>
      </c>
    </row>
    <row r="323" spans="1:14" x14ac:dyDescent="0.25">
      <c r="A323" s="2">
        <v>437.79998779296898</v>
      </c>
      <c r="B323" s="2">
        <f t="shared" si="47"/>
        <v>0.35089999999999999</v>
      </c>
      <c r="C323" s="2">
        <v>-0.206790000200272</v>
      </c>
      <c r="D323" s="2">
        <f t="shared" si="48"/>
        <v>5.8000000000000005E-3</v>
      </c>
      <c r="F323" s="2">
        <v>235.5</v>
      </c>
      <c r="G323" s="2">
        <f t="shared" si="49"/>
        <v>0.189</v>
      </c>
      <c r="H323" s="2">
        <v>-0.344900012016296</v>
      </c>
      <c r="I323" s="2">
        <f t="shared" si="50"/>
        <v>5.8000000000000005E-3</v>
      </c>
      <c r="K323" s="2">
        <v>446.29998779296898</v>
      </c>
      <c r="L323" s="2">
        <f t="shared" si="51"/>
        <v>0.35769999999999996</v>
      </c>
      <c r="M323" s="2">
        <v>-0.114330001175404</v>
      </c>
      <c r="N323" s="2">
        <f t="shared" si="52"/>
        <v>5.8000000000000005E-3</v>
      </c>
    </row>
    <row r="324" spans="1:14" x14ac:dyDescent="0.25">
      <c r="A324" s="2">
        <v>439.20001220703102</v>
      </c>
      <c r="B324" s="2">
        <f t="shared" si="47"/>
        <v>0.35199999999999998</v>
      </c>
      <c r="C324" s="2">
        <v>-0.203360006213188</v>
      </c>
      <c r="D324" s="2">
        <f t="shared" si="48"/>
        <v>5.8000000000000005E-3</v>
      </c>
      <c r="F324" s="2">
        <v>238.5</v>
      </c>
      <c r="G324" s="2">
        <f t="shared" si="49"/>
        <v>0.19139999999999999</v>
      </c>
      <c r="H324" s="2">
        <v>-0.34455001354217502</v>
      </c>
      <c r="I324" s="2">
        <f t="shared" si="50"/>
        <v>5.8000000000000005E-3</v>
      </c>
      <c r="K324" s="2">
        <v>446.70001220703102</v>
      </c>
      <c r="L324" s="2">
        <f t="shared" si="51"/>
        <v>0.35799999999999998</v>
      </c>
      <c r="M324" s="2">
        <v>-0.11356999725103401</v>
      </c>
      <c r="N324" s="2">
        <f t="shared" si="52"/>
        <v>5.8000000000000005E-3</v>
      </c>
    </row>
    <row r="325" spans="1:14" x14ac:dyDescent="0.25">
      <c r="A325" s="2">
        <v>439.70001220703102</v>
      </c>
      <c r="B325" s="2">
        <f t="shared" si="47"/>
        <v>0.35239999999999999</v>
      </c>
      <c r="C325" s="2">
        <v>-0.20148999989032701</v>
      </c>
      <c r="D325" s="2">
        <f t="shared" si="48"/>
        <v>5.8000000000000005E-3</v>
      </c>
      <c r="F325" s="2">
        <v>244.60000610351599</v>
      </c>
      <c r="G325" s="2">
        <f t="shared" si="49"/>
        <v>0.1963</v>
      </c>
      <c r="H325" s="2">
        <v>-0.34373998641967801</v>
      </c>
      <c r="I325" s="2">
        <f t="shared" si="50"/>
        <v>5.8000000000000005E-3</v>
      </c>
      <c r="K325" s="2">
        <v>447.70001220703102</v>
      </c>
      <c r="L325" s="2">
        <f t="shared" si="51"/>
        <v>0.35880000000000001</v>
      </c>
      <c r="M325" s="2">
        <v>-0.11114999651908899</v>
      </c>
      <c r="N325" s="2">
        <f t="shared" si="52"/>
        <v>5.8000000000000005E-3</v>
      </c>
    </row>
    <row r="326" spans="1:14" x14ac:dyDescent="0.25">
      <c r="A326" s="2">
        <v>440.39999389648398</v>
      </c>
      <c r="B326" s="2">
        <f t="shared" si="47"/>
        <v>0.35289999999999999</v>
      </c>
      <c r="C326" s="2">
        <v>-0.199799999594688</v>
      </c>
      <c r="D326" s="2">
        <f t="shared" si="48"/>
        <v>5.8000000000000005E-3</v>
      </c>
      <c r="F326" s="2">
        <v>250</v>
      </c>
      <c r="G326" s="2">
        <f t="shared" si="49"/>
        <v>0.2006</v>
      </c>
      <c r="H326" s="2">
        <v>-0.34297001361846902</v>
      </c>
      <c r="I326" s="2">
        <f t="shared" si="50"/>
        <v>5.8000000000000005E-3</v>
      </c>
      <c r="K326" s="2">
        <v>447.60000610351602</v>
      </c>
      <c r="L326" s="2">
        <f t="shared" si="51"/>
        <v>0.35869999999999996</v>
      </c>
      <c r="M326" s="2">
        <v>-0.111089996993542</v>
      </c>
      <c r="N326" s="2">
        <f t="shared" si="52"/>
        <v>5.8000000000000005E-3</v>
      </c>
    </row>
    <row r="327" spans="1:14" x14ac:dyDescent="0.25">
      <c r="A327" s="2">
        <v>444</v>
      </c>
      <c r="B327" s="2">
        <f t="shared" si="47"/>
        <v>0.35580000000000001</v>
      </c>
      <c r="C327" s="2">
        <v>-0.18974000215530401</v>
      </c>
      <c r="D327" s="2">
        <f t="shared" si="48"/>
        <v>5.8000000000000005E-3</v>
      </c>
      <c r="F327" s="2">
        <v>256.39999389648398</v>
      </c>
      <c r="G327" s="2">
        <f t="shared" si="49"/>
        <v>0.20569999999999999</v>
      </c>
      <c r="H327" s="2">
        <v>-0.34209999442100503</v>
      </c>
      <c r="I327" s="2">
        <f t="shared" si="50"/>
        <v>5.8000000000000005E-3</v>
      </c>
      <c r="K327" s="2">
        <v>447.70001220703102</v>
      </c>
      <c r="L327" s="2">
        <f t="shared" si="51"/>
        <v>0.35880000000000001</v>
      </c>
      <c r="M327" s="2">
        <v>-0.111029997467995</v>
      </c>
      <c r="N327" s="2">
        <f t="shared" si="52"/>
        <v>5.8000000000000005E-3</v>
      </c>
    </row>
    <row r="328" spans="1:14" x14ac:dyDescent="0.25">
      <c r="A328" s="2">
        <v>447.89999389648398</v>
      </c>
      <c r="B328" s="2">
        <f t="shared" si="47"/>
        <v>0.3589</v>
      </c>
      <c r="C328" s="2">
        <v>-0.179389998316765</v>
      </c>
      <c r="D328" s="2">
        <f t="shared" si="48"/>
        <v>5.8000000000000005E-3</v>
      </c>
      <c r="F328" s="2">
        <v>261.29998779296898</v>
      </c>
      <c r="G328" s="2">
        <f t="shared" si="49"/>
        <v>0.2097</v>
      </c>
      <c r="H328" s="2">
        <v>-0.34114000201225297</v>
      </c>
      <c r="I328" s="2">
        <f t="shared" si="50"/>
        <v>5.8000000000000005E-3</v>
      </c>
      <c r="K328" s="2">
        <v>448.60000610351602</v>
      </c>
      <c r="L328" s="2">
        <f t="shared" si="51"/>
        <v>0.35949999999999999</v>
      </c>
      <c r="M328" s="2">
        <v>-0.108230002224445</v>
      </c>
      <c r="N328" s="2">
        <f t="shared" si="52"/>
        <v>5.8000000000000005E-3</v>
      </c>
    </row>
    <row r="329" spans="1:14" x14ac:dyDescent="0.25">
      <c r="A329" s="2">
        <v>446.60000610351602</v>
      </c>
      <c r="B329" s="2">
        <f t="shared" si="47"/>
        <v>0.3579</v>
      </c>
      <c r="C329" s="2">
        <v>-0.18297000229358701</v>
      </c>
      <c r="D329" s="2">
        <f t="shared" si="48"/>
        <v>5.8000000000000005E-3</v>
      </c>
      <c r="F329" s="2">
        <v>262.10000610351602</v>
      </c>
      <c r="G329" s="2">
        <f t="shared" si="49"/>
        <v>0.21029999999999999</v>
      </c>
      <c r="H329" s="2">
        <v>-0.34108999371528598</v>
      </c>
      <c r="I329" s="2">
        <f t="shared" si="50"/>
        <v>5.8000000000000005E-3</v>
      </c>
      <c r="K329" s="2">
        <v>449.29998779296898</v>
      </c>
      <c r="L329" s="2">
        <f t="shared" si="51"/>
        <v>0.36009999999999998</v>
      </c>
      <c r="M329" s="2">
        <v>-0.10717999935150101</v>
      </c>
      <c r="N329" s="2">
        <f t="shared" si="52"/>
        <v>5.8000000000000005E-3</v>
      </c>
    </row>
    <row r="330" spans="1:14" x14ac:dyDescent="0.25">
      <c r="A330" s="2">
        <v>448</v>
      </c>
      <c r="B330" s="2">
        <f t="shared" si="47"/>
        <v>0.35899999999999999</v>
      </c>
      <c r="C330" s="2">
        <v>-0.17899000644683799</v>
      </c>
      <c r="D330" s="2">
        <f t="shared" si="48"/>
        <v>5.8000000000000005E-3</v>
      </c>
      <c r="F330" s="2">
        <v>267.10000610351602</v>
      </c>
      <c r="G330" s="2">
        <f t="shared" si="49"/>
        <v>0.21429999999999999</v>
      </c>
      <c r="H330" s="2">
        <v>-0.34003001451492298</v>
      </c>
      <c r="I330" s="2">
        <f t="shared" si="50"/>
        <v>5.8000000000000005E-3</v>
      </c>
      <c r="K330" s="2">
        <v>450.39999389648398</v>
      </c>
      <c r="L330" s="2">
        <f t="shared" si="51"/>
        <v>0.3609</v>
      </c>
      <c r="M330" s="2">
        <v>-0.10430999845266301</v>
      </c>
      <c r="N330" s="2">
        <f t="shared" si="52"/>
        <v>5.8000000000000005E-3</v>
      </c>
    </row>
    <row r="331" spans="1:14" x14ac:dyDescent="0.25">
      <c r="A331" s="2">
        <v>448.20001220703102</v>
      </c>
      <c r="B331" s="2">
        <f t="shared" si="47"/>
        <v>0.35919999999999996</v>
      </c>
      <c r="C331" s="2">
        <v>-0.177949994802475</v>
      </c>
      <c r="D331" s="2">
        <f t="shared" si="48"/>
        <v>5.8000000000000005E-3</v>
      </c>
      <c r="F331" s="2">
        <v>269.70001220703102</v>
      </c>
      <c r="G331" s="2">
        <f t="shared" si="49"/>
        <v>0.21639999999999998</v>
      </c>
      <c r="H331" s="2">
        <v>-0.33950001001357999</v>
      </c>
      <c r="I331" s="2">
        <f t="shared" si="50"/>
        <v>5.8000000000000005E-3</v>
      </c>
      <c r="K331" s="2">
        <v>451.29998779296898</v>
      </c>
      <c r="L331" s="2">
        <f t="shared" si="51"/>
        <v>0.36169999999999997</v>
      </c>
      <c r="M331" s="2">
        <v>-0.101240001618862</v>
      </c>
      <c r="N331" s="2">
        <f t="shared" si="52"/>
        <v>5.8000000000000005E-3</v>
      </c>
    </row>
    <row r="332" spans="1:14" x14ac:dyDescent="0.25">
      <c r="A332" s="2">
        <v>449.29998779296898</v>
      </c>
      <c r="B332" s="2">
        <f t="shared" si="47"/>
        <v>0.36009999999999998</v>
      </c>
      <c r="C332" s="2">
        <v>-0.17526000738143899</v>
      </c>
      <c r="D332" s="2">
        <f t="shared" si="48"/>
        <v>5.8000000000000005E-3</v>
      </c>
      <c r="F332" s="2">
        <v>273.20001220703102</v>
      </c>
      <c r="G332" s="2">
        <f t="shared" si="49"/>
        <v>0.21919999999999998</v>
      </c>
      <c r="H332" s="2">
        <v>-0.33889999985694902</v>
      </c>
      <c r="I332" s="2">
        <f t="shared" si="50"/>
        <v>5.8000000000000005E-3</v>
      </c>
      <c r="K332" s="2">
        <v>452.5</v>
      </c>
      <c r="L332" s="2">
        <f t="shared" si="51"/>
        <v>0.36259999999999998</v>
      </c>
      <c r="M332" s="2">
        <v>-9.7900003194809002E-2</v>
      </c>
      <c r="N332" s="2">
        <f t="shared" si="52"/>
        <v>5.8000000000000005E-3</v>
      </c>
    </row>
    <row r="333" spans="1:14" x14ac:dyDescent="0.25">
      <c r="A333" s="2">
        <v>452</v>
      </c>
      <c r="B333" s="2">
        <f t="shared" si="47"/>
        <v>0.36219999999999997</v>
      </c>
      <c r="C333" s="2">
        <v>-0.16538000106811501</v>
      </c>
      <c r="D333" s="2">
        <f t="shared" si="48"/>
        <v>5.8000000000000005E-3</v>
      </c>
      <c r="F333" s="2">
        <v>275.60000610351602</v>
      </c>
      <c r="G333" s="2">
        <f t="shared" si="49"/>
        <v>0.22109999999999999</v>
      </c>
      <c r="H333" s="2">
        <v>-0.33831000328063998</v>
      </c>
      <c r="I333" s="2">
        <f t="shared" si="50"/>
        <v>5.8000000000000005E-3</v>
      </c>
      <c r="K333" s="2">
        <v>452.79998779296898</v>
      </c>
      <c r="L333" s="2">
        <f t="shared" si="51"/>
        <v>0.3629</v>
      </c>
      <c r="M333" s="2">
        <v>-9.7089998424053206E-2</v>
      </c>
      <c r="N333" s="2">
        <f t="shared" si="52"/>
        <v>5.8000000000000005E-3</v>
      </c>
    </row>
    <row r="334" spans="1:14" x14ac:dyDescent="0.25">
      <c r="A334" s="2">
        <v>453.60000610351602</v>
      </c>
      <c r="B334" s="2">
        <f t="shared" si="47"/>
        <v>0.36349999999999999</v>
      </c>
      <c r="C334" s="2">
        <v>-0.162039995193481</v>
      </c>
      <c r="D334" s="2">
        <f t="shared" si="48"/>
        <v>5.8000000000000005E-3</v>
      </c>
      <c r="F334" s="2">
        <v>276.70001220703102</v>
      </c>
      <c r="G334" s="2">
        <f t="shared" si="49"/>
        <v>0.22199999999999998</v>
      </c>
      <c r="H334" s="2">
        <v>-0.33805999159812899</v>
      </c>
      <c r="I334" s="2">
        <f t="shared" si="50"/>
        <v>5.8000000000000005E-3</v>
      </c>
      <c r="K334" s="2">
        <v>453.5</v>
      </c>
      <c r="L334" s="2">
        <f t="shared" si="51"/>
        <v>0.3634</v>
      </c>
      <c r="M334" s="2">
        <v>-9.4580002129077897E-2</v>
      </c>
      <c r="N334" s="2">
        <f t="shared" si="52"/>
        <v>5.8000000000000005E-3</v>
      </c>
    </row>
    <row r="335" spans="1:14" x14ac:dyDescent="0.25">
      <c r="A335" s="2">
        <v>453.60000610351602</v>
      </c>
      <c r="B335" s="2">
        <f t="shared" si="47"/>
        <v>0.36349999999999999</v>
      </c>
      <c r="C335" s="2">
        <v>-0.16073000431060799</v>
      </c>
      <c r="D335" s="2">
        <f t="shared" si="48"/>
        <v>5.8000000000000005E-3</v>
      </c>
      <c r="F335" s="2">
        <v>278.29998779296898</v>
      </c>
      <c r="G335" s="2">
        <f t="shared" si="49"/>
        <v>0.2233</v>
      </c>
      <c r="H335" s="2">
        <v>-0.33774000406265298</v>
      </c>
      <c r="I335" s="2">
        <f t="shared" si="50"/>
        <v>5.8000000000000005E-3</v>
      </c>
      <c r="K335" s="2">
        <v>453.79998779296898</v>
      </c>
      <c r="L335" s="2">
        <f t="shared" si="51"/>
        <v>0.36369999999999997</v>
      </c>
      <c r="M335" s="2">
        <v>-9.3690000474453E-2</v>
      </c>
      <c r="N335" s="2">
        <f t="shared" si="52"/>
        <v>5.8000000000000005E-3</v>
      </c>
    </row>
    <row r="336" spans="1:14" x14ac:dyDescent="0.25">
      <c r="A336" s="2">
        <v>455.20001220703102</v>
      </c>
      <c r="B336" s="2">
        <f t="shared" si="47"/>
        <v>0.36480000000000001</v>
      </c>
      <c r="C336" s="2">
        <v>-0.15604999661445601</v>
      </c>
      <c r="D336" s="2">
        <f t="shared" si="48"/>
        <v>5.8000000000000005E-3</v>
      </c>
      <c r="F336" s="2">
        <v>278.29998779296898</v>
      </c>
      <c r="G336" s="2">
        <f t="shared" si="49"/>
        <v>0.2233</v>
      </c>
      <c r="H336" s="2">
        <v>-0.33768001198768599</v>
      </c>
      <c r="I336" s="2">
        <f t="shared" si="50"/>
        <v>5.8000000000000005E-3</v>
      </c>
      <c r="K336" s="2">
        <v>454.70001220703102</v>
      </c>
      <c r="L336" s="2">
        <f t="shared" si="51"/>
        <v>0.3644</v>
      </c>
      <c r="M336" s="2">
        <v>-9.1190002858638805E-2</v>
      </c>
      <c r="N336" s="2">
        <f t="shared" si="52"/>
        <v>5.8000000000000005E-3</v>
      </c>
    </row>
    <row r="337" spans="1:14" x14ac:dyDescent="0.25">
      <c r="A337" s="2">
        <v>456.10000610351602</v>
      </c>
      <c r="B337" s="2">
        <f t="shared" si="47"/>
        <v>0.36549999999999999</v>
      </c>
      <c r="C337" s="2">
        <v>-0.15272000432014499</v>
      </c>
      <c r="D337" s="2">
        <f t="shared" si="48"/>
        <v>5.8000000000000005E-3</v>
      </c>
      <c r="F337" s="2">
        <v>278.60000610351602</v>
      </c>
      <c r="G337" s="2">
        <f t="shared" si="49"/>
        <v>0.22349999999999998</v>
      </c>
      <c r="H337" s="2">
        <v>-0.33761999011039701</v>
      </c>
      <c r="I337" s="2">
        <f t="shared" si="50"/>
        <v>5.8000000000000005E-3</v>
      </c>
      <c r="K337" s="2">
        <v>455.29998779296898</v>
      </c>
      <c r="L337" s="2">
        <f t="shared" si="51"/>
        <v>0.3649</v>
      </c>
      <c r="M337" s="2">
        <v>-8.94600003957748E-2</v>
      </c>
      <c r="N337" s="2">
        <f t="shared" si="52"/>
        <v>5.8000000000000005E-3</v>
      </c>
    </row>
    <row r="338" spans="1:14" x14ac:dyDescent="0.25">
      <c r="A338" s="2">
        <v>456.79998779296898</v>
      </c>
      <c r="B338" s="2">
        <f t="shared" si="47"/>
        <v>0.36609999999999998</v>
      </c>
      <c r="C338" s="2">
        <v>-0.15037000179290799</v>
      </c>
      <c r="D338" s="2">
        <f t="shared" si="48"/>
        <v>5.8000000000000005E-3</v>
      </c>
      <c r="F338" s="2">
        <v>279.89999389648398</v>
      </c>
      <c r="G338" s="2">
        <f t="shared" si="49"/>
        <v>0.22449999999999998</v>
      </c>
      <c r="H338" s="2">
        <v>-0.33735999464988697</v>
      </c>
      <c r="I338" s="2">
        <f t="shared" si="50"/>
        <v>5.8000000000000005E-3</v>
      </c>
      <c r="K338" s="2">
        <v>458</v>
      </c>
      <c r="L338" s="2">
        <f t="shared" si="51"/>
        <v>0.36699999999999999</v>
      </c>
      <c r="M338" s="2">
        <v>-7.7529996633529705E-2</v>
      </c>
      <c r="N338" s="2">
        <f t="shared" si="52"/>
        <v>5.8000000000000005E-3</v>
      </c>
    </row>
    <row r="339" spans="1:14" x14ac:dyDescent="0.25">
      <c r="A339" s="2">
        <v>457.20001220703102</v>
      </c>
      <c r="B339" s="2">
        <f t="shared" si="47"/>
        <v>0.3664</v>
      </c>
      <c r="C339" s="2">
        <v>-0.147420004010201</v>
      </c>
      <c r="D339" s="2">
        <f t="shared" si="48"/>
        <v>5.8000000000000005E-3</v>
      </c>
      <c r="F339" s="2">
        <v>280.10000610351602</v>
      </c>
      <c r="G339" s="2">
        <f t="shared" si="49"/>
        <v>0.22469999999999998</v>
      </c>
      <c r="H339" s="2">
        <v>-0.33715999126434298</v>
      </c>
      <c r="I339" s="2">
        <f t="shared" si="50"/>
        <v>5.8000000000000005E-3</v>
      </c>
      <c r="K339" s="2">
        <v>459.5</v>
      </c>
      <c r="L339" s="2">
        <f t="shared" si="51"/>
        <v>0.36819999999999997</v>
      </c>
      <c r="M339" s="2">
        <v>-7.4230000376701397E-2</v>
      </c>
      <c r="N339" s="2">
        <f t="shared" si="52"/>
        <v>5.8000000000000005E-3</v>
      </c>
    </row>
    <row r="340" spans="1:14" x14ac:dyDescent="0.25">
      <c r="A340" s="2">
        <v>458.20001220703102</v>
      </c>
      <c r="B340" s="2">
        <f t="shared" si="47"/>
        <v>0.36719999999999997</v>
      </c>
      <c r="C340" s="2">
        <v>-0.14428000152111101</v>
      </c>
      <c r="D340" s="2">
        <f t="shared" si="48"/>
        <v>5.8000000000000005E-3</v>
      </c>
      <c r="F340" s="2">
        <v>281.70001220703102</v>
      </c>
      <c r="G340" s="2">
        <f t="shared" si="49"/>
        <v>0.22599999999999998</v>
      </c>
      <c r="H340" s="2">
        <v>-0.33682999014854398</v>
      </c>
      <c r="I340" s="2">
        <f t="shared" si="50"/>
        <v>5.8000000000000005E-3</v>
      </c>
      <c r="K340" s="2">
        <v>459.10000610351602</v>
      </c>
      <c r="L340" s="2">
        <f t="shared" si="51"/>
        <v>0.3679</v>
      </c>
      <c r="M340" s="2">
        <v>-7.2700001299381298E-2</v>
      </c>
      <c r="N340" s="2">
        <f t="shared" si="52"/>
        <v>5.8000000000000005E-3</v>
      </c>
    </row>
    <row r="341" spans="1:14" x14ac:dyDescent="0.25">
      <c r="A341" s="2">
        <v>459.39999389648398</v>
      </c>
      <c r="B341" s="2">
        <f t="shared" si="47"/>
        <v>0.36809999999999998</v>
      </c>
      <c r="C341" s="2">
        <v>-0.139789998531342</v>
      </c>
      <c r="D341" s="2">
        <f t="shared" si="48"/>
        <v>5.8000000000000005E-3</v>
      </c>
      <c r="F341" s="2">
        <v>283.70001220703102</v>
      </c>
      <c r="G341" s="2">
        <f t="shared" si="49"/>
        <v>0.2276</v>
      </c>
      <c r="H341" s="2">
        <v>-0.33640000224113498</v>
      </c>
      <c r="I341" s="2">
        <f t="shared" si="50"/>
        <v>5.8000000000000005E-3</v>
      </c>
      <c r="K341" s="2">
        <v>461.20001220703102</v>
      </c>
      <c r="L341" s="2">
        <f t="shared" si="51"/>
        <v>0.36959999999999998</v>
      </c>
      <c r="M341" s="2">
        <v>-6.9980002939701094E-2</v>
      </c>
      <c r="N341" s="2">
        <f t="shared" si="52"/>
        <v>5.8000000000000005E-3</v>
      </c>
    </row>
    <row r="342" spans="1:14" x14ac:dyDescent="0.25">
      <c r="A342" s="2">
        <v>458.89999389648398</v>
      </c>
      <c r="B342" s="2">
        <f t="shared" si="47"/>
        <v>0.36769999999999997</v>
      </c>
      <c r="C342" s="2">
        <v>-0.13890999555587799</v>
      </c>
      <c r="D342" s="2">
        <f t="shared" si="48"/>
        <v>5.8000000000000005E-3</v>
      </c>
      <c r="F342" s="2">
        <v>285.10000610351602</v>
      </c>
      <c r="G342" s="2">
        <f t="shared" si="49"/>
        <v>0.22869999999999999</v>
      </c>
      <c r="H342" s="2">
        <v>-0.33603999018669101</v>
      </c>
      <c r="I342" s="2">
        <f t="shared" si="50"/>
        <v>5.8000000000000005E-3</v>
      </c>
      <c r="K342" s="2">
        <v>462.20001220703102</v>
      </c>
      <c r="L342" s="2">
        <f t="shared" si="51"/>
        <v>0.37040000000000001</v>
      </c>
      <c r="M342" s="2">
        <v>-6.8209998309612302E-2</v>
      </c>
      <c r="N342" s="2">
        <f t="shared" si="52"/>
        <v>5.8000000000000005E-3</v>
      </c>
    </row>
    <row r="343" spans="1:14" x14ac:dyDescent="0.25">
      <c r="A343" s="2">
        <v>461.10000610351602</v>
      </c>
      <c r="B343" s="2">
        <f t="shared" si="47"/>
        <v>0.3695</v>
      </c>
      <c r="C343" s="2">
        <v>-0.13623000681400299</v>
      </c>
      <c r="D343" s="2">
        <f t="shared" si="48"/>
        <v>5.8000000000000005E-3</v>
      </c>
      <c r="F343" s="2">
        <v>285.10000610351602</v>
      </c>
      <c r="G343" s="2">
        <f t="shared" si="49"/>
        <v>0.22869999999999999</v>
      </c>
      <c r="H343" s="2">
        <v>-0.33599001169204701</v>
      </c>
      <c r="I343" s="2">
        <f t="shared" si="50"/>
        <v>5.8000000000000005E-3</v>
      </c>
      <c r="K343" s="2">
        <v>462.70001220703102</v>
      </c>
      <c r="L343" s="2">
        <f t="shared" si="51"/>
        <v>0.37079999999999996</v>
      </c>
      <c r="M343" s="2">
        <v>-6.6200003027915996E-2</v>
      </c>
      <c r="N343" s="2">
        <f t="shared" si="52"/>
        <v>5.8000000000000005E-3</v>
      </c>
    </row>
    <row r="344" spans="1:14" x14ac:dyDescent="0.25">
      <c r="A344" s="2">
        <v>462.70001220703102</v>
      </c>
      <c r="B344" s="2">
        <f t="shared" si="47"/>
        <v>0.37079999999999996</v>
      </c>
      <c r="C344" s="2">
        <v>-0.13165999948978399</v>
      </c>
      <c r="D344" s="2">
        <f t="shared" si="48"/>
        <v>5.8000000000000005E-3</v>
      </c>
      <c r="F344" s="2">
        <v>286.10000610351602</v>
      </c>
      <c r="G344" s="2">
        <f t="shared" si="49"/>
        <v>0.22949999999999998</v>
      </c>
      <c r="H344" s="2">
        <v>-0.335709989070892</v>
      </c>
      <c r="I344" s="2">
        <f t="shared" si="50"/>
        <v>5.8000000000000005E-3</v>
      </c>
      <c r="K344" s="2">
        <v>463.70001220703102</v>
      </c>
      <c r="L344" s="2">
        <f t="shared" si="51"/>
        <v>0.37159999999999999</v>
      </c>
      <c r="M344" s="2">
        <v>-6.5339997410774203E-2</v>
      </c>
      <c r="N344" s="2">
        <f t="shared" si="52"/>
        <v>5.8000000000000005E-3</v>
      </c>
    </row>
    <row r="345" spans="1:14" x14ac:dyDescent="0.25">
      <c r="A345" s="2">
        <v>462.79998779296898</v>
      </c>
      <c r="B345" s="2">
        <f t="shared" si="47"/>
        <v>0.37090000000000001</v>
      </c>
      <c r="C345" s="2">
        <v>-0.13061000406742099</v>
      </c>
      <c r="D345" s="2">
        <f t="shared" si="48"/>
        <v>5.8000000000000005E-3</v>
      </c>
      <c r="F345" s="2">
        <v>288.5</v>
      </c>
      <c r="G345" s="2">
        <f t="shared" si="49"/>
        <v>0.23139999999999999</v>
      </c>
      <c r="H345" s="2">
        <v>-0.33502000570297202</v>
      </c>
      <c r="I345" s="2">
        <f t="shared" si="50"/>
        <v>5.8000000000000005E-3</v>
      </c>
      <c r="K345" s="2">
        <v>464.20001220703102</v>
      </c>
      <c r="L345" s="2">
        <f t="shared" si="51"/>
        <v>0.372</v>
      </c>
      <c r="M345" s="2">
        <v>-6.2950000166893005E-2</v>
      </c>
      <c r="N345" s="2">
        <f t="shared" si="52"/>
        <v>5.8000000000000005E-3</v>
      </c>
    </row>
    <row r="346" spans="1:14" x14ac:dyDescent="0.25">
      <c r="A346" s="2">
        <v>464.89999389648398</v>
      </c>
      <c r="B346" s="2">
        <f t="shared" si="47"/>
        <v>0.3725</v>
      </c>
      <c r="C346" s="2">
        <v>-0.123099997639656</v>
      </c>
      <c r="D346" s="2">
        <f t="shared" si="48"/>
        <v>5.8000000000000005E-3</v>
      </c>
      <c r="F346" s="2">
        <v>288.60000610351602</v>
      </c>
      <c r="G346" s="2">
        <f t="shared" si="49"/>
        <v>0.23149999999999998</v>
      </c>
      <c r="H346" s="2">
        <v>-0.33478000760078402</v>
      </c>
      <c r="I346" s="2">
        <f t="shared" si="50"/>
        <v>5.8000000000000005E-3</v>
      </c>
      <c r="K346" s="2">
        <v>465.60000610351602</v>
      </c>
      <c r="L346" s="2">
        <f t="shared" si="51"/>
        <v>0.37309999999999999</v>
      </c>
      <c r="M346" s="2">
        <v>-5.9360001236200298E-2</v>
      </c>
      <c r="N346" s="2">
        <f t="shared" si="52"/>
        <v>5.8000000000000005E-3</v>
      </c>
    </row>
    <row r="347" spans="1:14" x14ac:dyDescent="0.25">
      <c r="A347" s="2">
        <v>467.20001220703102</v>
      </c>
      <c r="B347" s="2">
        <f t="shared" si="47"/>
        <v>0.37440000000000001</v>
      </c>
      <c r="C347" s="2">
        <v>-0.11710999906063101</v>
      </c>
      <c r="D347" s="2">
        <f t="shared" si="48"/>
        <v>5.8000000000000005E-3</v>
      </c>
      <c r="F347" s="2">
        <v>290.20001220703102</v>
      </c>
      <c r="G347" s="2">
        <f t="shared" si="49"/>
        <v>0.23279999999999998</v>
      </c>
      <c r="H347" s="2">
        <v>-0.33452999591827398</v>
      </c>
      <c r="I347" s="2">
        <f t="shared" si="50"/>
        <v>5.8000000000000005E-3</v>
      </c>
      <c r="K347" s="2">
        <v>466.79998779296898</v>
      </c>
      <c r="L347" s="2">
        <f t="shared" si="51"/>
        <v>0.37409999999999999</v>
      </c>
      <c r="M347" s="2">
        <v>-5.5599998682737399E-2</v>
      </c>
      <c r="N347" s="2">
        <f t="shared" si="52"/>
        <v>5.8000000000000005E-3</v>
      </c>
    </row>
    <row r="348" spans="1:14" x14ac:dyDescent="0.25">
      <c r="A348" s="2">
        <v>472.60000610351602</v>
      </c>
      <c r="B348" s="2">
        <f t="shared" si="47"/>
        <v>0.37869999999999998</v>
      </c>
      <c r="C348" s="2">
        <v>-9.8569996654987294E-2</v>
      </c>
      <c r="D348" s="2">
        <f t="shared" si="48"/>
        <v>5.8000000000000005E-3</v>
      </c>
      <c r="F348" s="2">
        <v>290.20001220703102</v>
      </c>
      <c r="G348" s="2">
        <f t="shared" si="49"/>
        <v>0.23279999999999998</v>
      </c>
      <c r="H348" s="2">
        <v>-0.334509998559952</v>
      </c>
      <c r="I348" s="2">
        <f t="shared" si="50"/>
        <v>5.8000000000000005E-3</v>
      </c>
      <c r="K348" s="2">
        <v>467.70001220703102</v>
      </c>
      <c r="L348" s="2">
        <f t="shared" si="51"/>
        <v>0.37479999999999997</v>
      </c>
      <c r="M348" s="2">
        <v>-5.2530001848936102E-2</v>
      </c>
      <c r="N348" s="2">
        <f t="shared" si="52"/>
        <v>5.8000000000000005E-3</v>
      </c>
    </row>
    <row r="349" spans="1:14" x14ac:dyDescent="0.25">
      <c r="A349" s="2">
        <v>477.10000610351602</v>
      </c>
      <c r="B349" s="2">
        <f t="shared" si="47"/>
        <v>0.38229999999999997</v>
      </c>
      <c r="C349" s="2">
        <v>-8.2439996302127797E-2</v>
      </c>
      <c r="D349" s="2">
        <f t="shared" si="48"/>
        <v>5.8000000000000005E-3</v>
      </c>
      <c r="F349" s="2">
        <v>290.5</v>
      </c>
      <c r="G349" s="2">
        <f t="shared" si="49"/>
        <v>0.23299999999999998</v>
      </c>
      <c r="H349" s="2">
        <v>-0.334470003843307</v>
      </c>
      <c r="I349" s="2">
        <f t="shared" si="50"/>
        <v>5.8000000000000005E-3</v>
      </c>
      <c r="K349" s="2">
        <v>469</v>
      </c>
      <c r="L349" s="2">
        <f t="shared" si="51"/>
        <v>0.37579999999999997</v>
      </c>
      <c r="M349" s="2">
        <v>-4.8920001834631001E-2</v>
      </c>
      <c r="N349" s="2">
        <f t="shared" si="52"/>
        <v>5.8000000000000005E-3</v>
      </c>
    </row>
    <row r="350" spans="1:14" x14ac:dyDescent="0.25">
      <c r="A350" s="2">
        <v>479.5</v>
      </c>
      <c r="B350" s="2">
        <f t="shared" si="47"/>
        <v>0.38419999999999999</v>
      </c>
      <c r="C350" s="2">
        <v>-7.3579996824264499E-2</v>
      </c>
      <c r="D350" s="2">
        <f t="shared" si="48"/>
        <v>5.8000000000000005E-3</v>
      </c>
      <c r="F350" s="2">
        <v>290.29998779296898</v>
      </c>
      <c r="G350" s="2">
        <f t="shared" si="49"/>
        <v>0.2329</v>
      </c>
      <c r="H350" s="2">
        <v>-0.33443999290466297</v>
      </c>
      <c r="I350" s="2">
        <f t="shared" si="50"/>
        <v>5.8000000000000005E-3</v>
      </c>
      <c r="K350" s="2">
        <v>469.10000610351602</v>
      </c>
      <c r="L350" s="2">
        <f t="shared" si="51"/>
        <v>0.37590000000000001</v>
      </c>
      <c r="M350" s="2">
        <v>-4.8849999904632603E-2</v>
      </c>
      <c r="N350" s="2">
        <f t="shared" si="52"/>
        <v>5.8000000000000005E-3</v>
      </c>
    </row>
    <row r="351" spans="1:14" x14ac:dyDescent="0.25">
      <c r="A351" s="2">
        <v>483.10000610351602</v>
      </c>
      <c r="B351" s="2">
        <f t="shared" si="47"/>
        <v>0.3871</v>
      </c>
      <c r="C351" s="2">
        <v>-6.0339998453855501E-2</v>
      </c>
      <c r="D351" s="2">
        <f t="shared" si="48"/>
        <v>5.8000000000000005E-3</v>
      </c>
      <c r="F351" s="2">
        <v>290.20001220703102</v>
      </c>
      <c r="G351" s="2">
        <f t="shared" si="49"/>
        <v>0.23279999999999998</v>
      </c>
      <c r="H351" s="2">
        <v>-0.33443000912666299</v>
      </c>
      <c r="I351" s="2">
        <f t="shared" si="50"/>
        <v>5.8000000000000005E-3</v>
      </c>
      <c r="K351" s="2">
        <v>469.20001220703102</v>
      </c>
      <c r="L351" s="2">
        <f t="shared" si="51"/>
        <v>0.376</v>
      </c>
      <c r="M351" s="2">
        <v>-4.7550000250339501E-2</v>
      </c>
      <c r="N351" s="2">
        <f t="shared" si="52"/>
        <v>5.8000000000000005E-3</v>
      </c>
    </row>
    <row r="352" spans="1:14" x14ac:dyDescent="0.25">
      <c r="A352" s="2">
        <v>487.79998779296898</v>
      </c>
      <c r="B352" s="2">
        <f t="shared" si="47"/>
        <v>0.39089999999999997</v>
      </c>
      <c r="C352" s="2">
        <v>-3.8019999861717203E-2</v>
      </c>
      <c r="D352" s="2">
        <f t="shared" si="48"/>
        <v>5.8000000000000005E-3</v>
      </c>
      <c r="F352" s="2">
        <v>290.5</v>
      </c>
      <c r="G352" s="2">
        <f t="shared" si="49"/>
        <v>0.23299999999999998</v>
      </c>
      <c r="H352" s="2">
        <v>-0.33443999290466297</v>
      </c>
      <c r="I352" s="2">
        <f t="shared" si="50"/>
        <v>5.8000000000000005E-3</v>
      </c>
      <c r="K352" s="2">
        <v>470</v>
      </c>
      <c r="L352" s="2">
        <f t="shared" si="51"/>
        <v>0.37659999999999999</v>
      </c>
      <c r="M352" s="2">
        <v>-4.5210000127553898E-2</v>
      </c>
      <c r="N352" s="2">
        <f t="shared" si="52"/>
        <v>5.8000000000000005E-3</v>
      </c>
    </row>
    <row r="353" spans="1:14" x14ac:dyDescent="0.25">
      <c r="A353" s="2">
        <v>490.29998779296898</v>
      </c>
      <c r="B353" s="2">
        <f t="shared" si="47"/>
        <v>0.39289999999999997</v>
      </c>
      <c r="C353" s="2">
        <v>-3.1899999827146502E-2</v>
      </c>
      <c r="D353" s="2">
        <f t="shared" si="48"/>
        <v>5.8000000000000005E-3</v>
      </c>
      <c r="F353" s="2">
        <v>290.79998779296898</v>
      </c>
      <c r="G353" s="2">
        <f t="shared" si="49"/>
        <v>0.23329999999999998</v>
      </c>
      <c r="H353" s="2">
        <v>-0.334419995546341</v>
      </c>
      <c r="I353" s="2">
        <f t="shared" si="50"/>
        <v>5.8000000000000005E-3</v>
      </c>
      <c r="K353" s="2">
        <v>470</v>
      </c>
      <c r="L353" s="2">
        <f t="shared" si="51"/>
        <v>0.37659999999999999</v>
      </c>
      <c r="M353" s="2">
        <v>-4.4709999114274999E-2</v>
      </c>
      <c r="N353" s="2">
        <f t="shared" si="52"/>
        <v>5.8000000000000005E-3</v>
      </c>
    </row>
    <row r="354" spans="1:14" x14ac:dyDescent="0.25">
      <c r="A354" s="2">
        <v>491.20001220703102</v>
      </c>
      <c r="B354" s="2">
        <f t="shared" si="47"/>
        <v>0.39360000000000001</v>
      </c>
      <c r="C354" s="2">
        <v>-2.8189999982714702E-2</v>
      </c>
      <c r="D354" s="2">
        <f t="shared" si="48"/>
        <v>5.8000000000000005E-3</v>
      </c>
      <c r="F354" s="2">
        <v>290.89999389648398</v>
      </c>
      <c r="G354" s="2">
        <f t="shared" si="49"/>
        <v>0.23329999999999998</v>
      </c>
      <c r="H354" s="2">
        <v>-0.33436000347137501</v>
      </c>
      <c r="I354" s="2">
        <f t="shared" si="50"/>
        <v>5.8000000000000005E-3</v>
      </c>
      <c r="K354" s="2">
        <v>471.10000610351602</v>
      </c>
      <c r="L354" s="2">
        <f t="shared" si="51"/>
        <v>0.3775</v>
      </c>
      <c r="M354" s="2">
        <v>-4.1510000824928298E-2</v>
      </c>
      <c r="N354" s="2">
        <f t="shared" si="52"/>
        <v>5.8000000000000005E-3</v>
      </c>
    </row>
    <row r="355" spans="1:14" x14ac:dyDescent="0.25">
      <c r="A355" s="2">
        <v>491.20001220703102</v>
      </c>
      <c r="B355" s="2">
        <f t="shared" ref="B355:B388" si="53">ROUNDUP((0.08%*A355+0.001/(SQRT(3))),4)</f>
        <v>0.39360000000000001</v>
      </c>
      <c r="C355" s="2">
        <v>-2.8160000219941101E-2</v>
      </c>
      <c r="D355" s="2">
        <f t="shared" ref="D355:D388" si="54">ROUNDUP((0.015%*C355+0.01/(SQRT(3))),4)</f>
        <v>5.8000000000000005E-3</v>
      </c>
      <c r="F355" s="2">
        <v>291.39999389648398</v>
      </c>
      <c r="G355" s="2">
        <f t="shared" ref="G355:G418" si="55">ROUNDUP((0.08%*F355+0.001/(SQRT(3))),4)</f>
        <v>0.23369999999999999</v>
      </c>
      <c r="H355" s="2">
        <v>-0.334270000457764</v>
      </c>
      <c r="I355" s="2">
        <f t="shared" ref="I355:I418" si="56">ROUNDUP((0.015%*H355+0.01/(SQRT(3))),4)</f>
        <v>5.8000000000000005E-3</v>
      </c>
      <c r="K355" s="2">
        <v>471</v>
      </c>
      <c r="L355" s="2">
        <f t="shared" ref="L355:L380" si="57">ROUNDUP((0.08%*K355+0.001/(SQRT(3))),4)</f>
        <v>0.37740000000000001</v>
      </c>
      <c r="M355" s="2">
        <v>-4.3359998613595997E-2</v>
      </c>
      <c r="N355" s="2">
        <f t="shared" ref="N355:N380" si="58">ROUNDUP((0.015%*M355+0.01/(SQRT(3))),4)</f>
        <v>5.8000000000000005E-3</v>
      </c>
    </row>
    <row r="356" spans="1:14" x14ac:dyDescent="0.25">
      <c r="A356" s="2">
        <v>491.89999389648398</v>
      </c>
      <c r="B356" s="2">
        <f t="shared" si="53"/>
        <v>0.39410000000000001</v>
      </c>
      <c r="C356" s="2">
        <v>-2.53299996256828E-2</v>
      </c>
      <c r="D356" s="2">
        <f t="shared" si="54"/>
        <v>5.8000000000000005E-3</v>
      </c>
      <c r="F356" s="2">
        <v>291.70001220703102</v>
      </c>
      <c r="G356" s="2">
        <f t="shared" si="55"/>
        <v>0.23399999999999999</v>
      </c>
      <c r="H356" s="2">
        <v>-0.334039986133575</v>
      </c>
      <c r="I356" s="2">
        <f t="shared" si="56"/>
        <v>5.8000000000000005E-3</v>
      </c>
      <c r="K356" s="2">
        <v>474.10000610351602</v>
      </c>
      <c r="L356" s="2">
        <f t="shared" si="57"/>
        <v>0.37990000000000002</v>
      </c>
      <c r="M356" s="2">
        <v>-3.2889999449253103E-2</v>
      </c>
      <c r="N356" s="2">
        <f t="shared" si="58"/>
        <v>5.8000000000000005E-3</v>
      </c>
    </row>
    <row r="357" spans="1:14" x14ac:dyDescent="0.25">
      <c r="A357" s="2">
        <v>493.29998779296898</v>
      </c>
      <c r="B357" s="2">
        <f t="shared" si="53"/>
        <v>0.39529999999999998</v>
      </c>
      <c r="C357" s="2">
        <v>-1.9559999927878401E-2</v>
      </c>
      <c r="D357" s="2">
        <f t="shared" si="54"/>
        <v>5.8000000000000005E-3</v>
      </c>
      <c r="F357" s="2">
        <v>291.89999389648398</v>
      </c>
      <c r="G357" s="2">
        <f t="shared" si="55"/>
        <v>0.2341</v>
      </c>
      <c r="H357" s="2">
        <v>-0.33401998877525302</v>
      </c>
      <c r="I357" s="2">
        <f t="shared" si="56"/>
        <v>5.8000000000000005E-3</v>
      </c>
      <c r="K357" s="2">
        <v>475.79998779296898</v>
      </c>
      <c r="L357" s="2">
        <f t="shared" si="57"/>
        <v>0.38129999999999997</v>
      </c>
      <c r="M357" s="2">
        <v>-2.6480000466108301E-2</v>
      </c>
      <c r="N357" s="2">
        <f t="shared" si="58"/>
        <v>5.8000000000000005E-3</v>
      </c>
    </row>
    <row r="358" spans="1:14" x14ac:dyDescent="0.25">
      <c r="A358" s="2">
        <v>494.39999389648398</v>
      </c>
      <c r="B358" s="2">
        <f t="shared" si="53"/>
        <v>0.39610000000000001</v>
      </c>
      <c r="C358" s="2">
        <v>-1.52899995446205E-2</v>
      </c>
      <c r="D358" s="2">
        <f t="shared" si="54"/>
        <v>5.8000000000000005E-3</v>
      </c>
      <c r="F358" s="2">
        <v>291.89999389648398</v>
      </c>
      <c r="G358" s="2">
        <f t="shared" si="55"/>
        <v>0.2341</v>
      </c>
      <c r="H358" s="2">
        <v>-0.33395001292228699</v>
      </c>
      <c r="I358" s="2">
        <f t="shared" si="56"/>
        <v>5.8000000000000005E-3</v>
      </c>
      <c r="K358" s="2">
        <v>476.79998779296898</v>
      </c>
      <c r="L358" s="2">
        <f t="shared" si="57"/>
        <v>0.3821</v>
      </c>
      <c r="M358" s="2">
        <v>-2.27000005543232E-2</v>
      </c>
      <c r="N358" s="2">
        <f t="shared" si="58"/>
        <v>5.8000000000000005E-3</v>
      </c>
    </row>
    <row r="359" spans="1:14" x14ac:dyDescent="0.25">
      <c r="A359" s="2">
        <v>495.39999389648398</v>
      </c>
      <c r="B359" s="2">
        <f t="shared" si="53"/>
        <v>0.39689999999999998</v>
      </c>
      <c r="C359" s="2">
        <v>-1.11100003123283E-2</v>
      </c>
      <c r="D359" s="2">
        <f t="shared" si="54"/>
        <v>5.8000000000000005E-3</v>
      </c>
      <c r="F359" s="2">
        <v>291.89999389648398</v>
      </c>
      <c r="G359" s="2">
        <f t="shared" si="55"/>
        <v>0.2341</v>
      </c>
      <c r="H359" s="2">
        <v>-0.33395001292228699</v>
      </c>
      <c r="I359" s="2">
        <f t="shared" si="56"/>
        <v>5.8000000000000005E-3</v>
      </c>
      <c r="K359" s="2">
        <v>478.70001220703102</v>
      </c>
      <c r="L359" s="2">
        <f t="shared" si="57"/>
        <v>0.3836</v>
      </c>
      <c r="M359" s="2">
        <v>-1.7079999670386301E-2</v>
      </c>
      <c r="N359" s="2">
        <f t="shared" si="58"/>
        <v>5.8000000000000005E-3</v>
      </c>
    </row>
    <row r="360" spans="1:14" x14ac:dyDescent="0.25">
      <c r="A360" s="2">
        <v>495.39999389648398</v>
      </c>
      <c r="B360" s="2">
        <f t="shared" si="53"/>
        <v>0.39689999999999998</v>
      </c>
      <c r="C360" s="2">
        <v>-1.08899995684624E-2</v>
      </c>
      <c r="D360" s="2">
        <f t="shared" si="54"/>
        <v>5.8000000000000005E-3</v>
      </c>
      <c r="F360" s="2">
        <v>291.89999389648398</v>
      </c>
      <c r="G360" s="2">
        <f t="shared" si="55"/>
        <v>0.2341</v>
      </c>
      <c r="H360" s="2">
        <v>-0.33397001028060902</v>
      </c>
      <c r="I360" s="2">
        <f t="shared" si="56"/>
        <v>5.8000000000000005E-3</v>
      </c>
      <c r="K360" s="2">
        <v>479.29998779296898</v>
      </c>
      <c r="L360" s="2">
        <f t="shared" si="57"/>
        <v>0.3841</v>
      </c>
      <c r="M360" s="2">
        <v>-1.46700004115701E-2</v>
      </c>
      <c r="N360" s="2">
        <f t="shared" si="58"/>
        <v>5.8000000000000005E-3</v>
      </c>
    </row>
    <row r="361" spans="1:14" x14ac:dyDescent="0.25">
      <c r="A361" s="2">
        <v>496.29998779296898</v>
      </c>
      <c r="B361" s="2">
        <f t="shared" si="53"/>
        <v>0.3977</v>
      </c>
      <c r="C361" s="2">
        <v>-6.8299998529255399E-3</v>
      </c>
      <c r="D361" s="2">
        <f t="shared" si="54"/>
        <v>5.8000000000000005E-3</v>
      </c>
      <c r="F361" s="2">
        <v>292.10000610351602</v>
      </c>
      <c r="G361" s="2">
        <f t="shared" si="55"/>
        <v>0.23429999999999998</v>
      </c>
      <c r="H361" s="2">
        <v>-0.33395001292228699</v>
      </c>
      <c r="I361" s="2">
        <f t="shared" si="56"/>
        <v>5.8000000000000005E-3</v>
      </c>
      <c r="K361" s="2">
        <v>479.29998779296898</v>
      </c>
      <c r="L361" s="2">
        <f t="shared" si="57"/>
        <v>0.3841</v>
      </c>
      <c r="M361" s="2">
        <v>-1.2900000438094099E-2</v>
      </c>
      <c r="N361" s="2">
        <f t="shared" si="58"/>
        <v>5.8000000000000005E-3</v>
      </c>
    </row>
    <row r="362" spans="1:14" x14ac:dyDescent="0.25">
      <c r="A362" s="2">
        <v>496.39999389648398</v>
      </c>
      <c r="B362" s="2">
        <f t="shared" si="53"/>
        <v>0.3977</v>
      </c>
      <c r="C362" s="2">
        <v>-5.6400001049041696E-3</v>
      </c>
      <c r="D362" s="2">
        <f t="shared" si="54"/>
        <v>5.8000000000000005E-3</v>
      </c>
      <c r="F362" s="2">
        <v>293.29998779296898</v>
      </c>
      <c r="G362" s="2">
        <f t="shared" si="55"/>
        <v>0.23529999999999998</v>
      </c>
      <c r="H362" s="2">
        <v>-0.33359000086784402</v>
      </c>
      <c r="I362" s="2">
        <f t="shared" si="56"/>
        <v>5.8000000000000005E-3</v>
      </c>
      <c r="K362" s="2">
        <v>480.39999389648398</v>
      </c>
      <c r="L362" s="2">
        <f t="shared" si="57"/>
        <v>0.38489999999999996</v>
      </c>
      <c r="M362" s="2">
        <v>-1.1169999837875399E-2</v>
      </c>
      <c r="N362" s="2">
        <f t="shared" si="58"/>
        <v>5.8000000000000005E-3</v>
      </c>
    </row>
    <row r="363" spans="1:14" x14ac:dyDescent="0.25">
      <c r="A363" s="2">
        <v>497</v>
      </c>
      <c r="B363" s="2">
        <f t="shared" si="53"/>
        <v>0.3982</v>
      </c>
      <c r="C363" s="2">
        <v>-5.7000000961124897E-3</v>
      </c>
      <c r="D363" s="2">
        <f t="shared" si="54"/>
        <v>5.8000000000000005E-3</v>
      </c>
      <c r="F363" s="2">
        <v>294.79998779296898</v>
      </c>
      <c r="G363" s="2">
        <f t="shared" si="55"/>
        <v>0.23649999999999999</v>
      </c>
      <c r="H363" s="2">
        <v>-0.33294001221656799</v>
      </c>
      <c r="I363" s="2">
        <f t="shared" si="56"/>
        <v>5.8000000000000005E-3</v>
      </c>
      <c r="K363" s="2">
        <v>481.39999389648398</v>
      </c>
      <c r="L363" s="2">
        <f t="shared" si="57"/>
        <v>0.38569999999999999</v>
      </c>
      <c r="M363" s="2">
        <v>-7.5599998235702497E-3</v>
      </c>
      <c r="N363" s="2">
        <f t="shared" si="58"/>
        <v>5.8000000000000005E-3</v>
      </c>
    </row>
    <row r="364" spans="1:14" x14ac:dyDescent="0.25">
      <c r="A364" s="2">
        <v>501.29998779296898</v>
      </c>
      <c r="B364" s="2">
        <f t="shared" si="53"/>
        <v>0.4017</v>
      </c>
      <c r="C364" s="2">
        <v>1.47900003939867E-2</v>
      </c>
      <c r="D364" s="2">
        <f t="shared" si="54"/>
        <v>5.8000000000000005E-3</v>
      </c>
      <c r="F364" s="2">
        <v>295.20001220703102</v>
      </c>
      <c r="G364" s="2">
        <f t="shared" si="55"/>
        <v>0.23679999999999998</v>
      </c>
      <c r="H364" s="2">
        <v>-0.33292999863624601</v>
      </c>
      <c r="I364" s="2">
        <f t="shared" si="56"/>
        <v>5.8000000000000005E-3</v>
      </c>
      <c r="K364" s="2">
        <v>482.5</v>
      </c>
      <c r="L364" s="2">
        <f t="shared" si="57"/>
        <v>0.3866</v>
      </c>
      <c r="M364" s="2">
        <v>-3.4900000318884802E-3</v>
      </c>
      <c r="N364" s="2">
        <f t="shared" si="58"/>
        <v>5.8000000000000005E-3</v>
      </c>
    </row>
    <row r="365" spans="1:14" x14ac:dyDescent="0.25">
      <c r="A365" s="2">
        <v>502.29998779296898</v>
      </c>
      <c r="B365" s="2">
        <f t="shared" si="53"/>
        <v>0.40249999999999997</v>
      </c>
      <c r="C365" s="2">
        <v>1.9249999895691899E-2</v>
      </c>
      <c r="D365" s="2">
        <f t="shared" si="54"/>
        <v>5.8000000000000005E-3</v>
      </c>
      <c r="F365" s="2">
        <v>293.70001220703102</v>
      </c>
      <c r="G365" s="2">
        <f t="shared" si="55"/>
        <v>0.23559999999999998</v>
      </c>
      <c r="H365" s="2">
        <v>-0.33342999219894398</v>
      </c>
      <c r="I365" s="2">
        <f t="shared" si="56"/>
        <v>5.8000000000000005E-3</v>
      </c>
      <c r="K365" s="2">
        <v>483.60000610351602</v>
      </c>
      <c r="L365" s="2">
        <f t="shared" si="57"/>
        <v>0.38750000000000001</v>
      </c>
      <c r="M365" s="2">
        <v>4.29999985499308E-4</v>
      </c>
      <c r="N365" s="2">
        <f t="shared" si="58"/>
        <v>5.8000000000000005E-3</v>
      </c>
    </row>
    <row r="366" spans="1:14" x14ac:dyDescent="0.25">
      <c r="A366" s="2">
        <v>502.39999389648398</v>
      </c>
      <c r="B366" s="2">
        <f t="shared" si="53"/>
        <v>0.40249999999999997</v>
      </c>
      <c r="C366" s="2">
        <v>1.9959999248385402E-2</v>
      </c>
      <c r="D366" s="2">
        <f t="shared" si="54"/>
        <v>5.8000000000000005E-3</v>
      </c>
      <c r="F366" s="2">
        <v>293.60000610351602</v>
      </c>
      <c r="G366" s="2">
        <f t="shared" si="55"/>
        <v>0.23549999999999999</v>
      </c>
      <c r="H366" s="2">
        <v>-0.33344000577926602</v>
      </c>
      <c r="I366" s="2">
        <f t="shared" si="56"/>
        <v>5.8000000000000005E-3</v>
      </c>
      <c r="K366" s="2">
        <v>484.70001220703102</v>
      </c>
      <c r="L366" s="2">
        <f t="shared" si="57"/>
        <v>0.38839999999999997</v>
      </c>
      <c r="M366" s="2">
        <v>4.3100002221763099E-3</v>
      </c>
      <c r="N366" s="2">
        <f t="shared" si="58"/>
        <v>5.8000000000000005E-3</v>
      </c>
    </row>
    <row r="367" spans="1:14" x14ac:dyDescent="0.25">
      <c r="A367" s="2">
        <v>503.10000610351602</v>
      </c>
      <c r="B367" s="2">
        <f t="shared" si="53"/>
        <v>0.40310000000000001</v>
      </c>
      <c r="C367" s="2">
        <v>2.2479999810457198E-2</v>
      </c>
      <c r="D367" s="2">
        <f t="shared" si="54"/>
        <v>5.8000000000000005E-3</v>
      </c>
      <c r="F367" s="2">
        <v>293.60000610351602</v>
      </c>
      <c r="G367" s="2">
        <f t="shared" si="55"/>
        <v>0.23549999999999999</v>
      </c>
      <c r="H367" s="2">
        <v>-0.33344998955726601</v>
      </c>
      <c r="I367" s="2">
        <f t="shared" si="56"/>
        <v>5.8000000000000005E-3</v>
      </c>
      <c r="K367" s="2">
        <v>485.60000610351602</v>
      </c>
      <c r="L367" s="2">
        <f t="shared" si="57"/>
        <v>0.3891</v>
      </c>
      <c r="M367" s="2">
        <v>8.6000002920627594E-3</v>
      </c>
      <c r="N367" s="2">
        <f t="shared" si="58"/>
        <v>5.8000000000000005E-3</v>
      </c>
    </row>
    <row r="368" spans="1:14" x14ac:dyDescent="0.25">
      <c r="A368" s="2">
        <v>503.29998779296898</v>
      </c>
      <c r="B368" s="2">
        <f t="shared" si="53"/>
        <v>0.40329999999999999</v>
      </c>
      <c r="C368" s="2">
        <v>2.36300006508827E-2</v>
      </c>
      <c r="D368" s="2">
        <f t="shared" si="54"/>
        <v>5.8000000000000005E-3</v>
      </c>
      <c r="F368" s="2">
        <v>293.60000610351602</v>
      </c>
      <c r="G368" s="2">
        <f t="shared" si="55"/>
        <v>0.23549999999999999</v>
      </c>
      <c r="H368" s="2">
        <v>-0.333460003137589</v>
      </c>
      <c r="I368" s="2">
        <f t="shared" si="56"/>
        <v>5.8000000000000005E-3</v>
      </c>
      <c r="K368" s="2">
        <v>486.20001220703102</v>
      </c>
      <c r="L368" s="2">
        <f t="shared" si="57"/>
        <v>0.3896</v>
      </c>
      <c r="M368" s="2">
        <v>1.0830000042915299E-2</v>
      </c>
      <c r="N368" s="2">
        <f t="shared" si="58"/>
        <v>5.8000000000000005E-3</v>
      </c>
    </row>
    <row r="369" spans="1:14" x14ac:dyDescent="0.25">
      <c r="A369" s="2">
        <v>504</v>
      </c>
      <c r="B369" s="2">
        <f t="shared" si="53"/>
        <v>0.40379999999999999</v>
      </c>
      <c r="C369" s="2">
        <v>2.7930000796914101E-2</v>
      </c>
      <c r="D369" s="2">
        <f t="shared" si="54"/>
        <v>5.8000000000000005E-3</v>
      </c>
      <c r="F369" s="2">
        <v>293.89999389648398</v>
      </c>
      <c r="G369" s="2">
        <f t="shared" si="55"/>
        <v>0.23569999999999999</v>
      </c>
      <c r="H369" s="2">
        <v>-0.33344000577926602</v>
      </c>
      <c r="I369" s="2">
        <f t="shared" si="56"/>
        <v>5.8000000000000005E-3</v>
      </c>
      <c r="K369" s="2">
        <v>486.89999389648398</v>
      </c>
      <c r="L369" s="2">
        <f t="shared" si="57"/>
        <v>0.3901</v>
      </c>
      <c r="M369" s="2">
        <v>1.22899999842048E-2</v>
      </c>
      <c r="N369" s="2">
        <f t="shared" si="58"/>
        <v>5.8000000000000005E-3</v>
      </c>
    </row>
    <row r="370" spans="1:14" x14ac:dyDescent="0.25">
      <c r="A370" s="2">
        <v>504.20001220703102</v>
      </c>
      <c r="B370" s="2">
        <f t="shared" si="53"/>
        <v>0.40399999999999997</v>
      </c>
      <c r="C370" s="2">
        <v>2.79699992388487E-2</v>
      </c>
      <c r="D370" s="2">
        <f t="shared" si="54"/>
        <v>5.8000000000000005E-3</v>
      </c>
      <c r="F370" s="2">
        <v>293.89999389648398</v>
      </c>
      <c r="G370" s="2">
        <f t="shared" si="55"/>
        <v>0.23569999999999999</v>
      </c>
      <c r="H370" s="2">
        <v>-0.33338999748230003</v>
      </c>
      <c r="I370" s="2">
        <f t="shared" si="56"/>
        <v>5.8000000000000005E-3</v>
      </c>
      <c r="K370" s="2">
        <v>487</v>
      </c>
      <c r="L370" s="2">
        <f t="shared" si="57"/>
        <v>0.39019999999999999</v>
      </c>
      <c r="M370" s="2">
        <v>1.22999995946884E-2</v>
      </c>
      <c r="N370" s="2">
        <f t="shared" si="58"/>
        <v>5.8000000000000005E-3</v>
      </c>
    </row>
    <row r="371" spans="1:14" x14ac:dyDescent="0.25">
      <c r="A371" s="2">
        <v>504.10000610351602</v>
      </c>
      <c r="B371" s="2">
        <f t="shared" si="53"/>
        <v>0.40389999999999998</v>
      </c>
      <c r="C371" s="2">
        <v>2.80099995434284E-2</v>
      </c>
      <c r="D371" s="2">
        <f t="shared" si="54"/>
        <v>5.8000000000000005E-3</v>
      </c>
      <c r="F371" s="2">
        <v>293.70001220703102</v>
      </c>
      <c r="G371" s="2">
        <f t="shared" si="55"/>
        <v>0.23559999999999998</v>
      </c>
      <c r="H371" s="2">
        <v>-0.33335998654365501</v>
      </c>
      <c r="I371" s="2">
        <f t="shared" si="56"/>
        <v>5.8000000000000005E-3</v>
      </c>
      <c r="K371" s="2">
        <v>489.10000610351602</v>
      </c>
      <c r="L371" s="2">
        <f t="shared" si="57"/>
        <v>0.39189999999999997</v>
      </c>
      <c r="M371" s="2">
        <v>2.01200004667044E-2</v>
      </c>
      <c r="N371" s="2">
        <f t="shared" si="58"/>
        <v>5.8000000000000005E-3</v>
      </c>
    </row>
    <row r="372" spans="1:14" x14ac:dyDescent="0.25">
      <c r="A372" s="2">
        <v>504</v>
      </c>
      <c r="B372" s="2">
        <f t="shared" si="53"/>
        <v>0.40379999999999999</v>
      </c>
      <c r="C372" s="2">
        <v>3.24199981987476E-2</v>
      </c>
      <c r="D372" s="2">
        <f t="shared" si="54"/>
        <v>5.8000000000000005E-3</v>
      </c>
      <c r="F372" s="2">
        <v>294.5</v>
      </c>
      <c r="G372" s="2">
        <f t="shared" si="55"/>
        <v>0.23619999999999999</v>
      </c>
      <c r="H372" s="2">
        <v>-0.33335000276565602</v>
      </c>
      <c r="I372" s="2">
        <f t="shared" si="56"/>
        <v>5.8000000000000005E-3</v>
      </c>
      <c r="K372" s="2">
        <v>490.20001220703102</v>
      </c>
      <c r="L372" s="2">
        <f t="shared" si="57"/>
        <v>0.39279999999999998</v>
      </c>
      <c r="M372" s="2">
        <v>2.43500005453825E-2</v>
      </c>
      <c r="N372" s="2">
        <f t="shared" si="58"/>
        <v>5.8000000000000005E-3</v>
      </c>
    </row>
    <row r="373" spans="1:14" x14ac:dyDescent="0.25">
      <c r="A373" s="2">
        <v>505.20001220703102</v>
      </c>
      <c r="B373" s="2">
        <f t="shared" si="53"/>
        <v>0.40479999999999999</v>
      </c>
      <c r="C373" s="2">
        <v>3.2430000603198998E-2</v>
      </c>
      <c r="D373" s="2">
        <f t="shared" si="54"/>
        <v>5.8000000000000005E-3</v>
      </c>
      <c r="F373" s="2">
        <v>295.29998779296898</v>
      </c>
      <c r="G373" s="2">
        <f t="shared" si="55"/>
        <v>0.2369</v>
      </c>
      <c r="H373" s="2">
        <v>-0.33294999599456798</v>
      </c>
      <c r="I373" s="2">
        <f t="shared" si="56"/>
        <v>5.8000000000000005E-3</v>
      </c>
      <c r="K373" s="2">
        <v>490.29998779296898</v>
      </c>
      <c r="L373" s="2">
        <f t="shared" si="57"/>
        <v>0.39289999999999997</v>
      </c>
      <c r="M373" s="2">
        <v>2.4609999731183101E-2</v>
      </c>
      <c r="N373" s="2">
        <f t="shared" si="58"/>
        <v>5.8000000000000005E-3</v>
      </c>
    </row>
    <row r="374" spans="1:14" x14ac:dyDescent="0.25">
      <c r="A374" s="2">
        <v>508</v>
      </c>
      <c r="B374" s="2">
        <f t="shared" si="53"/>
        <v>0.40699999999999997</v>
      </c>
      <c r="C374" s="2">
        <v>4.57499995827675E-2</v>
      </c>
      <c r="D374" s="2">
        <f t="shared" si="54"/>
        <v>5.8000000000000005E-3</v>
      </c>
      <c r="F374" s="2">
        <v>295.29998779296898</v>
      </c>
      <c r="G374" s="2">
        <f t="shared" si="55"/>
        <v>0.2369</v>
      </c>
      <c r="H374" s="2">
        <v>-0.33292999863624601</v>
      </c>
      <c r="I374" s="2">
        <f t="shared" si="56"/>
        <v>5.8000000000000005E-3</v>
      </c>
      <c r="K374" s="2">
        <v>490.29998779296898</v>
      </c>
      <c r="L374" s="2">
        <f t="shared" si="57"/>
        <v>0.39289999999999997</v>
      </c>
      <c r="M374" s="2">
        <v>2.4870000779628799E-2</v>
      </c>
      <c r="N374" s="2">
        <f t="shared" si="58"/>
        <v>5.8000000000000005E-3</v>
      </c>
    </row>
    <row r="375" spans="1:14" x14ac:dyDescent="0.25">
      <c r="A375" s="2">
        <v>508.10000610351602</v>
      </c>
      <c r="B375" s="2">
        <f t="shared" si="53"/>
        <v>0.40709999999999996</v>
      </c>
      <c r="C375" s="2">
        <v>4.57499995827675E-2</v>
      </c>
      <c r="D375" s="2">
        <f t="shared" si="54"/>
        <v>5.8000000000000005E-3</v>
      </c>
      <c r="F375" s="2">
        <v>296.89999389648398</v>
      </c>
      <c r="G375" s="2">
        <f t="shared" si="55"/>
        <v>0.23809999999999998</v>
      </c>
      <c r="H375" s="2">
        <v>-0.33237999677658098</v>
      </c>
      <c r="I375" s="2">
        <f t="shared" si="56"/>
        <v>5.8000000000000005E-3</v>
      </c>
      <c r="K375" s="2">
        <v>491.70001220703102</v>
      </c>
      <c r="L375" s="2">
        <f t="shared" si="57"/>
        <v>0.39399999999999996</v>
      </c>
      <c r="M375" s="2">
        <v>2.9850000515580202E-2</v>
      </c>
      <c r="N375" s="2">
        <f t="shared" si="58"/>
        <v>5.8000000000000005E-3</v>
      </c>
    </row>
    <row r="376" spans="1:14" x14ac:dyDescent="0.25">
      <c r="A376" s="2">
        <v>508.60000610351602</v>
      </c>
      <c r="B376" s="2">
        <f t="shared" si="53"/>
        <v>0.40749999999999997</v>
      </c>
      <c r="C376" s="2">
        <v>5.0020001828670502E-2</v>
      </c>
      <c r="D376" s="2">
        <f t="shared" si="54"/>
        <v>5.8000000000000005E-3</v>
      </c>
      <c r="F376" s="2">
        <v>296.79998779296898</v>
      </c>
      <c r="G376" s="2">
        <f t="shared" si="55"/>
        <v>0.23809999999999998</v>
      </c>
      <c r="H376" s="2">
        <v>-0.33239999413490301</v>
      </c>
      <c r="I376" s="2">
        <f t="shared" si="56"/>
        <v>5.8000000000000005E-3</v>
      </c>
      <c r="K376" s="2">
        <v>492.29998779296898</v>
      </c>
      <c r="L376" s="2">
        <f t="shared" si="57"/>
        <v>0.39449999999999996</v>
      </c>
      <c r="M376" s="2">
        <v>3.23899984359741E-2</v>
      </c>
      <c r="N376" s="2">
        <f t="shared" si="58"/>
        <v>5.8000000000000005E-3</v>
      </c>
    </row>
    <row r="377" spans="1:14" x14ac:dyDescent="0.25">
      <c r="A377" s="2">
        <v>508.79998779296898</v>
      </c>
      <c r="B377" s="2">
        <f t="shared" si="53"/>
        <v>0.40770000000000001</v>
      </c>
      <c r="C377" s="2">
        <v>5.0200000405311598E-2</v>
      </c>
      <c r="D377" s="2">
        <f t="shared" si="54"/>
        <v>5.8000000000000005E-3</v>
      </c>
      <c r="F377" s="2">
        <v>298.79998779296898</v>
      </c>
      <c r="G377" s="2">
        <f t="shared" si="55"/>
        <v>0.2397</v>
      </c>
      <c r="H377" s="2">
        <v>-0.33180999755859403</v>
      </c>
      <c r="I377" s="2">
        <f t="shared" si="56"/>
        <v>5.8000000000000005E-3</v>
      </c>
      <c r="K377" s="2">
        <v>496.70001220703102</v>
      </c>
      <c r="L377" s="2">
        <f t="shared" si="57"/>
        <v>0.39799999999999996</v>
      </c>
      <c r="M377" s="2">
        <v>5.2710000425577198E-2</v>
      </c>
      <c r="N377" s="2">
        <f t="shared" si="58"/>
        <v>5.8000000000000005E-3</v>
      </c>
    </row>
    <row r="378" spans="1:14" x14ac:dyDescent="0.25">
      <c r="A378" s="2">
        <v>508.60000610351602</v>
      </c>
      <c r="B378" s="2">
        <f t="shared" si="53"/>
        <v>0.40749999999999997</v>
      </c>
      <c r="C378" s="2">
        <v>5.0209999084472698E-2</v>
      </c>
      <c r="D378" s="2">
        <f t="shared" si="54"/>
        <v>5.8000000000000005E-3</v>
      </c>
      <c r="F378" s="2">
        <v>300.29998779296898</v>
      </c>
      <c r="G378" s="2">
        <f t="shared" si="55"/>
        <v>0.24089999999999998</v>
      </c>
      <c r="H378" s="2">
        <v>-0.33129000663757302</v>
      </c>
      <c r="I378" s="2">
        <f t="shared" si="56"/>
        <v>5.8000000000000005E-3</v>
      </c>
      <c r="K378" s="2">
        <v>500.10000610351602</v>
      </c>
      <c r="L378" s="2">
        <f t="shared" si="57"/>
        <v>0.4007</v>
      </c>
      <c r="M378" s="2">
        <v>6.3560001552105005E-2</v>
      </c>
      <c r="N378" s="2">
        <f t="shared" si="58"/>
        <v>5.8000000000000005E-3</v>
      </c>
    </row>
    <row r="379" spans="1:14" x14ac:dyDescent="0.25">
      <c r="A379" s="2">
        <v>508.89999389648398</v>
      </c>
      <c r="B379" s="2">
        <f t="shared" si="53"/>
        <v>0.40770000000000001</v>
      </c>
      <c r="C379" s="2">
        <v>5.0220001488923999E-2</v>
      </c>
      <c r="D379" s="2">
        <f t="shared" si="54"/>
        <v>5.8000000000000005E-3</v>
      </c>
      <c r="F379" s="2">
        <v>302.39999389648398</v>
      </c>
      <c r="G379" s="2">
        <f t="shared" si="55"/>
        <v>0.24249999999999999</v>
      </c>
      <c r="H379" s="2">
        <v>-0.33065000176429699</v>
      </c>
      <c r="I379" s="2">
        <f t="shared" si="56"/>
        <v>5.8000000000000005E-3</v>
      </c>
      <c r="K379" s="2">
        <v>500.10000610351602</v>
      </c>
      <c r="L379" s="2">
        <f t="shared" si="57"/>
        <v>0.4007</v>
      </c>
      <c r="M379" s="2">
        <v>6.3550002872943906E-2</v>
      </c>
      <c r="N379" s="2">
        <f t="shared" si="58"/>
        <v>5.8000000000000005E-3</v>
      </c>
    </row>
    <row r="380" spans="1:14" x14ac:dyDescent="0.25">
      <c r="A380" s="2">
        <v>508.29998779296898</v>
      </c>
      <c r="B380" s="2">
        <f t="shared" si="53"/>
        <v>0.4073</v>
      </c>
      <c r="C380" s="2">
        <v>5.4620001465082203E-2</v>
      </c>
      <c r="D380" s="2">
        <f t="shared" si="54"/>
        <v>5.8000000000000005E-3</v>
      </c>
      <c r="F380" s="2">
        <v>304.89999389648398</v>
      </c>
      <c r="G380" s="2">
        <f t="shared" si="55"/>
        <v>0.2445</v>
      </c>
      <c r="H380" s="2">
        <v>-0.329679995775223</v>
      </c>
      <c r="I380" s="2">
        <f t="shared" si="56"/>
        <v>5.8000000000000005E-3</v>
      </c>
      <c r="K380" s="2">
        <v>500.10000610351602</v>
      </c>
      <c r="L380" s="2">
        <f t="shared" si="57"/>
        <v>0.4007</v>
      </c>
      <c r="M380" s="2">
        <v>6.3539996743202196E-2</v>
      </c>
      <c r="N380" s="2">
        <f t="shared" si="58"/>
        <v>5.8000000000000005E-3</v>
      </c>
    </row>
    <row r="381" spans="1:14" x14ac:dyDescent="0.25">
      <c r="A381" s="2">
        <v>509.79998779296898</v>
      </c>
      <c r="B381" s="2">
        <f t="shared" si="53"/>
        <v>0.40849999999999997</v>
      </c>
      <c r="C381" s="2">
        <v>5.4639998823404298E-2</v>
      </c>
      <c r="D381" s="2">
        <f t="shared" si="54"/>
        <v>5.8000000000000005E-3</v>
      </c>
      <c r="F381" s="2">
        <v>315</v>
      </c>
      <c r="G381" s="2">
        <f t="shared" si="55"/>
        <v>0.25259999999999999</v>
      </c>
      <c r="H381" s="2">
        <v>-0.325230002403259</v>
      </c>
      <c r="I381" s="2">
        <f t="shared" si="56"/>
        <v>5.8000000000000005E-3</v>
      </c>
    </row>
    <row r="382" spans="1:14" x14ac:dyDescent="0.25">
      <c r="A382" s="2">
        <v>509.70001220703102</v>
      </c>
      <c r="B382" s="2">
        <f t="shared" si="53"/>
        <v>0.40839999999999999</v>
      </c>
      <c r="C382" s="2">
        <v>5.6099999696016298E-2</v>
      </c>
      <c r="D382" s="2">
        <f t="shared" si="54"/>
        <v>5.8000000000000005E-3</v>
      </c>
      <c r="F382" s="2">
        <v>319.60000610351602</v>
      </c>
      <c r="G382" s="2">
        <f t="shared" si="55"/>
        <v>0.25629999999999997</v>
      </c>
      <c r="H382" s="2">
        <v>-0.32352998852729797</v>
      </c>
      <c r="I382" s="2">
        <f t="shared" si="56"/>
        <v>5.8000000000000005E-3</v>
      </c>
    </row>
    <row r="383" spans="1:14" x14ac:dyDescent="0.25">
      <c r="A383" s="2">
        <v>510</v>
      </c>
      <c r="B383" s="2">
        <f t="shared" si="53"/>
        <v>0.40859999999999996</v>
      </c>
      <c r="C383" s="2">
        <v>5.6549999862909303E-2</v>
      </c>
      <c r="D383" s="2">
        <f t="shared" si="54"/>
        <v>5.8000000000000005E-3</v>
      </c>
      <c r="F383" s="2">
        <v>320.10000610351602</v>
      </c>
      <c r="G383" s="2">
        <f t="shared" si="55"/>
        <v>0.25669999999999998</v>
      </c>
      <c r="H383" s="2">
        <v>-0.32328000664710999</v>
      </c>
      <c r="I383" s="2">
        <f t="shared" si="56"/>
        <v>5.8000000000000005E-3</v>
      </c>
    </row>
    <row r="384" spans="1:14" x14ac:dyDescent="0.25">
      <c r="A384" s="2">
        <v>509.89999389648398</v>
      </c>
      <c r="B384" s="2">
        <f t="shared" si="53"/>
        <v>0.40849999999999997</v>
      </c>
      <c r="C384" s="2">
        <v>5.5690001696348197E-2</v>
      </c>
      <c r="D384" s="2">
        <f t="shared" si="54"/>
        <v>5.8000000000000005E-3</v>
      </c>
      <c r="F384" s="2">
        <v>323.29998779296898</v>
      </c>
      <c r="G384" s="2">
        <f t="shared" si="55"/>
        <v>0.25929999999999997</v>
      </c>
      <c r="H384" s="2">
        <v>-0.32168000936508201</v>
      </c>
      <c r="I384" s="2">
        <f t="shared" si="56"/>
        <v>5.8000000000000005E-3</v>
      </c>
    </row>
    <row r="385" spans="1:9" x14ac:dyDescent="0.25">
      <c r="A385" s="2">
        <v>511.60000610351602</v>
      </c>
      <c r="B385" s="2">
        <f t="shared" si="53"/>
        <v>0.40989999999999999</v>
      </c>
      <c r="C385" s="2">
        <v>6.3600003719329806E-2</v>
      </c>
      <c r="D385" s="2">
        <f t="shared" si="54"/>
        <v>5.8000000000000005E-3</v>
      </c>
      <c r="F385" s="2">
        <v>323.60000610351602</v>
      </c>
      <c r="G385" s="2">
        <f t="shared" si="55"/>
        <v>0.25950000000000001</v>
      </c>
      <c r="H385" s="2">
        <v>-0.32164999842643699</v>
      </c>
      <c r="I385" s="2">
        <f t="shared" si="56"/>
        <v>5.8000000000000005E-3</v>
      </c>
    </row>
    <row r="386" spans="1:9" x14ac:dyDescent="0.25">
      <c r="A386" s="2">
        <v>511.60000610351602</v>
      </c>
      <c r="B386" s="2">
        <f t="shared" si="53"/>
        <v>0.40989999999999999</v>
      </c>
      <c r="C386" s="2">
        <v>6.3600003719329806E-2</v>
      </c>
      <c r="D386" s="2">
        <f t="shared" si="54"/>
        <v>5.8000000000000005E-3</v>
      </c>
      <c r="F386" s="2">
        <v>325.89999389648398</v>
      </c>
      <c r="G386" s="2">
        <f t="shared" si="55"/>
        <v>0.26129999999999998</v>
      </c>
      <c r="H386" s="2">
        <v>-0.31977999210357699</v>
      </c>
      <c r="I386" s="2">
        <f t="shared" si="56"/>
        <v>5.8000000000000005E-3</v>
      </c>
    </row>
    <row r="387" spans="1:9" x14ac:dyDescent="0.25">
      <c r="A387" s="2">
        <v>511.60000610351602</v>
      </c>
      <c r="B387" s="2">
        <f t="shared" si="53"/>
        <v>0.40989999999999999</v>
      </c>
      <c r="C387" s="2">
        <v>6.3600003719329806E-2</v>
      </c>
      <c r="D387" s="2">
        <f t="shared" si="54"/>
        <v>5.8000000000000005E-3</v>
      </c>
      <c r="F387" s="2">
        <v>328.89999389648398</v>
      </c>
      <c r="G387" s="2">
        <f t="shared" si="55"/>
        <v>0.26369999999999999</v>
      </c>
      <c r="H387" s="2">
        <v>-0.31777000427246099</v>
      </c>
      <c r="I387" s="2">
        <f t="shared" si="56"/>
        <v>5.8000000000000005E-3</v>
      </c>
    </row>
    <row r="388" spans="1:9" x14ac:dyDescent="0.25">
      <c r="A388" s="2">
        <v>511.39999389648398</v>
      </c>
      <c r="B388" s="2">
        <f t="shared" si="53"/>
        <v>0.40970000000000001</v>
      </c>
      <c r="C388" s="2">
        <v>6.3589997589588207E-2</v>
      </c>
      <c r="D388" s="2">
        <f t="shared" si="54"/>
        <v>5.8000000000000005E-3</v>
      </c>
      <c r="F388" s="2">
        <v>338.89999389648398</v>
      </c>
      <c r="G388" s="2">
        <f t="shared" si="55"/>
        <v>0.2717</v>
      </c>
      <c r="H388" s="2">
        <v>-0.31286999583244302</v>
      </c>
      <c r="I388" s="2">
        <f t="shared" si="56"/>
        <v>5.8000000000000005E-3</v>
      </c>
    </row>
    <row r="389" spans="1:9" x14ac:dyDescent="0.25">
      <c r="F389" s="2">
        <v>348.60000610351602</v>
      </c>
      <c r="G389" s="2">
        <f t="shared" si="55"/>
        <v>0.27949999999999997</v>
      </c>
      <c r="H389" s="2">
        <v>-0.30627000331878701</v>
      </c>
      <c r="I389" s="2">
        <f t="shared" si="56"/>
        <v>5.8000000000000005E-3</v>
      </c>
    </row>
    <row r="390" spans="1:9" x14ac:dyDescent="0.25">
      <c r="F390" s="2">
        <v>349</v>
      </c>
      <c r="G390" s="2">
        <f t="shared" si="55"/>
        <v>0.27979999999999999</v>
      </c>
      <c r="H390" s="2">
        <v>-0.3057000041008</v>
      </c>
      <c r="I390" s="2">
        <f t="shared" si="56"/>
        <v>5.8000000000000005E-3</v>
      </c>
    </row>
    <row r="391" spans="1:9" x14ac:dyDescent="0.25">
      <c r="F391" s="2">
        <v>353.79998779296898</v>
      </c>
      <c r="G391" s="2">
        <f t="shared" si="55"/>
        <v>0.28370000000000001</v>
      </c>
      <c r="H391" s="2">
        <v>-0.30199998617172202</v>
      </c>
      <c r="I391" s="2">
        <f t="shared" si="56"/>
        <v>5.8000000000000005E-3</v>
      </c>
    </row>
    <row r="392" spans="1:9" x14ac:dyDescent="0.25">
      <c r="F392" s="2">
        <v>357.10000610351602</v>
      </c>
      <c r="G392" s="2">
        <f t="shared" si="55"/>
        <v>0.2863</v>
      </c>
      <c r="H392" s="2">
        <v>-0.29859000444412198</v>
      </c>
      <c r="I392" s="2">
        <f t="shared" si="56"/>
        <v>5.8000000000000005E-3</v>
      </c>
    </row>
    <row r="393" spans="1:9" x14ac:dyDescent="0.25">
      <c r="F393" s="2">
        <v>358.60000610351602</v>
      </c>
      <c r="G393" s="2">
        <f t="shared" si="55"/>
        <v>0.28749999999999998</v>
      </c>
      <c r="H393" s="2">
        <v>-0.29787001013755798</v>
      </c>
      <c r="I393" s="2">
        <f t="shared" si="56"/>
        <v>5.8000000000000005E-3</v>
      </c>
    </row>
    <row r="394" spans="1:9" x14ac:dyDescent="0.25">
      <c r="F394" s="2">
        <v>360.39999389648398</v>
      </c>
      <c r="G394" s="2">
        <f t="shared" si="55"/>
        <v>0.28889999999999999</v>
      </c>
      <c r="H394" s="2">
        <v>-0.29644998908042902</v>
      </c>
      <c r="I394" s="2">
        <f t="shared" si="56"/>
        <v>5.8000000000000005E-3</v>
      </c>
    </row>
    <row r="395" spans="1:9" x14ac:dyDescent="0.25">
      <c r="F395" s="2">
        <v>361.60000610351602</v>
      </c>
      <c r="G395" s="2">
        <f t="shared" si="55"/>
        <v>0.28989999999999999</v>
      </c>
      <c r="H395" s="2">
        <v>-0.29515999555587802</v>
      </c>
      <c r="I395" s="2">
        <f t="shared" si="56"/>
        <v>5.8000000000000005E-3</v>
      </c>
    </row>
    <row r="396" spans="1:9" x14ac:dyDescent="0.25">
      <c r="F396" s="2">
        <v>366.20001220703102</v>
      </c>
      <c r="G396" s="2">
        <f t="shared" si="55"/>
        <v>0.29359999999999997</v>
      </c>
      <c r="H396" s="2">
        <v>-0.290729999542236</v>
      </c>
      <c r="I396" s="2">
        <f t="shared" si="56"/>
        <v>5.8000000000000005E-3</v>
      </c>
    </row>
    <row r="397" spans="1:9" x14ac:dyDescent="0.25">
      <c r="F397" s="2">
        <v>368.70001220703102</v>
      </c>
      <c r="G397" s="2">
        <f t="shared" si="55"/>
        <v>0.29559999999999997</v>
      </c>
      <c r="H397" s="2">
        <v>-0.28830000758171098</v>
      </c>
      <c r="I397" s="2">
        <f t="shared" si="56"/>
        <v>5.8000000000000005E-3</v>
      </c>
    </row>
    <row r="398" spans="1:9" x14ac:dyDescent="0.25">
      <c r="F398" s="2">
        <v>371.20001220703102</v>
      </c>
      <c r="G398" s="2">
        <f t="shared" si="55"/>
        <v>0.29759999999999998</v>
      </c>
      <c r="H398" s="2">
        <v>-0.28573998808860801</v>
      </c>
      <c r="I398" s="2">
        <f t="shared" si="56"/>
        <v>5.8000000000000005E-3</v>
      </c>
    </row>
    <row r="399" spans="1:9" x14ac:dyDescent="0.25">
      <c r="F399" s="2">
        <v>371.20001220703102</v>
      </c>
      <c r="G399" s="2">
        <f t="shared" si="55"/>
        <v>0.29759999999999998</v>
      </c>
      <c r="H399" s="2">
        <v>-0.28573000431060802</v>
      </c>
      <c r="I399" s="2">
        <f t="shared" si="56"/>
        <v>5.8000000000000005E-3</v>
      </c>
    </row>
    <row r="400" spans="1:9" x14ac:dyDescent="0.25">
      <c r="F400" s="2">
        <v>372.20001220703102</v>
      </c>
      <c r="G400" s="2">
        <f t="shared" si="55"/>
        <v>0.2984</v>
      </c>
      <c r="H400" s="2">
        <v>-0.28453999757766701</v>
      </c>
      <c r="I400" s="2">
        <f t="shared" si="56"/>
        <v>5.8000000000000005E-3</v>
      </c>
    </row>
    <row r="401" spans="6:9" x14ac:dyDescent="0.25">
      <c r="F401" s="2">
        <v>371.89999389648398</v>
      </c>
      <c r="G401" s="2">
        <f t="shared" si="55"/>
        <v>0.29809999999999998</v>
      </c>
      <c r="H401" s="2">
        <v>-0.28396001458168002</v>
      </c>
      <c r="I401" s="2">
        <f t="shared" si="56"/>
        <v>5.8000000000000005E-3</v>
      </c>
    </row>
    <row r="402" spans="6:9" x14ac:dyDescent="0.25">
      <c r="F402" s="2">
        <v>372.39999389648398</v>
      </c>
      <c r="G402" s="2">
        <f t="shared" si="55"/>
        <v>0.29849999999999999</v>
      </c>
      <c r="H402" s="2">
        <v>-0.28420999646186801</v>
      </c>
      <c r="I402" s="2">
        <f t="shared" si="56"/>
        <v>5.8000000000000005E-3</v>
      </c>
    </row>
    <row r="403" spans="6:9" x14ac:dyDescent="0.25">
      <c r="F403" s="2">
        <v>374.89999389648398</v>
      </c>
      <c r="G403" s="2">
        <f t="shared" si="55"/>
        <v>0.30049999999999999</v>
      </c>
      <c r="H403" s="2">
        <v>-0.28134000301361101</v>
      </c>
      <c r="I403" s="2">
        <f t="shared" si="56"/>
        <v>5.8000000000000005E-3</v>
      </c>
    </row>
    <row r="404" spans="6:9" x14ac:dyDescent="0.25">
      <c r="F404" s="2">
        <v>376.60000610351602</v>
      </c>
      <c r="G404" s="2">
        <f t="shared" si="55"/>
        <v>0.3019</v>
      </c>
      <c r="H404" s="2">
        <v>-0.27959001064300498</v>
      </c>
      <c r="I404" s="2">
        <f t="shared" si="56"/>
        <v>5.8000000000000005E-3</v>
      </c>
    </row>
    <row r="405" spans="6:9" x14ac:dyDescent="0.25">
      <c r="F405" s="2">
        <v>384.79998779296898</v>
      </c>
      <c r="G405" s="2">
        <f t="shared" si="55"/>
        <v>0.3085</v>
      </c>
      <c r="H405" s="2">
        <v>-0.269430011510849</v>
      </c>
      <c r="I405" s="2">
        <f t="shared" si="56"/>
        <v>5.8000000000000005E-3</v>
      </c>
    </row>
    <row r="406" spans="6:9" x14ac:dyDescent="0.25">
      <c r="F406" s="2">
        <v>388.10000610351602</v>
      </c>
      <c r="G406" s="2">
        <f t="shared" si="55"/>
        <v>0.31109999999999999</v>
      </c>
      <c r="H406" s="2">
        <v>-0.26475998759269698</v>
      </c>
      <c r="I406" s="2">
        <f t="shared" si="56"/>
        <v>5.8000000000000005E-3</v>
      </c>
    </row>
    <row r="407" spans="6:9" x14ac:dyDescent="0.25">
      <c r="F407" s="2">
        <v>389.79998779296898</v>
      </c>
      <c r="G407" s="2">
        <f t="shared" si="55"/>
        <v>0.3125</v>
      </c>
      <c r="H407" s="2">
        <v>-0.262490004301071</v>
      </c>
      <c r="I407" s="2">
        <f t="shared" si="56"/>
        <v>5.8000000000000005E-3</v>
      </c>
    </row>
    <row r="408" spans="6:9" x14ac:dyDescent="0.25">
      <c r="F408" s="2">
        <v>391.10000610351602</v>
      </c>
      <c r="G408" s="2">
        <f t="shared" si="55"/>
        <v>0.3135</v>
      </c>
      <c r="H408" s="2">
        <v>-0.26036000251769997</v>
      </c>
      <c r="I408" s="2">
        <f t="shared" si="56"/>
        <v>5.8000000000000005E-3</v>
      </c>
    </row>
    <row r="409" spans="6:9" x14ac:dyDescent="0.25">
      <c r="F409" s="2">
        <v>392.79998779296898</v>
      </c>
      <c r="G409" s="2">
        <f t="shared" si="55"/>
        <v>0.31490000000000001</v>
      </c>
      <c r="H409" s="2">
        <v>-0.25821998715400701</v>
      </c>
      <c r="I409" s="2">
        <f t="shared" si="56"/>
        <v>5.8000000000000005E-3</v>
      </c>
    </row>
    <row r="410" spans="6:9" x14ac:dyDescent="0.25">
      <c r="F410" s="2">
        <v>394.10000610351602</v>
      </c>
      <c r="G410" s="2">
        <f t="shared" si="55"/>
        <v>0.31590000000000001</v>
      </c>
      <c r="H410" s="2">
        <v>-0.25630998611450201</v>
      </c>
      <c r="I410" s="2">
        <f t="shared" si="56"/>
        <v>5.8000000000000005E-3</v>
      </c>
    </row>
    <row r="411" spans="6:9" x14ac:dyDescent="0.25">
      <c r="F411" s="2">
        <v>395.60000610351602</v>
      </c>
      <c r="G411" s="2">
        <f t="shared" si="55"/>
        <v>0.31709999999999999</v>
      </c>
      <c r="H411" s="2">
        <v>-0.25424998998642001</v>
      </c>
      <c r="I411" s="2">
        <f t="shared" si="56"/>
        <v>5.8000000000000005E-3</v>
      </c>
    </row>
    <row r="412" spans="6:9" x14ac:dyDescent="0.25">
      <c r="F412" s="2">
        <v>399</v>
      </c>
      <c r="G412" s="2">
        <f t="shared" si="55"/>
        <v>0.31979999999999997</v>
      </c>
      <c r="H412" s="2">
        <v>-0.24899999797344199</v>
      </c>
      <c r="I412" s="2">
        <f t="shared" si="56"/>
        <v>5.8000000000000005E-3</v>
      </c>
    </row>
    <row r="413" spans="6:9" x14ac:dyDescent="0.25">
      <c r="F413" s="2">
        <v>399.89999389648398</v>
      </c>
      <c r="G413" s="2">
        <f t="shared" si="55"/>
        <v>0.32050000000000001</v>
      </c>
      <c r="H413" s="2">
        <v>-0.24769000709056899</v>
      </c>
      <c r="I413" s="2">
        <f t="shared" si="56"/>
        <v>5.8000000000000005E-3</v>
      </c>
    </row>
    <row r="414" spans="6:9" x14ac:dyDescent="0.25">
      <c r="F414" s="2">
        <v>399.79998779296898</v>
      </c>
      <c r="G414" s="2">
        <f t="shared" si="55"/>
        <v>0.32050000000000001</v>
      </c>
      <c r="H414" s="2">
        <v>-0.24763999879360199</v>
      </c>
      <c r="I414" s="2">
        <f t="shared" si="56"/>
        <v>5.8000000000000005E-3</v>
      </c>
    </row>
    <row r="415" spans="6:9" x14ac:dyDescent="0.25">
      <c r="F415" s="2">
        <v>399.89999389648398</v>
      </c>
      <c r="G415" s="2">
        <f t="shared" si="55"/>
        <v>0.32050000000000001</v>
      </c>
      <c r="H415" s="2">
        <v>-0.24779999256134</v>
      </c>
      <c r="I415" s="2">
        <f t="shared" si="56"/>
        <v>5.8000000000000005E-3</v>
      </c>
    </row>
    <row r="416" spans="6:9" x14ac:dyDescent="0.25">
      <c r="F416" s="2">
        <v>400.5</v>
      </c>
      <c r="G416" s="2">
        <f t="shared" si="55"/>
        <v>0.32100000000000001</v>
      </c>
      <c r="H416" s="2">
        <v>-0.24604000151157401</v>
      </c>
      <c r="I416" s="2">
        <f t="shared" si="56"/>
        <v>5.8000000000000005E-3</v>
      </c>
    </row>
    <row r="417" spans="6:9" x14ac:dyDescent="0.25">
      <c r="F417" s="2">
        <v>401.39999389648398</v>
      </c>
      <c r="G417" s="2">
        <f t="shared" si="55"/>
        <v>0.32169999999999999</v>
      </c>
      <c r="H417" s="2">
        <v>-0.24499000608921101</v>
      </c>
      <c r="I417" s="2">
        <f t="shared" si="56"/>
        <v>5.8000000000000005E-3</v>
      </c>
    </row>
    <row r="418" spans="6:9" x14ac:dyDescent="0.25">
      <c r="F418" s="2">
        <v>401.29998779296898</v>
      </c>
      <c r="G418" s="2">
        <f t="shared" si="55"/>
        <v>0.32169999999999999</v>
      </c>
      <c r="H418" s="2">
        <v>-0.24526999890804299</v>
      </c>
      <c r="I418" s="2">
        <f t="shared" si="56"/>
        <v>5.8000000000000005E-3</v>
      </c>
    </row>
    <row r="419" spans="6:9" x14ac:dyDescent="0.25">
      <c r="F419" s="2">
        <v>402.70001220703102</v>
      </c>
      <c r="G419" s="2">
        <f t="shared" ref="G419:G476" si="59">ROUNDUP((0.08%*F419+0.001/(SQRT(3))),4)</f>
        <v>0.32279999999999998</v>
      </c>
      <c r="H419" s="2">
        <v>-0.24300000071525599</v>
      </c>
      <c r="I419" s="2">
        <f t="shared" ref="I419:I476" si="60">ROUNDUP((0.015%*H419+0.01/(SQRT(3))),4)</f>
        <v>5.8000000000000005E-3</v>
      </c>
    </row>
    <row r="420" spans="6:9" x14ac:dyDescent="0.25">
      <c r="F420" s="2">
        <v>402.60000610351602</v>
      </c>
      <c r="G420" s="2">
        <f t="shared" si="59"/>
        <v>0.32269999999999999</v>
      </c>
      <c r="H420" s="2">
        <v>-0.2430399954319</v>
      </c>
      <c r="I420" s="2">
        <f t="shared" si="60"/>
        <v>5.8000000000000005E-3</v>
      </c>
    </row>
    <row r="421" spans="6:9" x14ac:dyDescent="0.25">
      <c r="F421" s="2">
        <v>402.60000610351602</v>
      </c>
      <c r="G421" s="2">
        <f t="shared" si="59"/>
        <v>0.32269999999999999</v>
      </c>
      <c r="H421" s="2">
        <v>-0.24307000637054399</v>
      </c>
      <c r="I421" s="2">
        <f t="shared" si="60"/>
        <v>5.8000000000000005E-3</v>
      </c>
    </row>
    <row r="422" spans="6:9" x14ac:dyDescent="0.25">
      <c r="F422" s="2">
        <v>403.60000610351602</v>
      </c>
      <c r="G422" s="2">
        <f t="shared" si="59"/>
        <v>0.32350000000000001</v>
      </c>
      <c r="H422" s="2">
        <v>-0.24156999588012701</v>
      </c>
      <c r="I422" s="2">
        <f t="shared" si="60"/>
        <v>5.8000000000000005E-3</v>
      </c>
    </row>
    <row r="423" spans="6:9" x14ac:dyDescent="0.25">
      <c r="F423" s="2">
        <v>404.10000610351602</v>
      </c>
      <c r="G423" s="2">
        <f t="shared" si="59"/>
        <v>0.32389999999999997</v>
      </c>
      <c r="H423" s="2">
        <v>-0.240669995546341</v>
      </c>
      <c r="I423" s="2">
        <f t="shared" si="60"/>
        <v>5.8000000000000005E-3</v>
      </c>
    </row>
    <row r="424" spans="6:9" x14ac:dyDescent="0.25">
      <c r="F424" s="2">
        <v>406.10000610351602</v>
      </c>
      <c r="G424" s="2">
        <f t="shared" si="59"/>
        <v>0.32550000000000001</v>
      </c>
      <c r="H424" s="2">
        <v>-0.23589999973774001</v>
      </c>
      <c r="I424" s="2">
        <f t="shared" si="60"/>
        <v>5.8000000000000005E-3</v>
      </c>
    </row>
    <row r="425" spans="6:9" x14ac:dyDescent="0.25">
      <c r="F425" s="2">
        <v>408.10000610351602</v>
      </c>
      <c r="G425" s="2">
        <f t="shared" si="59"/>
        <v>0.3271</v>
      </c>
      <c r="H425" s="2">
        <v>-0.23357999324798601</v>
      </c>
      <c r="I425" s="2">
        <f t="shared" si="60"/>
        <v>5.8000000000000005E-3</v>
      </c>
    </row>
    <row r="426" spans="6:9" x14ac:dyDescent="0.25">
      <c r="F426" s="2">
        <v>409.10000610351602</v>
      </c>
      <c r="G426" s="2">
        <f t="shared" si="59"/>
        <v>0.32789999999999997</v>
      </c>
      <c r="H426" s="2">
        <v>-0.23210999369621299</v>
      </c>
      <c r="I426" s="2">
        <f t="shared" si="60"/>
        <v>5.8000000000000005E-3</v>
      </c>
    </row>
    <row r="427" spans="6:9" x14ac:dyDescent="0.25">
      <c r="F427" s="2">
        <v>410.5</v>
      </c>
      <c r="G427" s="2">
        <f t="shared" si="59"/>
        <v>0.32900000000000001</v>
      </c>
      <c r="H427" s="2">
        <v>-0.229420006275177</v>
      </c>
      <c r="I427" s="2">
        <f t="shared" si="60"/>
        <v>5.8000000000000005E-3</v>
      </c>
    </row>
    <row r="428" spans="6:9" x14ac:dyDescent="0.25">
      <c r="F428" s="2">
        <v>410.89999389648398</v>
      </c>
      <c r="G428" s="2">
        <f t="shared" si="59"/>
        <v>0.32929999999999998</v>
      </c>
      <c r="H428" s="2">
        <v>-0.228679999709129</v>
      </c>
      <c r="I428" s="2">
        <f t="shared" si="60"/>
        <v>5.8000000000000005E-3</v>
      </c>
    </row>
    <row r="429" spans="6:9" x14ac:dyDescent="0.25">
      <c r="F429" s="2">
        <v>410.89999389648398</v>
      </c>
      <c r="G429" s="2">
        <f t="shared" si="59"/>
        <v>0.32929999999999998</v>
      </c>
      <c r="H429" s="2">
        <v>-0.228660002350807</v>
      </c>
      <c r="I429" s="2">
        <f t="shared" si="60"/>
        <v>5.8000000000000005E-3</v>
      </c>
    </row>
    <row r="430" spans="6:9" x14ac:dyDescent="0.25">
      <c r="F430" s="2">
        <v>412.5</v>
      </c>
      <c r="G430" s="2">
        <f t="shared" si="59"/>
        <v>0.3306</v>
      </c>
      <c r="H430" s="2">
        <v>-0.22592000663280501</v>
      </c>
      <c r="I430" s="2">
        <f t="shared" si="60"/>
        <v>5.8000000000000005E-3</v>
      </c>
    </row>
    <row r="431" spans="6:9" x14ac:dyDescent="0.25">
      <c r="F431" s="2">
        <v>412.20001220703102</v>
      </c>
      <c r="G431" s="2">
        <f t="shared" si="59"/>
        <v>0.33039999999999997</v>
      </c>
      <c r="H431" s="2">
        <v>-0.22612999379634899</v>
      </c>
      <c r="I431" s="2">
        <f t="shared" si="60"/>
        <v>5.8000000000000005E-3</v>
      </c>
    </row>
    <row r="432" spans="6:9" x14ac:dyDescent="0.25">
      <c r="F432" s="2">
        <v>412.20001220703102</v>
      </c>
      <c r="G432" s="2">
        <f t="shared" si="59"/>
        <v>0.33039999999999997</v>
      </c>
      <c r="H432" s="2">
        <v>-0.226140007376671</v>
      </c>
      <c r="I432" s="2">
        <f t="shared" si="60"/>
        <v>5.8000000000000005E-3</v>
      </c>
    </row>
    <row r="433" spans="6:9" x14ac:dyDescent="0.25">
      <c r="F433" s="2">
        <v>413.60000610351602</v>
      </c>
      <c r="G433" s="2">
        <f t="shared" si="59"/>
        <v>0.33149999999999996</v>
      </c>
      <c r="H433" s="2">
        <v>-0.22363999485969499</v>
      </c>
      <c r="I433" s="2">
        <f t="shared" si="60"/>
        <v>5.8000000000000005E-3</v>
      </c>
    </row>
    <row r="434" spans="6:9" x14ac:dyDescent="0.25">
      <c r="F434" s="2">
        <v>415.79998779296898</v>
      </c>
      <c r="G434" s="2">
        <f t="shared" si="59"/>
        <v>0.33329999999999999</v>
      </c>
      <c r="H434" s="2">
        <v>-0.21950000524520899</v>
      </c>
      <c r="I434" s="2">
        <f t="shared" si="60"/>
        <v>5.8000000000000005E-3</v>
      </c>
    </row>
    <row r="435" spans="6:9" x14ac:dyDescent="0.25">
      <c r="F435" s="2">
        <v>417.70001220703102</v>
      </c>
      <c r="G435" s="2">
        <f t="shared" si="59"/>
        <v>0.33479999999999999</v>
      </c>
      <c r="H435" s="2">
        <v>-0.215759992599487</v>
      </c>
      <c r="I435" s="2">
        <f t="shared" si="60"/>
        <v>5.8000000000000005E-3</v>
      </c>
    </row>
    <row r="436" spans="6:9" x14ac:dyDescent="0.25">
      <c r="F436" s="2">
        <v>417.60000610351602</v>
      </c>
      <c r="G436" s="2">
        <f t="shared" si="59"/>
        <v>0.3347</v>
      </c>
      <c r="H436" s="2">
        <v>-0.21573999524116499</v>
      </c>
      <c r="I436" s="2">
        <f t="shared" si="60"/>
        <v>5.8000000000000005E-3</v>
      </c>
    </row>
    <row r="437" spans="6:9" x14ac:dyDescent="0.25">
      <c r="F437" s="2">
        <v>419</v>
      </c>
      <c r="G437" s="2">
        <f t="shared" si="59"/>
        <v>0.33579999999999999</v>
      </c>
      <c r="H437" s="2">
        <v>-0.21304999291896801</v>
      </c>
      <c r="I437" s="2">
        <f t="shared" si="60"/>
        <v>5.8000000000000005E-3</v>
      </c>
    </row>
    <row r="438" spans="6:9" x14ac:dyDescent="0.25">
      <c r="F438" s="2">
        <v>421.70001220703102</v>
      </c>
      <c r="G438" s="2">
        <f t="shared" si="59"/>
        <v>0.33799999999999997</v>
      </c>
      <c r="H438" s="2">
        <v>-0.20703999698162101</v>
      </c>
      <c r="I438" s="2">
        <f t="shared" si="60"/>
        <v>5.8000000000000005E-3</v>
      </c>
    </row>
    <row r="439" spans="6:9" x14ac:dyDescent="0.25">
      <c r="F439" s="2">
        <v>424.5</v>
      </c>
      <c r="G439" s="2">
        <f t="shared" si="59"/>
        <v>0.3402</v>
      </c>
      <c r="H439" s="2">
        <v>-0.201949998736382</v>
      </c>
      <c r="I439" s="2">
        <f t="shared" si="60"/>
        <v>5.8000000000000005E-3</v>
      </c>
    </row>
    <row r="440" spans="6:9" x14ac:dyDescent="0.25">
      <c r="F440" s="2">
        <v>430.79998779296898</v>
      </c>
      <c r="G440" s="2">
        <f t="shared" si="59"/>
        <v>0.3453</v>
      </c>
      <c r="H440" s="2">
        <v>-0.18765999376773801</v>
      </c>
      <c r="I440" s="2">
        <f t="shared" si="60"/>
        <v>5.8000000000000005E-3</v>
      </c>
    </row>
    <row r="441" spans="6:9" x14ac:dyDescent="0.25">
      <c r="F441" s="2">
        <v>437</v>
      </c>
      <c r="G441" s="2">
        <f t="shared" si="59"/>
        <v>0.35020000000000001</v>
      </c>
      <c r="H441" s="2">
        <v>-0.17263999581337</v>
      </c>
      <c r="I441" s="2">
        <f t="shared" si="60"/>
        <v>5.8000000000000005E-3</v>
      </c>
    </row>
    <row r="442" spans="6:9" x14ac:dyDescent="0.25">
      <c r="F442" s="2">
        <v>443.29998779296898</v>
      </c>
      <c r="G442" s="2">
        <f t="shared" si="59"/>
        <v>0.3553</v>
      </c>
      <c r="H442" s="2">
        <v>-0.154479995369911</v>
      </c>
      <c r="I442" s="2">
        <f t="shared" si="60"/>
        <v>5.8000000000000005E-3</v>
      </c>
    </row>
    <row r="443" spans="6:9" x14ac:dyDescent="0.25">
      <c r="F443" s="2">
        <v>447</v>
      </c>
      <c r="G443" s="2">
        <f t="shared" si="59"/>
        <v>0.35819999999999996</v>
      </c>
      <c r="H443" s="2">
        <v>-0.14640000462531999</v>
      </c>
      <c r="I443" s="2">
        <f t="shared" si="60"/>
        <v>5.8000000000000005E-3</v>
      </c>
    </row>
    <row r="444" spans="6:9" x14ac:dyDescent="0.25">
      <c r="F444" s="2">
        <v>448</v>
      </c>
      <c r="G444" s="2">
        <f t="shared" si="59"/>
        <v>0.35899999999999999</v>
      </c>
      <c r="H444" s="2">
        <v>-0.143810003995895</v>
      </c>
      <c r="I444" s="2">
        <f t="shared" si="60"/>
        <v>5.8000000000000005E-3</v>
      </c>
    </row>
    <row r="445" spans="6:9" x14ac:dyDescent="0.25">
      <c r="F445" s="2">
        <v>450</v>
      </c>
      <c r="G445" s="2">
        <f t="shared" si="59"/>
        <v>0.36059999999999998</v>
      </c>
      <c r="H445" s="2">
        <v>-0.13808000087738001</v>
      </c>
      <c r="I445" s="2">
        <f t="shared" si="60"/>
        <v>5.8000000000000005E-3</v>
      </c>
    </row>
    <row r="446" spans="6:9" x14ac:dyDescent="0.25">
      <c r="F446" s="2">
        <v>452.10000610351602</v>
      </c>
      <c r="G446" s="2">
        <f t="shared" si="59"/>
        <v>0.36230000000000001</v>
      </c>
      <c r="H446" s="2">
        <v>-0.131319999694824</v>
      </c>
      <c r="I446" s="2">
        <f t="shared" si="60"/>
        <v>5.8000000000000005E-3</v>
      </c>
    </row>
    <row r="447" spans="6:9" x14ac:dyDescent="0.25">
      <c r="F447" s="2">
        <v>455.20001220703102</v>
      </c>
      <c r="G447" s="2">
        <f t="shared" si="59"/>
        <v>0.36480000000000001</v>
      </c>
      <c r="H447" s="2">
        <v>-0.118919998407364</v>
      </c>
      <c r="I447" s="2">
        <f t="shared" si="60"/>
        <v>5.8000000000000005E-3</v>
      </c>
    </row>
    <row r="448" spans="6:9" x14ac:dyDescent="0.25">
      <c r="F448" s="2">
        <v>458.29998779296898</v>
      </c>
      <c r="G448" s="2">
        <f t="shared" si="59"/>
        <v>0.36730000000000002</v>
      </c>
      <c r="H448" s="2">
        <v>-0.110550001263618</v>
      </c>
      <c r="I448" s="2">
        <f t="shared" si="60"/>
        <v>5.8000000000000005E-3</v>
      </c>
    </row>
    <row r="449" spans="6:9" x14ac:dyDescent="0.25">
      <c r="F449" s="2">
        <v>461.5</v>
      </c>
      <c r="G449" s="2">
        <f t="shared" si="59"/>
        <v>0.36979999999999996</v>
      </c>
      <c r="H449" s="2">
        <v>-0.10102999955415699</v>
      </c>
      <c r="I449" s="2">
        <f t="shared" si="60"/>
        <v>5.8000000000000005E-3</v>
      </c>
    </row>
    <row r="450" spans="6:9" x14ac:dyDescent="0.25">
      <c r="F450" s="2">
        <v>466.60000610351602</v>
      </c>
      <c r="G450" s="2">
        <f t="shared" si="59"/>
        <v>0.37390000000000001</v>
      </c>
      <c r="H450" s="2">
        <v>-8.6269997060298906E-2</v>
      </c>
      <c r="I450" s="2">
        <f t="shared" si="60"/>
        <v>5.8000000000000005E-3</v>
      </c>
    </row>
    <row r="451" spans="6:9" x14ac:dyDescent="0.25">
      <c r="F451" s="2">
        <v>467.70001220703102</v>
      </c>
      <c r="G451" s="2">
        <f t="shared" si="59"/>
        <v>0.37479999999999997</v>
      </c>
      <c r="H451" s="2">
        <v>-8.3070002496242495E-2</v>
      </c>
      <c r="I451" s="2">
        <f t="shared" si="60"/>
        <v>5.8000000000000005E-3</v>
      </c>
    </row>
    <row r="452" spans="6:9" x14ac:dyDescent="0.25">
      <c r="F452" s="2">
        <v>472.39999389648398</v>
      </c>
      <c r="G452" s="2">
        <f t="shared" si="59"/>
        <v>0.3785</v>
      </c>
      <c r="H452" s="2">
        <v>-6.7429997026920305E-2</v>
      </c>
      <c r="I452" s="2">
        <f t="shared" si="60"/>
        <v>5.8000000000000005E-3</v>
      </c>
    </row>
    <row r="453" spans="6:9" x14ac:dyDescent="0.25">
      <c r="F453" s="2">
        <v>472.29998779296898</v>
      </c>
      <c r="G453" s="2">
        <f t="shared" si="59"/>
        <v>0.3785</v>
      </c>
      <c r="H453" s="2">
        <v>-6.5470002591609996E-2</v>
      </c>
      <c r="I453" s="2">
        <f t="shared" si="60"/>
        <v>5.8000000000000005E-3</v>
      </c>
    </row>
    <row r="454" spans="6:9" x14ac:dyDescent="0.25">
      <c r="F454" s="2">
        <v>475.20001220703102</v>
      </c>
      <c r="G454" s="2">
        <f t="shared" si="59"/>
        <v>0.38079999999999997</v>
      </c>
      <c r="H454" s="2">
        <v>-5.6419998407363899E-2</v>
      </c>
      <c r="I454" s="2">
        <f t="shared" si="60"/>
        <v>5.8000000000000005E-3</v>
      </c>
    </row>
    <row r="455" spans="6:9" x14ac:dyDescent="0.25">
      <c r="F455" s="2">
        <v>479.5</v>
      </c>
      <c r="G455" s="2">
        <f t="shared" si="59"/>
        <v>0.38419999999999999</v>
      </c>
      <c r="H455" s="2">
        <v>-4.32399995625019E-2</v>
      </c>
      <c r="I455" s="2">
        <f t="shared" si="60"/>
        <v>5.8000000000000005E-3</v>
      </c>
    </row>
    <row r="456" spans="6:9" x14ac:dyDescent="0.25">
      <c r="F456" s="2">
        <v>480.5</v>
      </c>
      <c r="G456" s="2">
        <f t="shared" si="59"/>
        <v>0.38500000000000001</v>
      </c>
      <c r="H456" s="2">
        <v>-3.95600013434887E-2</v>
      </c>
      <c r="I456" s="2">
        <f t="shared" si="60"/>
        <v>5.8000000000000005E-3</v>
      </c>
    </row>
    <row r="457" spans="6:9" x14ac:dyDescent="0.25">
      <c r="F457" s="2">
        <v>481.79998779296898</v>
      </c>
      <c r="G457" s="2">
        <f t="shared" si="59"/>
        <v>0.3861</v>
      </c>
      <c r="H457" s="2">
        <v>-3.4570001065731E-2</v>
      </c>
      <c r="I457" s="2">
        <f t="shared" si="60"/>
        <v>5.8000000000000005E-3</v>
      </c>
    </row>
    <row r="458" spans="6:9" x14ac:dyDescent="0.25">
      <c r="F458" s="2">
        <v>482.39999389648398</v>
      </c>
      <c r="G458" s="2">
        <f t="shared" si="59"/>
        <v>0.38650000000000001</v>
      </c>
      <c r="H458" s="2">
        <v>-3.2049998641014099E-2</v>
      </c>
      <c r="I458" s="2">
        <f t="shared" si="60"/>
        <v>5.8000000000000005E-3</v>
      </c>
    </row>
    <row r="459" spans="6:9" x14ac:dyDescent="0.25">
      <c r="F459" s="2">
        <v>487.89999389648398</v>
      </c>
      <c r="G459" s="2">
        <f t="shared" si="59"/>
        <v>0.39089999999999997</v>
      </c>
      <c r="H459" s="2">
        <v>-9.9799996241927095E-3</v>
      </c>
      <c r="I459" s="2">
        <f t="shared" si="60"/>
        <v>5.8000000000000005E-3</v>
      </c>
    </row>
    <row r="460" spans="6:9" x14ac:dyDescent="0.25">
      <c r="F460" s="2">
        <v>488.89999389648398</v>
      </c>
      <c r="G460" s="2">
        <f t="shared" si="59"/>
        <v>0.39169999999999999</v>
      </c>
      <c r="H460" s="2">
        <v>-7.7599999494850601E-3</v>
      </c>
      <c r="I460" s="2">
        <f t="shared" si="60"/>
        <v>5.8000000000000005E-3</v>
      </c>
    </row>
    <row r="461" spans="6:9" x14ac:dyDescent="0.25">
      <c r="F461" s="2">
        <v>490.29998779296898</v>
      </c>
      <c r="G461" s="2">
        <f t="shared" si="59"/>
        <v>0.39289999999999997</v>
      </c>
      <c r="H461" s="2">
        <v>-2.4099999573081701E-3</v>
      </c>
      <c r="I461" s="2">
        <f t="shared" si="60"/>
        <v>5.8000000000000005E-3</v>
      </c>
    </row>
    <row r="462" spans="6:9" x14ac:dyDescent="0.25">
      <c r="F462" s="2">
        <v>490.29998779296898</v>
      </c>
      <c r="G462" s="2">
        <f t="shared" si="59"/>
        <v>0.39289999999999997</v>
      </c>
      <c r="H462" s="2">
        <v>-2.4099999573081701E-3</v>
      </c>
      <c r="I462" s="2">
        <f t="shared" si="60"/>
        <v>5.8000000000000005E-3</v>
      </c>
    </row>
    <row r="463" spans="6:9" x14ac:dyDescent="0.25">
      <c r="F463" s="2">
        <v>491</v>
      </c>
      <c r="G463" s="2">
        <f t="shared" si="59"/>
        <v>0.39339999999999997</v>
      </c>
      <c r="H463" s="2">
        <v>5.0000002374872598E-4</v>
      </c>
      <c r="I463" s="2">
        <f t="shared" si="60"/>
        <v>5.8000000000000005E-3</v>
      </c>
    </row>
    <row r="464" spans="6:9" x14ac:dyDescent="0.25">
      <c r="F464" s="2">
        <v>492.10000610351602</v>
      </c>
      <c r="G464" s="2">
        <f t="shared" si="59"/>
        <v>0.39429999999999998</v>
      </c>
      <c r="H464" s="2">
        <v>6.2799998559057704E-3</v>
      </c>
      <c r="I464" s="2">
        <f t="shared" si="60"/>
        <v>5.8000000000000005E-3</v>
      </c>
    </row>
    <row r="465" spans="6:9" x14ac:dyDescent="0.25">
      <c r="F465" s="2">
        <v>493.29998779296898</v>
      </c>
      <c r="G465" s="2">
        <f t="shared" si="59"/>
        <v>0.39529999999999998</v>
      </c>
      <c r="H465" s="2">
        <v>1.1140000075101899E-2</v>
      </c>
      <c r="I465" s="2">
        <f t="shared" si="60"/>
        <v>5.8000000000000005E-3</v>
      </c>
    </row>
    <row r="466" spans="6:9" x14ac:dyDescent="0.25">
      <c r="F466" s="2">
        <v>496.10000610351602</v>
      </c>
      <c r="G466" s="2">
        <f t="shared" si="59"/>
        <v>0.39749999999999996</v>
      </c>
      <c r="H466" s="2">
        <v>2.0749999210238498E-2</v>
      </c>
      <c r="I466" s="2">
        <f t="shared" si="60"/>
        <v>5.8000000000000005E-3</v>
      </c>
    </row>
    <row r="467" spans="6:9" x14ac:dyDescent="0.25">
      <c r="F467" s="2">
        <v>497.20001220703102</v>
      </c>
      <c r="G467" s="2">
        <f t="shared" si="59"/>
        <v>0.39839999999999998</v>
      </c>
      <c r="H467" s="2">
        <v>2.5119999423623099E-2</v>
      </c>
      <c r="I467" s="2">
        <f t="shared" si="60"/>
        <v>5.8000000000000005E-3</v>
      </c>
    </row>
    <row r="468" spans="6:9" x14ac:dyDescent="0.25">
      <c r="F468" s="2">
        <v>499.10000610351602</v>
      </c>
      <c r="G468" s="2">
        <f t="shared" si="59"/>
        <v>0.39989999999999998</v>
      </c>
      <c r="H468" s="2">
        <v>3.2760001718997997E-2</v>
      </c>
      <c r="I468" s="2">
        <f t="shared" si="60"/>
        <v>5.8000000000000005E-3</v>
      </c>
    </row>
    <row r="469" spans="6:9" x14ac:dyDescent="0.25">
      <c r="F469" s="2">
        <v>500.70001220703102</v>
      </c>
      <c r="G469" s="2">
        <f t="shared" si="59"/>
        <v>0.4012</v>
      </c>
      <c r="H469" s="2">
        <v>3.95400002598763E-2</v>
      </c>
      <c r="I469" s="2">
        <f t="shared" si="60"/>
        <v>5.8000000000000005E-3</v>
      </c>
    </row>
    <row r="470" spans="6:9" x14ac:dyDescent="0.25">
      <c r="F470" s="2">
        <v>501.70001220703102</v>
      </c>
      <c r="G470" s="2">
        <f t="shared" si="59"/>
        <v>0.40199999999999997</v>
      </c>
      <c r="H470" s="2">
        <v>4.7129999846220003E-2</v>
      </c>
      <c r="I470" s="2">
        <f t="shared" si="60"/>
        <v>5.8000000000000005E-3</v>
      </c>
    </row>
    <row r="471" spans="6:9" x14ac:dyDescent="0.25">
      <c r="F471" s="2">
        <v>504.20001220703102</v>
      </c>
      <c r="G471" s="2">
        <f t="shared" si="59"/>
        <v>0.40399999999999997</v>
      </c>
      <c r="H471" s="2">
        <v>5.5410001426935203E-2</v>
      </c>
      <c r="I471" s="2">
        <f t="shared" si="60"/>
        <v>5.8000000000000005E-3</v>
      </c>
    </row>
    <row r="472" spans="6:9" x14ac:dyDescent="0.25">
      <c r="F472" s="2">
        <v>506.10000610351602</v>
      </c>
      <c r="G472" s="2">
        <f t="shared" si="59"/>
        <v>0.40549999999999997</v>
      </c>
      <c r="H472" s="2">
        <v>6.4410001039505005E-2</v>
      </c>
      <c r="I472" s="2">
        <f t="shared" si="60"/>
        <v>5.8000000000000005E-3</v>
      </c>
    </row>
    <row r="473" spans="6:9" x14ac:dyDescent="0.25">
      <c r="F473" s="2">
        <v>507.20001220703102</v>
      </c>
      <c r="G473" s="2">
        <f t="shared" si="59"/>
        <v>0.40639999999999998</v>
      </c>
      <c r="H473" s="2">
        <v>6.8439997732639299E-2</v>
      </c>
      <c r="I473" s="2">
        <f t="shared" si="60"/>
        <v>5.8000000000000005E-3</v>
      </c>
    </row>
    <row r="474" spans="6:9" x14ac:dyDescent="0.25">
      <c r="F474" s="2">
        <v>508.10000610351602</v>
      </c>
      <c r="G474" s="2">
        <f t="shared" si="59"/>
        <v>0.40709999999999996</v>
      </c>
      <c r="H474" s="2">
        <v>7.2779998183250399E-2</v>
      </c>
      <c r="I474" s="2">
        <f t="shared" si="60"/>
        <v>5.8000000000000005E-3</v>
      </c>
    </row>
    <row r="475" spans="6:9" x14ac:dyDescent="0.25">
      <c r="F475" s="2">
        <v>508.20001220703102</v>
      </c>
      <c r="G475" s="2">
        <f t="shared" si="59"/>
        <v>0.40720000000000001</v>
      </c>
      <c r="H475" s="2">
        <v>7.3200002312660203E-2</v>
      </c>
      <c r="I475" s="2">
        <f t="shared" si="60"/>
        <v>5.8000000000000005E-3</v>
      </c>
    </row>
    <row r="476" spans="6:9" x14ac:dyDescent="0.25">
      <c r="F476" s="2">
        <v>508.89999389648398</v>
      </c>
      <c r="G476" s="2">
        <f t="shared" si="59"/>
        <v>0.40770000000000001</v>
      </c>
      <c r="H476" s="2">
        <v>7.7179998159408597E-2</v>
      </c>
      <c r="I476" s="2">
        <f t="shared" si="60"/>
        <v>5.8000000000000005E-3</v>
      </c>
    </row>
  </sheetData>
  <mergeCells count="7">
    <mergeCell ref="A27:G27"/>
    <mergeCell ref="U30:X30"/>
    <mergeCell ref="Z30:AC30"/>
    <mergeCell ref="A30:D30"/>
    <mergeCell ref="F30:I30"/>
    <mergeCell ref="K30:N30"/>
    <mergeCell ref="P30:S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85E3-4642-407B-8FB4-DCD148B1F1B0}">
  <dimension ref="C21:H33"/>
  <sheetViews>
    <sheetView topLeftCell="A4" workbookViewId="0">
      <selection activeCell="C26" sqref="C26"/>
    </sheetView>
  </sheetViews>
  <sheetFormatPr defaultRowHeight="15" x14ac:dyDescent="0.25"/>
  <cols>
    <col min="3" max="3" width="7" customWidth="1"/>
    <col min="4" max="4" width="20" customWidth="1"/>
    <col min="5" max="5" width="9.42578125" bestFit="1" customWidth="1"/>
    <col min="6" max="6" width="16.28515625" customWidth="1"/>
    <col min="8" max="8" width="15.5703125" customWidth="1"/>
  </cols>
  <sheetData>
    <row r="21" spans="3:8" x14ac:dyDescent="0.25">
      <c r="C21" s="37" t="s">
        <v>37</v>
      </c>
      <c r="D21" s="37"/>
      <c r="E21" s="37"/>
      <c r="F21" s="37"/>
      <c r="G21" s="37"/>
      <c r="H21" s="37"/>
    </row>
    <row r="22" spans="3:8" x14ac:dyDescent="0.25">
      <c r="C22" s="37"/>
      <c r="D22" s="37"/>
      <c r="E22" s="37"/>
      <c r="F22" s="37"/>
      <c r="G22" s="37"/>
      <c r="H22" s="37"/>
    </row>
    <row r="24" spans="3:8" ht="15.75" thickBot="1" x14ac:dyDescent="0.3"/>
    <row r="25" spans="3:8" x14ac:dyDescent="0.25">
      <c r="C25" s="29" t="s">
        <v>49</v>
      </c>
      <c r="D25" s="30" t="s">
        <v>34</v>
      </c>
      <c r="E25" s="30" t="s">
        <v>32</v>
      </c>
      <c r="F25" s="30" t="s">
        <v>33</v>
      </c>
      <c r="G25" s="30" t="s">
        <v>31</v>
      </c>
      <c r="H25" s="31" t="s">
        <v>6</v>
      </c>
    </row>
    <row r="26" spans="3:8" x14ac:dyDescent="0.25">
      <c r="C26" s="2">
        <v>16</v>
      </c>
      <c r="D26" s="2">
        <f>1/C26^2</f>
        <v>3.90625E-3</v>
      </c>
      <c r="E26" s="2">
        <f>ROUNDUP(0.5/SQRT(3),2)</f>
        <v>0.29000000000000004</v>
      </c>
      <c r="F26" s="2">
        <f>ROUNDUP((2*E26)/(C26*C26*C26),4)</f>
        <v>2.0000000000000001E-4</v>
      </c>
      <c r="G26" s="2">
        <v>-17.13</v>
      </c>
      <c r="H26" s="2">
        <f>ROUNDUP((0.015%*G26+0.01/(SQRT(3))),4)</f>
        <v>3.3E-3</v>
      </c>
    </row>
    <row r="27" spans="3:8" x14ac:dyDescent="0.25">
      <c r="C27" s="2">
        <v>18</v>
      </c>
      <c r="D27" s="2">
        <f t="shared" ref="D27:D33" si="0">1/C27^2</f>
        <v>3.0864197530864196E-3</v>
      </c>
      <c r="E27" s="2">
        <f t="shared" ref="E27:E33" si="1">ROUNDUP(0.5/SQRT(3),2)</f>
        <v>0.29000000000000004</v>
      </c>
      <c r="F27" s="2">
        <f t="shared" ref="F27:F33" si="2">ROUNDUP((2*E27)/(C27*C27*C27),4)</f>
        <v>1E-4</v>
      </c>
      <c r="G27" s="2">
        <v>-15.02</v>
      </c>
      <c r="H27" s="2">
        <f t="shared" ref="H27:H33" si="3">ROUNDUP((0.015%*G27+0.01/(SQRT(3))),4)</f>
        <v>3.5999999999999999E-3</v>
      </c>
    </row>
    <row r="28" spans="3:8" x14ac:dyDescent="0.25">
      <c r="C28" s="2">
        <v>20</v>
      </c>
      <c r="D28" s="2">
        <f t="shared" si="0"/>
        <v>2.5000000000000001E-3</v>
      </c>
      <c r="E28" s="2">
        <f t="shared" si="1"/>
        <v>0.29000000000000004</v>
      </c>
      <c r="F28" s="2">
        <f t="shared" si="2"/>
        <v>1E-4</v>
      </c>
      <c r="G28" s="2">
        <v>-12.61</v>
      </c>
      <c r="H28" s="2">
        <f t="shared" si="3"/>
        <v>3.8999999999999998E-3</v>
      </c>
    </row>
    <row r="29" spans="3:8" x14ac:dyDescent="0.25">
      <c r="C29" s="2">
        <v>22</v>
      </c>
      <c r="D29" s="2">
        <f t="shared" si="0"/>
        <v>2.0661157024793389E-3</v>
      </c>
      <c r="E29" s="2">
        <f t="shared" si="1"/>
        <v>0.29000000000000004</v>
      </c>
      <c r="F29" s="2">
        <f t="shared" si="2"/>
        <v>1E-4</v>
      </c>
      <c r="G29" s="2">
        <v>-10.55</v>
      </c>
      <c r="H29" s="2">
        <f t="shared" si="3"/>
        <v>4.2000000000000006E-3</v>
      </c>
    </row>
    <row r="30" spans="3:8" x14ac:dyDescent="0.25">
      <c r="C30" s="2">
        <v>24</v>
      </c>
      <c r="D30" s="2">
        <f t="shared" si="0"/>
        <v>1.736111111111111E-3</v>
      </c>
      <c r="E30" s="2">
        <f t="shared" si="1"/>
        <v>0.29000000000000004</v>
      </c>
      <c r="F30" s="2">
        <f t="shared" si="2"/>
        <v>1E-4</v>
      </c>
      <c r="G30" s="2">
        <v>-8.61</v>
      </c>
      <c r="H30" s="2">
        <f t="shared" si="3"/>
        <v>4.5000000000000005E-3</v>
      </c>
    </row>
    <row r="31" spans="3:8" x14ac:dyDescent="0.25">
      <c r="C31" s="2">
        <v>26</v>
      </c>
      <c r="D31" s="2">
        <f t="shared" si="0"/>
        <v>1.4792899408284023E-3</v>
      </c>
      <c r="E31" s="2">
        <f t="shared" si="1"/>
        <v>0.29000000000000004</v>
      </c>
      <c r="F31" s="2">
        <f t="shared" si="2"/>
        <v>1E-4</v>
      </c>
      <c r="G31" s="2">
        <v>-7.81</v>
      </c>
      <c r="H31" s="2">
        <f t="shared" si="3"/>
        <v>4.7000000000000002E-3</v>
      </c>
    </row>
    <row r="32" spans="3:8" x14ac:dyDescent="0.25">
      <c r="C32" s="2">
        <v>28</v>
      </c>
      <c r="D32" s="2">
        <f t="shared" si="0"/>
        <v>1.2755102040816326E-3</v>
      </c>
      <c r="E32" s="2">
        <f t="shared" si="1"/>
        <v>0.29000000000000004</v>
      </c>
      <c r="F32" s="2">
        <f t="shared" si="2"/>
        <v>1E-4</v>
      </c>
      <c r="G32" s="2">
        <v>-6.2</v>
      </c>
      <c r="H32" s="2">
        <f t="shared" si="3"/>
        <v>4.8999999999999998E-3</v>
      </c>
    </row>
    <row r="33" spans="3:8" x14ac:dyDescent="0.25">
      <c r="C33" s="2">
        <v>30</v>
      </c>
      <c r="D33" s="2">
        <f t="shared" si="0"/>
        <v>1.1111111111111111E-3</v>
      </c>
      <c r="E33" s="2">
        <f t="shared" si="1"/>
        <v>0.29000000000000004</v>
      </c>
      <c r="F33" s="2">
        <f t="shared" si="2"/>
        <v>1E-4</v>
      </c>
      <c r="G33" s="2">
        <v>-5.79</v>
      </c>
      <c r="H33" s="2">
        <f t="shared" si="3"/>
        <v>5.0000000000000001E-3</v>
      </c>
    </row>
  </sheetData>
  <mergeCells count="1">
    <mergeCell ref="C21:H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82A3-7B12-468B-8808-0E9BC6FEC9C8}">
  <dimension ref="B4:I5"/>
  <sheetViews>
    <sheetView topLeftCell="A2" workbookViewId="0">
      <selection activeCell="B10" sqref="B10"/>
    </sheetView>
  </sheetViews>
  <sheetFormatPr defaultRowHeight="15" x14ac:dyDescent="0.25"/>
  <sheetData>
    <row r="4" spans="2:9" x14ac:dyDescent="0.25">
      <c r="B4" s="43" t="s">
        <v>35</v>
      </c>
      <c r="C4" s="43"/>
      <c r="D4" s="43"/>
      <c r="E4" s="43"/>
      <c r="F4" s="43"/>
      <c r="G4" s="43"/>
      <c r="H4" s="43"/>
      <c r="I4" s="43"/>
    </row>
    <row r="5" spans="2:9" x14ac:dyDescent="0.25">
      <c r="B5" s="43"/>
      <c r="C5" s="43"/>
      <c r="D5" s="43"/>
      <c r="E5" s="43"/>
      <c r="F5" s="43"/>
      <c r="G5" s="43"/>
      <c r="H5" s="43"/>
      <c r="I5" s="43"/>
    </row>
  </sheetData>
  <mergeCells count="1">
    <mergeCell ref="B4:I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EA3E49D79CB4C86EE47697D615551" ma:contentTypeVersion="3" ma:contentTypeDescription="Create a new document." ma:contentTypeScope="" ma:versionID="3d7d0393fdf6cf63d6a91436c8112742">
  <xsd:schema xmlns:xsd="http://www.w3.org/2001/XMLSchema" xmlns:xs="http://www.w3.org/2001/XMLSchema" xmlns:p="http://schemas.microsoft.com/office/2006/metadata/properties" xmlns:ns3="770caa2f-f4df-4716-ba18-b79b1dc5639a" targetNamespace="http://schemas.microsoft.com/office/2006/metadata/properties" ma:root="true" ma:fieldsID="c5b5e96b836d8a4098f911f4b2793a75" ns3:_="">
    <xsd:import namespace="770caa2f-f4df-4716-ba18-b79b1dc563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caa2f-f4df-4716-ba18-b79b1dc56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6E26ED-F9EF-4233-9CAB-3E25CB56F5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0caa2f-f4df-4716-ba18-b79b1dc56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0E5424-30F1-4162-B056-984A1F4B9DE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1D943DB-F3B3-4651-B601-67DEDB435514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770caa2f-f4df-4716-ba18-b79b1dc5639a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B4119684-CE7F-45CF-91D4-307CBA1502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Wnioski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Mikołaj Nowak (280082)</dc:creator>
  <cp:lastModifiedBy>Mikołaj Nowak (280082)</cp:lastModifiedBy>
  <dcterms:created xsi:type="dcterms:W3CDTF">2024-03-18T21:04:04Z</dcterms:created>
  <dcterms:modified xsi:type="dcterms:W3CDTF">2024-05-28T02:21:56Z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0x0101005E8EA3E49D79CB4C86EE47697D615551</vt:lpwstr>
  </property>
</Properties>
</file>